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1.xml" ContentType="application/vnd.ms-excel.controlproperties+xml"/>
  <Override PartName="/xl/drawings/drawing8.xml" ContentType="application/vnd.openxmlformats-officedocument.drawing+xml"/>
  <Override PartName="/xl/ctrlProps/ctrlProp2.xml" ContentType="application/vnd.ms-excel.controlproperties+xml"/>
  <Override PartName="/xl/drawings/drawing9.xml" ContentType="application/vnd.openxmlformats-officedocument.drawing+xml"/>
  <Override PartName="/xl/ctrlProps/ctrlProp3.xml" ContentType="application/vnd.ms-excel.controlpropertie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trlProps/ctrlProp4.xml" ContentType="application/vnd.ms-excel.controlproperties+xml"/>
  <Override PartName="/xl/drawings/drawing13.xml" ContentType="application/vnd.openxmlformats-officedocument.drawing+xml"/>
  <Override PartName="/xl/ctrlProps/ctrlProp5.xml" ContentType="application/vnd.ms-excel.controlproperties+xml"/>
  <Override PartName="/xl/drawings/drawing14.xml" ContentType="application/vnd.openxmlformats-officedocument.drawing+xml"/>
  <Override PartName="/xl/ctrlProps/ctrlProp6.xml" ContentType="application/vnd.ms-excel.controlpropertie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trlProps/ctrlProp7.xml" ContentType="application/vnd.ms-excel.controlproperties+xml"/>
  <Override PartName="/xl/drawings/drawing18.xml" ContentType="application/vnd.openxmlformats-officedocument.drawing+xml"/>
  <Override PartName="/xl/ctrlProps/ctrlProp8.xml" ContentType="application/vnd.ms-excel.controlproperties+xml"/>
  <Override PartName="/xl/drawings/drawing19.xml" ContentType="application/vnd.openxmlformats-officedocument.drawing+xml"/>
  <Override PartName="/xl/ctrlProps/ctrlProp9.xml" ContentType="application/vnd.ms-excel.controlproperties+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ctrlProps/ctrlProp10.xml" ContentType="application/vnd.ms-excel.controlproperties+xml"/>
  <Override PartName="/xl/drawings/drawing23.xml" ContentType="application/vnd.openxmlformats-officedocument.drawing+xml"/>
  <Override PartName="/xl/ctrlProps/ctrlProp11.xml" ContentType="application/vnd.ms-excel.controlproperties+xml"/>
  <Override PartName="/xl/drawings/drawing24.xml" ContentType="application/vnd.openxmlformats-officedocument.drawing+xml"/>
  <Override PartName="/xl/ctrlProps/ctrlProp12.xml" ContentType="application/vnd.ms-excel.controlproperties+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ctrlProps/ctrlProp13.xml" ContentType="application/vnd.ms-excel.controlproperties+xml"/>
  <Override PartName="/xl/drawings/drawing28.xml" ContentType="application/vnd.openxmlformats-officedocument.drawing+xml"/>
  <Override PartName="/xl/ctrlProps/ctrlProp14.xml" ContentType="application/vnd.ms-excel.controlproperties+xml"/>
  <Override PartName="/xl/drawings/drawing29.xml" ContentType="application/vnd.openxmlformats-officedocument.drawing+xml"/>
  <Override PartName="/xl/ctrlProps/ctrlProp15.xml" ContentType="application/vnd.ms-excel.controlproperties+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ctrlProps/ctrlProp16.xml" ContentType="application/vnd.ms-excel.controlproperties+xml"/>
  <Override PartName="/xl/ctrlProps/ctrlProp17.xml" ContentType="application/vnd.ms-excel.controlproperties+xml"/>
  <Override PartName="/xl/drawings/drawing33.xml" ContentType="application/vnd.openxmlformats-officedocument.drawing+xml"/>
  <Override PartName="/xl/ctrlProps/ctrlProp18.xml" ContentType="application/vnd.ms-excel.controlproperties+xml"/>
  <Override PartName="/xl/ctrlProps/ctrlProp19.xml" ContentType="application/vnd.ms-excel.controlproperties+xml"/>
  <Override PartName="/xl/drawings/drawing34.xml" ContentType="application/vnd.openxmlformats-officedocument.drawing+xml"/>
  <Override PartName="/xl/ctrlProps/ctrlProp2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5022B3EB-BCE5-7840-4BB8-8062D341818C}"/>
  <workbookPr codeName="ThisWorkbook" defaultThemeVersion="166925"/>
  <mc:AlternateContent xmlns:mc="http://schemas.openxmlformats.org/markup-compatibility/2006">
    <mc:Choice Requires="x15">
      <x15ac:absPath xmlns:x15ac="http://schemas.microsoft.com/office/spreadsheetml/2010/11/ac" url="E:\1111\"/>
    </mc:Choice>
  </mc:AlternateContent>
  <xr:revisionPtr revIDLastSave="0" documentId="13_ncr:1_{F0B6BC60-B05B-493F-BC20-34F011047A82}" xr6:coauthVersionLast="47" xr6:coauthVersionMax="47" xr10:uidLastSave="{00000000-0000-0000-0000-000000000000}"/>
  <bookViews>
    <workbookView xWindow="-120" yWindow="-120" windowWidth="20730" windowHeight="11760" tabRatio="912" xr2:uid="{00000000-000D-0000-FFFF-FFFF00000000}"/>
  </bookViews>
  <sheets>
    <sheet name="HOME" sheetId="1" r:id="rId1"/>
    <sheet name="ID" sheetId="9" state="hidden" r:id="rId2"/>
    <sheet name="NOMINATIF" sheetId="2" state="hidden" r:id="rId3"/>
    <sheet name="BK &amp; EX &amp; PKL &amp; Press" sheetId="29" state="hidden" r:id="rId4"/>
    <sheet name="MP X AKL" sheetId="4" state="hidden" r:id="rId5"/>
    <sheet name="L X AKL" sheetId="16" state="hidden" r:id="rId6"/>
    <sheet name="R M X AKL" sheetId="28" state="hidden" r:id="rId7"/>
    <sheet name="R X AKL" sheetId="11" state="hidden" r:id="rId8"/>
    <sheet name="R2 X AKL" sheetId="31" state="hidden" r:id="rId9"/>
    <sheet name="MP X RPL" sheetId="3" state="hidden" r:id="rId10"/>
    <sheet name="L X RPL" sheetId="17" state="hidden" r:id="rId11"/>
    <sheet name="R M X RPL" sheetId="23" state="hidden" r:id="rId12"/>
    <sheet name="R X RPL" sheetId="10" state="hidden" r:id="rId13"/>
    <sheet name="R2 X RPL" sheetId="40" state="hidden" r:id="rId14"/>
    <sheet name="MP XI AKL" sheetId="6" state="hidden" r:id="rId15"/>
    <sheet name="L XI AKL" sheetId="18" state="hidden" r:id="rId16"/>
    <sheet name="R M XI AKL" sheetId="24" state="hidden" r:id="rId17"/>
    <sheet name="R XI AKL" sheetId="12" state="hidden" r:id="rId18"/>
    <sheet name="R2 XI AKL" sheetId="41" state="hidden" r:id="rId19"/>
    <sheet name="MP XI RPL" sheetId="5" state="hidden" r:id="rId20"/>
    <sheet name="L XI RPL" sheetId="19" state="hidden" r:id="rId21"/>
    <sheet name="R M XI RPL" sheetId="25" state="hidden" r:id="rId22"/>
    <sheet name="R XI RPL" sheetId="13" state="hidden" r:id="rId23"/>
    <sheet name="R2 XI RPL" sheetId="42" state="hidden" r:id="rId24"/>
    <sheet name="MP XII AKL" sheetId="8" state="hidden" r:id="rId25"/>
    <sheet name="L XII AKL" sheetId="20" state="hidden" r:id="rId26"/>
    <sheet name="R M XII AKL" sheetId="26" state="hidden" r:id="rId27"/>
    <sheet name="R XII AKL" sheetId="14" state="hidden" r:id="rId28"/>
    <sheet name="R2 XII AKL" sheetId="43" state="hidden" r:id="rId29"/>
    <sheet name="MP XII RPL" sheetId="7" state="hidden" r:id="rId30"/>
    <sheet name="L XII RPL" sheetId="21" state="hidden" r:id="rId31"/>
    <sheet name="R M XII RPL" sheetId="27" state="hidden" r:id="rId32"/>
    <sheet name="R XII RPL" sheetId="15" state="hidden" r:id="rId33"/>
    <sheet name="R2 XII RPL" sheetId="44" state="hidden" r:id="rId34"/>
    <sheet name="Sheet1" sheetId="45" state="hidden" r:id="rId35"/>
  </sheets>
  <definedNames>
    <definedName name="_xlnm.Print_Area" localSheetId="6">'R M X AKL'!$B$2:$M$52</definedName>
    <definedName name="_xlnm.Print_Area" localSheetId="11">'R M X RPL'!$B$2:$M$51</definedName>
    <definedName name="_xlnm.Print_Area" localSheetId="16">'R M XI AKL'!$B$2:$M$47</definedName>
    <definedName name="_xlnm.Print_Area" localSheetId="21">'R M XI RPL'!$B$2:$M$46</definedName>
    <definedName name="_xlnm.Print_Area" localSheetId="26">'R M XII AKL'!$B$2:$M$46</definedName>
    <definedName name="_xlnm.Print_Area" localSheetId="31">'R M XII RPL'!$B$2:$M$44</definedName>
    <definedName name="_xlnm.Print_Area" localSheetId="7">'R X AKL'!$B$2:$M$68</definedName>
    <definedName name="_xlnm.Print_Area" localSheetId="12">'R X RPL'!$B$2:$M$67</definedName>
    <definedName name="_xlnm.Print_Area" localSheetId="17">'R XI AKL'!$B$2:$M$63</definedName>
    <definedName name="_xlnm.Print_Area" localSheetId="22">'R XI RPL'!$B$2:$M$62</definedName>
    <definedName name="_xlnm.Print_Area" localSheetId="27">'R XII AKL'!$B$2:$M$61</definedName>
    <definedName name="_xlnm.Print_Area" localSheetId="32">'R XII RPL'!$B$2:$M$59</definedName>
    <definedName name="_xlnm.Print_Area" localSheetId="8">'R2 X AKL'!$B$2:$M$43</definedName>
    <definedName name="_xlnm.Print_Area" localSheetId="13">'R2 X RPL'!$B$2:$M$43</definedName>
    <definedName name="_xlnm.Print_Area" localSheetId="18">'R2 XI AKL'!$B$2:$M$43</definedName>
    <definedName name="_xlnm.Print_Area" localSheetId="23">'R2 XI RPL'!$B$2:$M$43</definedName>
    <definedName name="_xlnm.Print_Area" localSheetId="28">'R2 XII AKL'!$B$2:$M$43</definedName>
    <definedName name="_xlnm.Print_Area" localSheetId="33">'R2 XII RPL'!$B$2:$M$43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2" i="29" l="1"/>
  <c r="Q12" i="29" s="1"/>
  <c r="D12" i="29"/>
  <c r="E12" i="29"/>
  <c r="C13" i="29"/>
  <c r="Q13" i="29" s="1"/>
  <c r="D13" i="29"/>
  <c r="E13" i="29"/>
  <c r="U12" i="29" l="1"/>
  <c r="M12" i="29"/>
  <c r="Y12" i="29"/>
  <c r="I12" i="29"/>
  <c r="U13" i="29"/>
  <c r="M13" i="29"/>
  <c r="Y13" i="29"/>
  <c r="I13" i="29"/>
  <c r="R48" i="12" l="1"/>
  <c r="J43" i="44" l="1"/>
  <c r="E43" i="44"/>
  <c r="J37" i="44"/>
  <c r="L20" i="44"/>
  <c r="J20" i="44"/>
  <c r="F20" i="44"/>
  <c r="C20" i="44"/>
  <c r="J16" i="44"/>
  <c r="E16" i="44"/>
  <c r="J15" i="44"/>
  <c r="J14" i="44"/>
  <c r="R12" i="44"/>
  <c r="B12" i="44"/>
  <c r="B11" i="44"/>
  <c r="J43" i="43"/>
  <c r="E43" i="43"/>
  <c r="J37" i="43"/>
  <c r="L20" i="43"/>
  <c r="J20" i="43"/>
  <c r="F20" i="43"/>
  <c r="C20" i="43"/>
  <c r="J16" i="43"/>
  <c r="E16" i="43"/>
  <c r="J15" i="43"/>
  <c r="J14" i="43"/>
  <c r="R12" i="43"/>
  <c r="B12" i="43"/>
  <c r="B11" i="43"/>
  <c r="J43" i="42"/>
  <c r="E43" i="42"/>
  <c r="J37" i="42"/>
  <c r="L20" i="42"/>
  <c r="J20" i="42"/>
  <c r="F20" i="42"/>
  <c r="C20" i="42"/>
  <c r="J16" i="42"/>
  <c r="E16" i="42"/>
  <c r="J15" i="42"/>
  <c r="J14" i="42"/>
  <c r="R12" i="42"/>
  <c r="B12" i="42"/>
  <c r="B11" i="42"/>
  <c r="J43" i="41"/>
  <c r="E43" i="41"/>
  <c r="J37" i="41"/>
  <c r="L20" i="41"/>
  <c r="J20" i="41"/>
  <c r="F20" i="41"/>
  <c r="C20" i="41"/>
  <c r="J16" i="41"/>
  <c r="E16" i="41"/>
  <c r="J15" i="41"/>
  <c r="J14" i="41"/>
  <c r="R12" i="41"/>
  <c r="B12" i="41"/>
  <c r="B11" i="41"/>
  <c r="J43" i="40"/>
  <c r="E43" i="40"/>
  <c r="J37" i="40"/>
  <c r="L20" i="40"/>
  <c r="J20" i="40"/>
  <c r="F20" i="40"/>
  <c r="C20" i="40"/>
  <c r="J16" i="40"/>
  <c r="E16" i="40"/>
  <c r="J15" i="40"/>
  <c r="J14" i="40"/>
  <c r="R12" i="40"/>
  <c r="B12" i="40"/>
  <c r="B11" i="40"/>
  <c r="J53" i="15"/>
  <c r="J59" i="15"/>
  <c r="E59" i="15"/>
  <c r="J48" i="15"/>
  <c r="J47" i="15"/>
  <c r="J46" i="15"/>
  <c r="F45" i="15"/>
  <c r="F44" i="15"/>
  <c r="F43" i="15"/>
  <c r="F42" i="15"/>
  <c r="F41" i="15"/>
  <c r="F40" i="15"/>
  <c r="F39" i="15"/>
  <c r="F38" i="15"/>
  <c r="E45" i="15"/>
  <c r="E44" i="15"/>
  <c r="E43" i="15"/>
  <c r="E42" i="15"/>
  <c r="E41" i="15"/>
  <c r="E40" i="15"/>
  <c r="E39" i="15"/>
  <c r="E38" i="15"/>
  <c r="J61" i="14" l="1"/>
  <c r="E61" i="14"/>
  <c r="J55" i="14"/>
  <c r="J50" i="14"/>
  <c r="J49" i="14"/>
  <c r="J48" i="14"/>
  <c r="F47" i="14"/>
  <c r="E47" i="14"/>
  <c r="F46" i="14"/>
  <c r="E46" i="14"/>
  <c r="F45" i="14"/>
  <c r="E45" i="14"/>
  <c r="F44" i="14"/>
  <c r="E44" i="14"/>
  <c r="F43" i="14"/>
  <c r="E43" i="14"/>
  <c r="F42" i="14"/>
  <c r="E42" i="14"/>
  <c r="F41" i="14"/>
  <c r="E41" i="14"/>
  <c r="F40" i="14"/>
  <c r="E40" i="14"/>
  <c r="E62" i="13"/>
  <c r="J62" i="13"/>
  <c r="J56" i="13"/>
  <c r="J51" i="13"/>
  <c r="J50" i="13"/>
  <c r="J49" i="13"/>
  <c r="F48" i="13"/>
  <c r="F47" i="13"/>
  <c r="F46" i="13"/>
  <c r="F45" i="13"/>
  <c r="F44" i="13"/>
  <c r="F43" i="13"/>
  <c r="F42" i="13"/>
  <c r="F41" i="13"/>
  <c r="E48" i="13"/>
  <c r="E47" i="13"/>
  <c r="E46" i="13"/>
  <c r="E45" i="13"/>
  <c r="E44" i="13"/>
  <c r="E43" i="13"/>
  <c r="E42" i="13"/>
  <c r="E41" i="13"/>
  <c r="E63" i="12"/>
  <c r="J63" i="12"/>
  <c r="J57" i="12"/>
  <c r="J52" i="12"/>
  <c r="J51" i="12"/>
  <c r="J50" i="12"/>
  <c r="F49" i="12"/>
  <c r="F48" i="12"/>
  <c r="F47" i="12"/>
  <c r="F46" i="12"/>
  <c r="F45" i="12"/>
  <c r="F44" i="12"/>
  <c r="F43" i="12"/>
  <c r="F42" i="12"/>
  <c r="E49" i="12"/>
  <c r="E48" i="12"/>
  <c r="E47" i="12"/>
  <c r="E46" i="12"/>
  <c r="E45" i="12"/>
  <c r="E44" i="12"/>
  <c r="E43" i="12"/>
  <c r="E42" i="12"/>
  <c r="J56" i="10"/>
  <c r="J55" i="10"/>
  <c r="J54" i="10"/>
  <c r="F53" i="10"/>
  <c r="F52" i="10"/>
  <c r="F51" i="10"/>
  <c r="F50" i="10"/>
  <c r="F49" i="10"/>
  <c r="F48" i="10"/>
  <c r="F47" i="10"/>
  <c r="F46" i="10"/>
  <c r="E53" i="10"/>
  <c r="E52" i="10"/>
  <c r="E51" i="10"/>
  <c r="E50" i="10"/>
  <c r="E49" i="10"/>
  <c r="E48" i="10"/>
  <c r="E47" i="10"/>
  <c r="E46" i="10"/>
  <c r="J61" i="10"/>
  <c r="J67" i="10"/>
  <c r="E67" i="10"/>
  <c r="J57" i="11"/>
  <c r="J56" i="11"/>
  <c r="J55" i="11"/>
  <c r="F54" i="11"/>
  <c r="L20" i="31"/>
  <c r="J20" i="31"/>
  <c r="F20" i="31"/>
  <c r="C20" i="31"/>
  <c r="E54" i="11"/>
  <c r="F53" i="11"/>
  <c r="E53" i="11"/>
  <c r="F52" i="11"/>
  <c r="E52" i="11"/>
  <c r="F51" i="11"/>
  <c r="E51" i="11"/>
  <c r="F50" i="11"/>
  <c r="E50" i="11"/>
  <c r="F49" i="11"/>
  <c r="E49" i="11"/>
  <c r="F48" i="11"/>
  <c r="F47" i="11"/>
  <c r="E48" i="11"/>
  <c r="E47" i="11"/>
  <c r="J21" i="11"/>
  <c r="J43" i="31" l="1"/>
  <c r="E43" i="31"/>
  <c r="J37" i="31"/>
  <c r="J16" i="31"/>
  <c r="E16" i="31"/>
  <c r="J15" i="31"/>
  <c r="J14" i="31"/>
  <c r="R12" i="31"/>
  <c r="B12" i="31"/>
  <c r="B11" i="31"/>
  <c r="J68" i="11"/>
  <c r="J62" i="11"/>
  <c r="J41" i="10" l="1"/>
  <c r="J40" i="10"/>
  <c r="F41" i="10"/>
  <c r="F40" i="23"/>
  <c r="E43" i="29"/>
  <c r="D43" i="29"/>
  <c r="C43" i="29"/>
  <c r="E42" i="29"/>
  <c r="D42" i="29"/>
  <c r="C42" i="29"/>
  <c r="E41" i="29"/>
  <c r="D41" i="29"/>
  <c r="C41" i="29"/>
  <c r="E40" i="29"/>
  <c r="D40" i="29"/>
  <c r="C40" i="29"/>
  <c r="E39" i="29"/>
  <c r="D39" i="29"/>
  <c r="C39" i="29"/>
  <c r="E38" i="29"/>
  <c r="D38" i="29"/>
  <c r="C38" i="29"/>
  <c r="E37" i="29"/>
  <c r="D37" i="29"/>
  <c r="C37" i="29"/>
  <c r="E36" i="29"/>
  <c r="D36" i="29"/>
  <c r="C36" i="29"/>
  <c r="E35" i="29"/>
  <c r="D35" i="29"/>
  <c r="C35" i="29"/>
  <c r="E34" i="29"/>
  <c r="D34" i="29"/>
  <c r="C34" i="29"/>
  <c r="E33" i="29"/>
  <c r="D33" i="29"/>
  <c r="C33" i="29"/>
  <c r="E32" i="29"/>
  <c r="D32" i="29"/>
  <c r="C32" i="29"/>
  <c r="E31" i="29"/>
  <c r="D31" i="29"/>
  <c r="C31" i="29"/>
  <c r="E30" i="29"/>
  <c r="D30" i="29"/>
  <c r="C30" i="29"/>
  <c r="E29" i="29"/>
  <c r="D29" i="29"/>
  <c r="C29" i="29"/>
  <c r="E28" i="29"/>
  <c r="D28" i="29"/>
  <c r="C28" i="29"/>
  <c r="E27" i="29"/>
  <c r="D27" i="29"/>
  <c r="C27" i="29"/>
  <c r="E26" i="29"/>
  <c r="D26" i="29"/>
  <c r="C26" i="29"/>
  <c r="E25" i="29"/>
  <c r="D25" i="29"/>
  <c r="C25" i="29"/>
  <c r="E24" i="29"/>
  <c r="D24" i="29"/>
  <c r="C24" i="29"/>
  <c r="E23" i="29"/>
  <c r="D23" i="29"/>
  <c r="C23" i="29"/>
  <c r="E22" i="29"/>
  <c r="D22" i="29"/>
  <c r="C22" i="29"/>
  <c r="E21" i="29"/>
  <c r="D21" i="29"/>
  <c r="C21" i="29"/>
  <c r="E20" i="29"/>
  <c r="D20" i="29"/>
  <c r="C20" i="29"/>
  <c r="E19" i="29"/>
  <c r="D19" i="29"/>
  <c r="C19" i="29"/>
  <c r="E18" i="29"/>
  <c r="D18" i="29"/>
  <c r="C18" i="29"/>
  <c r="E17" i="29"/>
  <c r="D17" i="29"/>
  <c r="C17" i="29"/>
  <c r="E16" i="29"/>
  <c r="D16" i="29"/>
  <c r="C16" i="29"/>
  <c r="E15" i="29"/>
  <c r="D15" i="29"/>
  <c r="C15" i="29"/>
  <c r="E14" i="29"/>
  <c r="D14" i="29"/>
  <c r="C14" i="29"/>
  <c r="E11" i="29"/>
  <c r="D11" i="29"/>
  <c r="C11" i="29"/>
  <c r="E10" i="29"/>
  <c r="D10" i="29"/>
  <c r="C10" i="29"/>
  <c r="E9" i="29"/>
  <c r="D9" i="29"/>
  <c r="C9" i="29"/>
  <c r="L6" i="1"/>
  <c r="Q32" i="29" l="1"/>
  <c r="U32" i="29"/>
  <c r="I32" i="29"/>
  <c r="Y32" i="29"/>
  <c r="M32" i="29"/>
  <c r="Q36" i="29"/>
  <c r="I36" i="29"/>
  <c r="U36" i="29"/>
  <c r="Y36" i="29"/>
  <c r="M36" i="29"/>
  <c r="Q40" i="29"/>
  <c r="U40" i="29"/>
  <c r="Y40" i="29"/>
  <c r="I40" i="29"/>
  <c r="M40" i="29"/>
  <c r="U31" i="29"/>
  <c r="M31" i="29"/>
  <c r="Y31" i="29"/>
  <c r="I31" i="29"/>
  <c r="Q31" i="29"/>
  <c r="U35" i="29"/>
  <c r="Y35" i="29"/>
  <c r="I35" i="29"/>
  <c r="M35" i="29"/>
  <c r="Q35" i="29"/>
  <c r="U39" i="29"/>
  <c r="M39" i="29"/>
  <c r="Y39" i="29"/>
  <c r="I39" i="29"/>
  <c r="Q39" i="29"/>
  <c r="U43" i="29"/>
  <c r="Y43" i="29"/>
  <c r="I43" i="29"/>
  <c r="M43" i="29"/>
  <c r="Q43" i="29"/>
  <c r="Y30" i="29"/>
  <c r="I30" i="29"/>
  <c r="M30" i="29"/>
  <c r="Q30" i="29"/>
  <c r="U30" i="29"/>
  <c r="Y34" i="29"/>
  <c r="I34" i="29"/>
  <c r="M34" i="29"/>
  <c r="Q34" i="29"/>
  <c r="U34" i="29"/>
  <c r="Y38" i="29"/>
  <c r="I38" i="29"/>
  <c r="M38" i="29"/>
  <c r="Q38" i="29"/>
  <c r="U38" i="29"/>
  <c r="Y42" i="29"/>
  <c r="I42" i="29"/>
  <c r="M42" i="29"/>
  <c r="Q42" i="29"/>
  <c r="U42" i="29"/>
  <c r="M29" i="29"/>
  <c r="Q29" i="29"/>
  <c r="U29" i="29"/>
  <c r="Y29" i="29"/>
  <c r="I29" i="29"/>
  <c r="M33" i="29"/>
  <c r="Q33" i="29"/>
  <c r="U33" i="29"/>
  <c r="Y33" i="29"/>
  <c r="I33" i="29"/>
  <c r="M37" i="29"/>
  <c r="Q37" i="29"/>
  <c r="U37" i="29"/>
  <c r="Y37" i="29"/>
  <c r="I37" i="29"/>
  <c r="M41" i="29"/>
  <c r="Q41" i="29"/>
  <c r="I41" i="29"/>
  <c r="U41" i="29"/>
  <c r="Y41" i="29"/>
  <c r="U24" i="29"/>
  <c r="Q24" i="29"/>
  <c r="Y24" i="29"/>
  <c r="I24" i="29"/>
  <c r="M24" i="29"/>
  <c r="Y15" i="29"/>
  <c r="I15" i="29"/>
  <c r="M15" i="29"/>
  <c r="Q15" i="29"/>
  <c r="U15" i="29"/>
  <c r="Y19" i="29"/>
  <c r="I19" i="29"/>
  <c r="U19" i="29"/>
  <c r="M19" i="29"/>
  <c r="Q19" i="29"/>
  <c r="Y23" i="29"/>
  <c r="I23" i="29"/>
  <c r="Q23" i="29"/>
  <c r="M23" i="29"/>
  <c r="U23" i="29"/>
  <c r="M10" i="29"/>
  <c r="Y10" i="29"/>
  <c r="Q10" i="29"/>
  <c r="U10" i="29"/>
  <c r="I10" i="29"/>
  <c r="M14" i="29"/>
  <c r="U14" i="29"/>
  <c r="Y14" i="29"/>
  <c r="I14" i="29"/>
  <c r="Q14" i="29"/>
  <c r="M18" i="29"/>
  <c r="U18" i="29"/>
  <c r="Q18" i="29"/>
  <c r="Y18" i="29"/>
  <c r="I18" i="29"/>
  <c r="M22" i="29"/>
  <c r="Y22" i="29"/>
  <c r="I22" i="29"/>
  <c r="Q22" i="29"/>
  <c r="U22" i="29"/>
  <c r="M26" i="29"/>
  <c r="U26" i="29"/>
  <c r="Y26" i="29"/>
  <c r="Q26" i="29"/>
  <c r="I26" i="29"/>
  <c r="U16" i="29"/>
  <c r="Q16" i="29"/>
  <c r="Y16" i="29"/>
  <c r="I16" i="29"/>
  <c r="M16" i="29"/>
  <c r="U20" i="29"/>
  <c r="M20" i="29"/>
  <c r="Y20" i="29"/>
  <c r="I20" i="29"/>
  <c r="Q20" i="29"/>
  <c r="U28" i="29"/>
  <c r="M28" i="29"/>
  <c r="Y28" i="29"/>
  <c r="I28" i="29"/>
  <c r="Q28" i="29"/>
  <c r="Y11" i="29"/>
  <c r="Q11" i="29"/>
  <c r="U11" i="29"/>
  <c r="M11" i="29"/>
  <c r="Y27" i="29"/>
  <c r="I27" i="29"/>
  <c r="U27" i="29"/>
  <c r="M27" i="29"/>
  <c r="Q27" i="29"/>
  <c r="U9" i="29"/>
  <c r="M9" i="29"/>
  <c r="Q9" i="29"/>
  <c r="Y9" i="29"/>
  <c r="I9" i="29"/>
  <c r="Q17" i="29"/>
  <c r="I17" i="29"/>
  <c r="U17" i="29"/>
  <c r="Y17" i="29"/>
  <c r="M17" i="29"/>
  <c r="Q21" i="29"/>
  <c r="Y21" i="29"/>
  <c r="M21" i="29"/>
  <c r="U21" i="29"/>
  <c r="I21" i="29"/>
  <c r="Q25" i="29"/>
  <c r="I25" i="29"/>
  <c r="U25" i="29"/>
  <c r="Y25" i="29"/>
  <c r="M25" i="29"/>
  <c r="F27" i="25"/>
  <c r="H51" i="28"/>
  <c r="B51" i="28"/>
  <c r="H45" i="28"/>
  <c r="J41" i="28"/>
  <c r="F41" i="28"/>
  <c r="J40" i="28"/>
  <c r="F40" i="28"/>
  <c r="J39" i="28"/>
  <c r="F39" i="28"/>
  <c r="J38" i="28"/>
  <c r="F38" i="28"/>
  <c r="J36" i="28"/>
  <c r="F36" i="28"/>
  <c r="J35" i="28"/>
  <c r="H35" i="28"/>
  <c r="F35" i="28"/>
  <c r="J34" i="28"/>
  <c r="F34" i="28"/>
  <c r="J33" i="28"/>
  <c r="F33" i="28"/>
  <c r="J30" i="28"/>
  <c r="F30" i="28"/>
  <c r="J29" i="28"/>
  <c r="F29" i="28"/>
  <c r="J28" i="28"/>
  <c r="F28" i="28"/>
  <c r="J27" i="28"/>
  <c r="F27" i="28"/>
  <c r="J25" i="28"/>
  <c r="F25" i="28"/>
  <c r="J24" i="28"/>
  <c r="F24" i="28"/>
  <c r="J23" i="28"/>
  <c r="F23" i="28"/>
  <c r="J22" i="28"/>
  <c r="F22" i="28"/>
  <c r="J21" i="28"/>
  <c r="F21" i="28"/>
  <c r="J20" i="28"/>
  <c r="H20" i="28"/>
  <c r="F20" i="28"/>
  <c r="J16" i="28"/>
  <c r="E16" i="28"/>
  <c r="J15" i="28"/>
  <c r="J14" i="28"/>
  <c r="R12" i="28"/>
  <c r="B12" i="28"/>
  <c r="B11" i="28"/>
  <c r="H43" i="27"/>
  <c r="B43" i="27"/>
  <c r="H37" i="27"/>
  <c r="J33" i="27"/>
  <c r="F33" i="27"/>
  <c r="J32" i="27"/>
  <c r="F32" i="27"/>
  <c r="J31" i="27"/>
  <c r="F31" i="27"/>
  <c r="J30" i="27"/>
  <c r="F30" i="27"/>
  <c r="J27" i="27"/>
  <c r="F27" i="27"/>
  <c r="J26" i="27"/>
  <c r="F26" i="27"/>
  <c r="J24" i="27"/>
  <c r="J23" i="27"/>
  <c r="F23" i="27"/>
  <c r="J22" i="27"/>
  <c r="F22" i="27"/>
  <c r="J21" i="27"/>
  <c r="F21" i="27"/>
  <c r="J20" i="27"/>
  <c r="H20" i="27"/>
  <c r="F20" i="27"/>
  <c r="J16" i="27"/>
  <c r="E16" i="27"/>
  <c r="J15" i="27"/>
  <c r="J14" i="27"/>
  <c r="R12" i="27"/>
  <c r="B12" i="27"/>
  <c r="B11" i="27"/>
  <c r="H45" i="26"/>
  <c r="B45" i="26"/>
  <c r="H39" i="26"/>
  <c r="J35" i="26"/>
  <c r="F35" i="26"/>
  <c r="J34" i="26"/>
  <c r="F34" i="26"/>
  <c r="J33" i="26"/>
  <c r="F33" i="26"/>
  <c r="J32" i="26"/>
  <c r="F32" i="26"/>
  <c r="J31" i="26"/>
  <c r="F31" i="26"/>
  <c r="J30" i="26"/>
  <c r="F30" i="26"/>
  <c r="J27" i="26"/>
  <c r="F27" i="26"/>
  <c r="J26" i="26"/>
  <c r="F26" i="26"/>
  <c r="J24" i="26"/>
  <c r="F24" i="26"/>
  <c r="J23" i="26"/>
  <c r="F23" i="26"/>
  <c r="J22" i="26"/>
  <c r="F22" i="26"/>
  <c r="J21" i="26"/>
  <c r="F21" i="26"/>
  <c r="J20" i="26"/>
  <c r="H20" i="26"/>
  <c r="F20" i="26"/>
  <c r="J16" i="26"/>
  <c r="E16" i="26"/>
  <c r="J15" i="26"/>
  <c r="J14" i="26"/>
  <c r="R12" i="26"/>
  <c r="B12" i="26"/>
  <c r="B11" i="26"/>
  <c r="H45" i="25"/>
  <c r="B45" i="25"/>
  <c r="H39" i="25"/>
  <c r="J35" i="25"/>
  <c r="F35" i="25"/>
  <c r="J34" i="25"/>
  <c r="F34" i="25"/>
  <c r="J33" i="25"/>
  <c r="F33" i="25"/>
  <c r="J32" i="25"/>
  <c r="F32" i="25"/>
  <c r="J31" i="25"/>
  <c r="F31" i="25"/>
  <c r="J28" i="25"/>
  <c r="F28" i="25"/>
  <c r="J27" i="25"/>
  <c r="J26" i="25"/>
  <c r="F26" i="25"/>
  <c r="J24" i="25"/>
  <c r="F24" i="25"/>
  <c r="J23" i="25"/>
  <c r="F23" i="25"/>
  <c r="J22" i="25"/>
  <c r="F22" i="25"/>
  <c r="J21" i="25"/>
  <c r="F21" i="25"/>
  <c r="J20" i="25"/>
  <c r="F20" i="25"/>
  <c r="J16" i="25"/>
  <c r="E16" i="25"/>
  <c r="J15" i="25"/>
  <c r="J14" i="25"/>
  <c r="R12" i="25"/>
  <c r="B12" i="25"/>
  <c r="B11" i="25"/>
  <c r="H46" i="24"/>
  <c r="B46" i="24"/>
  <c r="H40" i="24"/>
  <c r="J36" i="24"/>
  <c r="F36" i="24"/>
  <c r="J35" i="24"/>
  <c r="F35" i="24"/>
  <c r="J34" i="24"/>
  <c r="F34" i="24"/>
  <c r="J33" i="24"/>
  <c r="F33" i="24"/>
  <c r="J32" i="24"/>
  <c r="F32" i="24"/>
  <c r="J31" i="24"/>
  <c r="F31" i="24"/>
  <c r="J28" i="24"/>
  <c r="F28" i="24"/>
  <c r="J27" i="24"/>
  <c r="F27" i="24"/>
  <c r="J26" i="24"/>
  <c r="F26" i="24"/>
  <c r="J24" i="24"/>
  <c r="F24" i="24"/>
  <c r="J23" i="24"/>
  <c r="F23" i="24"/>
  <c r="J22" i="24"/>
  <c r="F22" i="24"/>
  <c r="J21" i="24"/>
  <c r="F21" i="24"/>
  <c r="J20" i="24"/>
  <c r="F20" i="24"/>
  <c r="J16" i="24"/>
  <c r="E16" i="24"/>
  <c r="J15" i="24"/>
  <c r="J14" i="24"/>
  <c r="R12" i="24"/>
  <c r="B12" i="24"/>
  <c r="B11" i="24"/>
  <c r="H50" i="23"/>
  <c r="B50" i="23"/>
  <c r="H44" i="23"/>
  <c r="J39" i="23"/>
  <c r="F39" i="23"/>
  <c r="J38" i="23"/>
  <c r="F38" i="23"/>
  <c r="J37" i="23"/>
  <c r="F37" i="23"/>
  <c r="J35" i="23"/>
  <c r="F35" i="23"/>
  <c r="J34" i="23"/>
  <c r="F34" i="23"/>
  <c r="J33" i="23"/>
  <c r="F33" i="23"/>
  <c r="J30" i="23"/>
  <c r="F30" i="23"/>
  <c r="J29" i="23"/>
  <c r="F29" i="23"/>
  <c r="J28" i="23"/>
  <c r="F28" i="23"/>
  <c r="J27" i="23"/>
  <c r="F27" i="23"/>
  <c r="J25" i="23"/>
  <c r="F25" i="23"/>
  <c r="J24" i="23"/>
  <c r="F24" i="23"/>
  <c r="J23" i="23"/>
  <c r="F23" i="23"/>
  <c r="J22" i="23"/>
  <c r="F22" i="23"/>
  <c r="J21" i="23"/>
  <c r="F21" i="23"/>
  <c r="J20" i="23"/>
  <c r="H20" i="23"/>
  <c r="F20" i="23"/>
  <c r="J16" i="23"/>
  <c r="E16" i="23"/>
  <c r="J15" i="23"/>
  <c r="J14" i="23"/>
  <c r="R12" i="23"/>
  <c r="B12" i="23"/>
  <c r="B11" i="23"/>
  <c r="F28" i="44" l="1"/>
  <c r="F28" i="43"/>
  <c r="F28" i="42"/>
  <c r="F28" i="41"/>
  <c r="F28" i="40"/>
  <c r="F28" i="31"/>
  <c r="F27" i="44"/>
  <c r="F27" i="43"/>
  <c r="F27" i="42"/>
  <c r="F27" i="41"/>
  <c r="F27" i="40"/>
  <c r="F27" i="31"/>
  <c r="F25" i="31"/>
  <c r="F25" i="43"/>
  <c r="F25" i="44"/>
  <c r="F25" i="42"/>
  <c r="F25" i="40"/>
  <c r="F25" i="41"/>
  <c r="F29" i="44"/>
  <c r="F29" i="43"/>
  <c r="F29" i="42"/>
  <c r="F29" i="41"/>
  <c r="F29" i="40"/>
  <c r="F26" i="44"/>
  <c r="F26" i="43"/>
  <c r="F26" i="42"/>
  <c r="F26" i="40"/>
  <c r="F26" i="41"/>
  <c r="F26" i="31"/>
  <c r="F29" i="31"/>
  <c r="L20" i="28"/>
  <c r="M20" i="28" s="1"/>
  <c r="L35" i="28"/>
  <c r="M35" i="28" s="1"/>
  <c r="L20" i="26"/>
  <c r="M20" i="26" s="1"/>
  <c r="L20" i="23"/>
  <c r="M20" i="23" s="1"/>
  <c r="L20" i="27"/>
  <c r="M20" i="27" s="1"/>
  <c r="J33" i="15" l="1"/>
  <c r="J32" i="15"/>
  <c r="J31" i="15"/>
  <c r="J30" i="15"/>
  <c r="J27" i="15"/>
  <c r="J26" i="15"/>
  <c r="J24" i="15"/>
  <c r="J23" i="15"/>
  <c r="J22" i="15"/>
  <c r="J21" i="15"/>
  <c r="J20" i="15"/>
  <c r="H20" i="15"/>
  <c r="J35" i="14"/>
  <c r="J34" i="14"/>
  <c r="J33" i="14"/>
  <c r="J32" i="14"/>
  <c r="J31" i="14"/>
  <c r="J30" i="14"/>
  <c r="J27" i="14"/>
  <c r="J26" i="14"/>
  <c r="J24" i="14"/>
  <c r="J23" i="14"/>
  <c r="J22" i="14"/>
  <c r="J21" i="14"/>
  <c r="J20" i="14"/>
  <c r="H20" i="14"/>
  <c r="J36" i="13"/>
  <c r="J35" i="13"/>
  <c r="J34" i="13"/>
  <c r="J33" i="13"/>
  <c r="J32" i="13"/>
  <c r="J29" i="13"/>
  <c r="J28" i="13"/>
  <c r="J27" i="13"/>
  <c r="J25" i="13"/>
  <c r="J24" i="13"/>
  <c r="J23" i="13"/>
  <c r="J22" i="13"/>
  <c r="J21" i="13"/>
  <c r="J37" i="12"/>
  <c r="J36" i="12"/>
  <c r="J35" i="12"/>
  <c r="J34" i="12"/>
  <c r="J33" i="12"/>
  <c r="J32" i="12"/>
  <c r="J29" i="12"/>
  <c r="J28" i="12"/>
  <c r="J27" i="12"/>
  <c r="J25" i="12"/>
  <c r="J24" i="12"/>
  <c r="J23" i="12"/>
  <c r="J22" i="12"/>
  <c r="J21" i="12"/>
  <c r="J39" i="10"/>
  <c r="J38" i="10"/>
  <c r="J36" i="10"/>
  <c r="J35" i="10"/>
  <c r="J34" i="10"/>
  <c r="J31" i="10"/>
  <c r="J30" i="10"/>
  <c r="J29" i="10"/>
  <c r="J28" i="10"/>
  <c r="J26" i="10"/>
  <c r="J25" i="10"/>
  <c r="J24" i="10"/>
  <c r="J23" i="10"/>
  <c r="J22" i="10"/>
  <c r="J21" i="10"/>
  <c r="H21" i="10"/>
  <c r="J42" i="11"/>
  <c r="J41" i="11"/>
  <c r="J40" i="11"/>
  <c r="J39" i="11"/>
  <c r="J37" i="11"/>
  <c r="J36" i="11"/>
  <c r="H36" i="11"/>
  <c r="J35" i="11"/>
  <c r="J34" i="11"/>
  <c r="J31" i="11"/>
  <c r="J30" i="11"/>
  <c r="J29" i="11"/>
  <c r="J28" i="11"/>
  <c r="J26" i="11"/>
  <c r="J25" i="11"/>
  <c r="J24" i="11"/>
  <c r="J23" i="11"/>
  <c r="J22" i="11"/>
  <c r="H21" i="11"/>
  <c r="F33" i="15"/>
  <c r="F32" i="15"/>
  <c r="F31" i="15"/>
  <c r="F30" i="15"/>
  <c r="F27" i="15"/>
  <c r="F26" i="15"/>
  <c r="F20" i="15"/>
  <c r="F23" i="15"/>
  <c r="F22" i="15"/>
  <c r="F21" i="15"/>
  <c r="F35" i="14"/>
  <c r="F34" i="14"/>
  <c r="F33" i="14"/>
  <c r="F32" i="14"/>
  <c r="F31" i="14"/>
  <c r="F30" i="14"/>
  <c r="F27" i="14"/>
  <c r="F26" i="14"/>
  <c r="F24" i="14"/>
  <c r="F23" i="14"/>
  <c r="F22" i="14"/>
  <c r="F21" i="14"/>
  <c r="F20" i="14"/>
  <c r="F36" i="13"/>
  <c r="F35" i="13"/>
  <c r="F34" i="13"/>
  <c r="F33" i="13"/>
  <c r="F32" i="13"/>
  <c r="F29" i="13"/>
  <c r="F28" i="13"/>
  <c r="F27" i="13"/>
  <c r="F25" i="13"/>
  <c r="F24" i="13"/>
  <c r="F23" i="13"/>
  <c r="F22" i="13"/>
  <c r="F21" i="13"/>
  <c r="F37" i="12"/>
  <c r="F35" i="12"/>
  <c r="F34" i="12"/>
  <c r="F36" i="12"/>
  <c r="F33" i="12"/>
  <c r="F32" i="12"/>
  <c r="F29" i="12"/>
  <c r="F28" i="12"/>
  <c r="F27" i="12"/>
  <c r="F25" i="12"/>
  <c r="F24" i="12"/>
  <c r="F23" i="12"/>
  <c r="F22" i="12"/>
  <c r="F21" i="12"/>
  <c r="F40" i="10"/>
  <c r="F39" i="10"/>
  <c r="F38" i="10"/>
  <c r="F36" i="10"/>
  <c r="F35" i="10"/>
  <c r="F34" i="10"/>
  <c r="F31" i="10"/>
  <c r="F30" i="10"/>
  <c r="F29" i="10"/>
  <c r="F28" i="10"/>
  <c r="F26" i="10"/>
  <c r="F25" i="10"/>
  <c r="F24" i="10"/>
  <c r="F23" i="10"/>
  <c r="F22" i="10"/>
  <c r="F21" i="10"/>
  <c r="F42" i="11"/>
  <c r="F41" i="11"/>
  <c r="F40" i="11"/>
  <c r="F39" i="11"/>
  <c r="F37" i="11"/>
  <c r="F36" i="11"/>
  <c r="F35" i="11"/>
  <c r="F34" i="11"/>
  <c r="F31" i="11"/>
  <c r="F30" i="11"/>
  <c r="F29" i="11"/>
  <c r="F28" i="11"/>
  <c r="F26" i="11"/>
  <c r="F25" i="11"/>
  <c r="F24" i="11"/>
  <c r="F23" i="11"/>
  <c r="F22" i="11"/>
  <c r="F21" i="11"/>
  <c r="E43" i="21"/>
  <c r="D43" i="21"/>
  <c r="C43" i="21"/>
  <c r="BB43" i="21" s="1"/>
  <c r="E42" i="21"/>
  <c r="D42" i="21"/>
  <c r="C42" i="21"/>
  <c r="AV42" i="21" s="1"/>
  <c r="AM41" i="21"/>
  <c r="AD41" i="21"/>
  <c r="R41" i="21"/>
  <c r="E41" i="21"/>
  <c r="D41" i="21"/>
  <c r="C41" i="21"/>
  <c r="BE41" i="21" s="1"/>
  <c r="E40" i="21"/>
  <c r="D40" i="21"/>
  <c r="C40" i="21"/>
  <c r="AG40" i="21" s="1"/>
  <c r="E39" i="21"/>
  <c r="D39" i="21"/>
  <c r="C39" i="21"/>
  <c r="I39" i="21" s="1"/>
  <c r="E38" i="21"/>
  <c r="D38" i="21"/>
  <c r="C38" i="21"/>
  <c r="AV38" i="21" s="1"/>
  <c r="E37" i="21"/>
  <c r="D37" i="21"/>
  <c r="C37" i="21"/>
  <c r="BE37" i="21" s="1"/>
  <c r="E36" i="21"/>
  <c r="D36" i="21"/>
  <c r="C36" i="21"/>
  <c r="AV36" i="21" s="1"/>
  <c r="E35" i="21"/>
  <c r="D35" i="21"/>
  <c r="C35" i="21"/>
  <c r="U35" i="21" s="1"/>
  <c r="E34" i="21"/>
  <c r="D34" i="21"/>
  <c r="C34" i="21"/>
  <c r="BB34" i="21" s="1"/>
  <c r="E33" i="21"/>
  <c r="D33" i="21"/>
  <c r="C33" i="21"/>
  <c r="AD33" i="21" s="1"/>
  <c r="E32" i="21"/>
  <c r="D32" i="21"/>
  <c r="C32" i="21"/>
  <c r="AV32" i="21" s="1"/>
  <c r="E31" i="21"/>
  <c r="D31" i="21"/>
  <c r="C31" i="21"/>
  <c r="F31" i="21" s="1"/>
  <c r="E30" i="21"/>
  <c r="D30" i="21"/>
  <c r="C30" i="21"/>
  <c r="AS30" i="21" s="1"/>
  <c r="E29" i="21"/>
  <c r="D29" i="21"/>
  <c r="C29" i="21"/>
  <c r="AM29" i="21" s="1"/>
  <c r="E28" i="21"/>
  <c r="D28" i="21"/>
  <c r="C28" i="21"/>
  <c r="O28" i="21" s="1"/>
  <c r="E27" i="21"/>
  <c r="D27" i="21"/>
  <c r="C27" i="21"/>
  <c r="AJ27" i="21" s="1"/>
  <c r="E26" i="21"/>
  <c r="D26" i="21"/>
  <c r="C26" i="21"/>
  <c r="AV26" i="21" s="1"/>
  <c r="E25" i="21"/>
  <c r="D25" i="21"/>
  <c r="C25" i="21"/>
  <c r="AM25" i="21" s="1"/>
  <c r="E24" i="21"/>
  <c r="D24" i="21"/>
  <c r="C24" i="21"/>
  <c r="BE24" i="21" s="1"/>
  <c r="E23" i="21"/>
  <c r="D23" i="21"/>
  <c r="C23" i="21"/>
  <c r="AS23" i="21" s="1"/>
  <c r="E22" i="21"/>
  <c r="D22" i="21"/>
  <c r="C22" i="21"/>
  <c r="AA22" i="21" s="1"/>
  <c r="I21" i="21"/>
  <c r="F21" i="21"/>
  <c r="E21" i="21"/>
  <c r="D21" i="21"/>
  <c r="C21" i="21"/>
  <c r="E20" i="21"/>
  <c r="D20" i="21"/>
  <c r="C20" i="21"/>
  <c r="AS20" i="21" s="1"/>
  <c r="E19" i="21"/>
  <c r="D19" i="21"/>
  <c r="C19" i="21"/>
  <c r="E18" i="21"/>
  <c r="D18" i="21"/>
  <c r="C18" i="21"/>
  <c r="AP18" i="21" s="1"/>
  <c r="E17" i="21"/>
  <c r="D17" i="21"/>
  <c r="C17" i="21"/>
  <c r="O17" i="21" s="1"/>
  <c r="E16" i="21"/>
  <c r="D16" i="21"/>
  <c r="C16" i="21"/>
  <c r="E15" i="21"/>
  <c r="D15" i="21"/>
  <c r="C15" i="21"/>
  <c r="E14" i="21"/>
  <c r="D14" i="21"/>
  <c r="C14" i="21"/>
  <c r="R14" i="21" s="1"/>
  <c r="E13" i="21"/>
  <c r="D13" i="21"/>
  <c r="C13" i="21"/>
  <c r="AV13" i="21" s="1"/>
  <c r="E12" i="21"/>
  <c r="D12" i="21"/>
  <c r="C12" i="21"/>
  <c r="AS12" i="21" s="1"/>
  <c r="E11" i="21"/>
  <c r="D11" i="21"/>
  <c r="C11" i="21"/>
  <c r="R11" i="21" s="1"/>
  <c r="E10" i="21"/>
  <c r="D10" i="21"/>
  <c r="C10" i="21"/>
  <c r="AP10" i="21" s="1"/>
  <c r="E9" i="21"/>
  <c r="D9" i="21"/>
  <c r="C9" i="21"/>
  <c r="AM9" i="21" s="1"/>
  <c r="E43" i="20"/>
  <c r="D43" i="20"/>
  <c r="C43" i="20"/>
  <c r="AY43" i="20" s="1"/>
  <c r="E42" i="20"/>
  <c r="D42" i="20"/>
  <c r="C42" i="20"/>
  <c r="AV42" i="20" s="1"/>
  <c r="E41" i="20"/>
  <c r="D41" i="20"/>
  <c r="C41" i="20"/>
  <c r="BE41" i="20" s="1"/>
  <c r="E40" i="20"/>
  <c r="D40" i="20"/>
  <c r="C40" i="20"/>
  <c r="U40" i="20" s="1"/>
  <c r="BB39" i="20"/>
  <c r="E39" i="20"/>
  <c r="D39" i="20"/>
  <c r="C39" i="20"/>
  <c r="AY39" i="20" s="1"/>
  <c r="BB38" i="20"/>
  <c r="AP38" i="20"/>
  <c r="F38" i="20"/>
  <c r="E38" i="20"/>
  <c r="D38" i="20"/>
  <c r="C38" i="20"/>
  <c r="AV38" i="20" s="1"/>
  <c r="E37" i="20"/>
  <c r="D37" i="20"/>
  <c r="C37" i="20"/>
  <c r="BE37" i="20" s="1"/>
  <c r="E36" i="20"/>
  <c r="D36" i="20"/>
  <c r="C36" i="20"/>
  <c r="BE36" i="20" s="1"/>
  <c r="E35" i="20"/>
  <c r="D35" i="20"/>
  <c r="C35" i="20"/>
  <c r="BE35" i="20" s="1"/>
  <c r="E34" i="20"/>
  <c r="D34" i="20"/>
  <c r="C34" i="20"/>
  <c r="AV34" i="20" s="1"/>
  <c r="E33" i="20"/>
  <c r="D33" i="20"/>
  <c r="C33" i="20"/>
  <c r="O33" i="20" s="1"/>
  <c r="E32" i="20"/>
  <c r="D32" i="20"/>
  <c r="C32" i="20"/>
  <c r="E31" i="20"/>
  <c r="D31" i="20"/>
  <c r="C31" i="20"/>
  <c r="E30" i="20"/>
  <c r="D30" i="20"/>
  <c r="C30" i="20"/>
  <c r="F30" i="20" s="1"/>
  <c r="E29" i="20"/>
  <c r="D29" i="20"/>
  <c r="C29" i="20"/>
  <c r="O29" i="20" s="1"/>
  <c r="E28" i="20"/>
  <c r="D28" i="20"/>
  <c r="C28" i="20"/>
  <c r="BE28" i="20" s="1"/>
  <c r="E27" i="20"/>
  <c r="D27" i="20"/>
  <c r="C27" i="20"/>
  <c r="AG27" i="20" s="1"/>
  <c r="E26" i="20"/>
  <c r="D26" i="20"/>
  <c r="C26" i="20"/>
  <c r="E25" i="20"/>
  <c r="D25" i="20"/>
  <c r="C25" i="20"/>
  <c r="AS25" i="20" s="1"/>
  <c r="E24" i="20"/>
  <c r="D24" i="20"/>
  <c r="C24" i="20"/>
  <c r="BE24" i="20" s="1"/>
  <c r="E23" i="20"/>
  <c r="D23" i="20"/>
  <c r="C23" i="20"/>
  <c r="AV23" i="20" s="1"/>
  <c r="E22" i="20"/>
  <c r="D22" i="20"/>
  <c r="C22" i="20"/>
  <c r="BE22" i="20" s="1"/>
  <c r="I21" i="20"/>
  <c r="F21" i="20"/>
  <c r="E21" i="20"/>
  <c r="D21" i="20"/>
  <c r="C21" i="20"/>
  <c r="AA21" i="20" s="1"/>
  <c r="E20" i="20"/>
  <c r="D20" i="20"/>
  <c r="C20" i="20"/>
  <c r="BB20" i="20" s="1"/>
  <c r="E19" i="20"/>
  <c r="D19" i="20"/>
  <c r="C19" i="20"/>
  <c r="AA19" i="20" s="1"/>
  <c r="E18" i="20"/>
  <c r="D18" i="20"/>
  <c r="C18" i="20"/>
  <c r="AD18" i="20" s="1"/>
  <c r="E17" i="20"/>
  <c r="D17" i="20"/>
  <c r="C17" i="20"/>
  <c r="U17" i="20" s="1"/>
  <c r="E16" i="20"/>
  <c r="D16" i="20"/>
  <c r="C16" i="20"/>
  <c r="AV16" i="20" s="1"/>
  <c r="E15" i="20"/>
  <c r="D15" i="20"/>
  <c r="C15" i="20"/>
  <c r="E14" i="20"/>
  <c r="D14" i="20"/>
  <c r="C14" i="20"/>
  <c r="AV14" i="20" s="1"/>
  <c r="E13" i="20"/>
  <c r="D13" i="20"/>
  <c r="C13" i="20"/>
  <c r="I13" i="20" s="1"/>
  <c r="E12" i="20"/>
  <c r="D12" i="20"/>
  <c r="C12" i="20"/>
  <c r="AA12" i="20" s="1"/>
  <c r="E11" i="20"/>
  <c r="D11" i="20"/>
  <c r="C11" i="20"/>
  <c r="AJ11" i="20" s="1"/>
  <c r="E10" i="20"/>
  <c r="D10" i="20"/>
  <c r="C10" i="20"/>
  <c r="BB10" i="20" s="1"/>
  <c r="E9" i="20"/>
  <c r="D9" i="20"/>
  <c r="C9" i="20"/>
  <c r="BB9" i="20" s="1"/>
  <c r="C9" i="19"/>
  <c r="D9" i="19"/>
  <c r="E9" i="19"/>
  <c r="C10" i="19"/>
  <c r="D10" i="19"/>
  <c r="E10" i="19"/>
  <c r="C11" i="19"/>
  <c r="F11" i="19" s="1"/>
  <c r="D11" i="19"/>
  <c r="E11" i="19"/>
  <c r="C12" i="19"/>
  <c r="I12" i="19" s="1"/>
  <c r="D12" i="19"/>
  <c r="E12" i="19"/>
  <c r="C13" i="19"/>
  <c r="AV13" i="19" s="1"/>
  <c r="D13" i="19"/>
  <c r="E13" i="19"/>
  <c r="C14" i="19"/>
  <c r="F14" i="19" s="1"/>
  <c r="D14" i="19"/>
  <c r="E14" i="19"/>
  <c r="C15" i="19"/>
  <c r="I15" i="19" s="1"/>
  <c r="D15" i="19"/>
  <c r="E15" i="19"/>
  <c r="C16" i="19"/>
  <c r="D16" i="19"/>
  <c r="E16" i="19"/>
  <c r="C17" i="19"/>
  <c r="U17" i="19" s="1"/>
  <c r="D17" i="19"/>
  <c r="E17" i="19"/>
  <c r="C18" i="19"/>
  <c r="F18" i="19" s="1"/>
  <c r="D18" i="19"/>
  <c r="E18" i="19"/>
  <c r="C19" i="19"/>
  <c r="O19" i="19" s="1"/>
  <c r="D19" i="19"/>
  <c r="E19" i="19"/>
  <c r="C20" i="19"/>
  <c r="AS20" i="19" s="1"/>
  <c r="D20" i="19"/>
  <c r="E20" i="19"/>
  <c r="C21" i="19"/>
  <c r="L21" i="19" s="1"/>
  <c r="D21" i="19"/>
  <c r="E21" i="19"/>
  <c r="F21" i="19"/>
  <c r="I21" i="19"/>
  <c r="C22" i="19"/>
  <c r="BE22" i="19" s="1"/>
  <c r="D22" i="19"/>
  <c r="E22" i="19"/>
  <c r="C23" i="19"/>
  <c r="AD23" i="19" s="1"/>
  <c r="D23" i="19"/>
  <c r="E23" i="19"/>
  <c r="C24" i="19"/>
  <c r="AM24" i="19" s="1"/>
  <c r="D24" i="19"/>
  <c r="E24" i="19"/>
  <c r="C25" i="19"/>
  <c r="O25" i="19" s="1"/>
  <c r="D25" i="19"/>
  <c r="E25" i="19"/>
  <c r="C26" i="19"/>
  <c r="O26" i="19" s="1"/>
  <c r="D26" i="19"/>
  <c r="E26" i="19"/>
  <c r="C27" i="19"/>
  <c r="I27" i="19" s="1"/>
  <c r="D27" i="19"/>
  <c r="E27" i="19"/>
  <c r="C28" i="19"/>
  <c r="O28" i="19" s="1"/>
  <c r="D28" i="19"/>
  <c r="E28" i="19"/>
  <c r="C29" i="19"/>
  <c r="AG29" i="19" s="1"/>
  <c r="D29" i="19"/>
  <c r="E29" i="19"/>
  <c r="U29" i="19"/>
  <c r="BE29" i="19"/>
  <c r="C30" i="19"/>
  <c r="AD30" i="19" s="1"/>
  <c r="D30" i="19"/>
  <c r="E30" i="19"/>
  <c r="C31" i="19"/>
  <c r="L31" i="19" s="1"/>
  <c r="D31" i="19"/>
  <c r="E31" i="19"/>
  <c r="I31" i="19"/>
  <c r="AG31" i="19"/>
  <c r="BB31" i="19"/>
  <c r="C32" i="19"/>
  <c r="AJ32" i="19" s="1"/>
  <c r="D32" i="19"/>
  <c r="E32" i="19"/>
  <c r="C33" i="19"/>
  <c r="O33" i="19" s="1"/>
  <c r="D33" i="19"/>
  <c r="E33" i="19"/>
  <c r="BE33" i="19"/>
  <c r="C34" i="19"/>
  <c r="AY34" i="19" s="1"/>
  <c r="D34" i="19"/>
  <c r="E34" i="19"/>
  <c r="C35" i="19"/>
  <c r="L35" i="19" s="1"/>
  <c r="D35" i="19"/>
  <c r="E35" i="19"/>
  <c r="C36" i="19"/>
  <c r="O36" i="19" s="1"/>
  <c r="D36" i="19"/>
  <c r="E36" i="19"/>
  <c r="L36" i="19"/>
  <c r="X36" i="19"/>
  <c r="AJ36" i="19"/>
  <c r="AV36" i="19"/>
  <c r="C37" i="19"/>
  <c r="F37" i="19" s="1"/>
  <c r="D37" i="19"/>
  <c r="E37" i="19"/>
  <c r="C38" i="19"/>
  <c r="L38" i="19" s="1"/>
  <c r="D38" i="19"/>
  <c r="E38" i="19"/>
  <c r="AS38" i="19"/>
  <c r="C39" i="19"/>
  <c r="L39" i="19" s="1"/>
  <c r="D39" i="19"/>
  <c r="E39" i="19"/>
  <c r="AS39" i="19"/>
  <c r="C40" i="19"/>
  <c r="O40" i="19" s="1"/>
  <c r="D40" i="19"/>
  <c r="E40" i="19"/>
  <c r="X40" i="19"/>
  <c r="C41" i="19"/>
  <c r="F41" i="19" s="1"/>
  <c r="D41" i="19"/>
  <c r="E41" i="19"/>
  <c r="U41" i="19"/>
  <c r="AS41" i="19"/>
  <c r="C42" i="19"/>
  <c r="L42" i="19" s="1"/>
  <c r="D42" i="19"/>
  <c r="E42" i="19"/>
  <c r="O42" i="19"/>
  <c r="R42" i="19"/>
  <c r="AD42" i="19"/>
  <c r="AG42" i="19"/>
  <c r="BB42" i="19"/>
  <c r="C43" i="19"/>
  <c r="L43" i="19" s="1"/>
  <c r="D43" i="19"/>
  <c r="E43" i="19"/>
  <c r="E43" i="18"/>
  <c r="D43" i="18"/>
  <c r="C43" i="18"/>
  <c r="AY43" i="18" s="1"/>
  <c r="E42" i="18"/>
  <c r="D42" i="18"/>
  <c r="C42" i="18"/>
  <c r="BE42" i="18" s="1"/>
  <c r="E41" i="18"/>
  <c r="D41" i="18"/>
  <c r="C41" i="18"/>
  <c r="BE41" i="18" s="1"/>
  <c r="E40" i="18"/>
  <c r="D40" i="18"/>
  <c r="C40" i="18"/>
  <c r="AY40" i="18" s="1"/>
  <c r="E39" i="18"/>
  <c r="D39" i="18"/>
  <c r="C39" i="18"/>
  <c r="BE39" i="18" s="1"/>
  <c r="E38" i="18"/>
  <c r="D38" i="18"/>
  <c r="C38" i="18"/>
  <c r="BE38" i="18" s="1"/>
  <c r="E37" i="18"/>
  <c r="D37" i="18"/>
  <c r="C37" i="18"/>
  <c r="U37" i="18" s="1"/>
  <c r="E36" i="18"/>
  <c r="D36" i="18"/>
  <c r="C36" i="18"/>
  <c r="AY36" i="18" s="1"/>
  <c r="E35" i="18"/>
  <c r="D35" i="18"/>
  <c r="C35" i="18"/>
  <c r="AY35" i="18" s="1"/>
  <c r="E34" i="18"/>
  <c r="D34" i="18"/>
  <c r="C34" i="18"/>
  <c r="BE34" i="18" s="1"/>
  <c r="E33" i="18"/>
  <c r="D33" i="18"/>
  <c r="C33" i="18"/>
  <c r="I33" i="18" s="1"/>
  <c r="E32" i="18"/>
  <c r="D32" i="18"/>
  <c r="C32" i="18"/>
  <c r="E31" i="18"/>
  <c r="D31" i="18"/>
  <c r="C31" i="18"/>
  <c r="E30" i="18"/>
  <c r="D30" i="18"/>
  <c r="C30" i="18"/>
  <c r="E29" i="18"/>
  <c r="D29" i="18"/>
  <c r="C29" i="18"/>
  <c r="E28" i="18"/>
  <c r="D28" i="18"/>
  <c r="C28" i="18"/>
  <c r="E27" i="18"/>
  <c r="D27" i="18"/>
  <c r="C27" i="18"/>
  <c r="E26" i="18"/>
  <c r="D26" i="18"/>
  <c r="C26" i="18"/>
  <c r="E25" i="18"/>
  <c r="D25" i="18"/>
  <c r="C25" i="18"/>
  <c r="E24" i="18"/>
  <c r="D24" i="18"/>
  <c r="C24" i="18"/>
  <c r="E23" i="18"/>
  <c r="D23" i="18"/>
  <c r="C23" i="18"/>
  <c r="E22" i="18"/>
  <c r="D22" i="18"/>
  <c r="C22" i="18"/>
  <c r="E21" i="18"/>
  <c r="D21" i="18"/>
  <c r="C21" i="18"/>
  <c r="E20" i="18"/>
  <c r="D20" i="18"/>
  <c r="C20" i="18"/>
  <c r="E19" i="18"/>
  <c r="D19" i="18"/>
  <c r="C19" i="18"/>
  <c r="E18" i="18"/>
  <c r="D18" i="18"/>
  <c r="C18" i="18"/>
  <c r="E17" i="18"/>
  <c r="D17" i="18"/>
  <c r="C17" i="18"/>
  <c r="E16" i="18"/>
  <c r="D16" i="18"/>
  <c r="C16" i="18"/>
  <c r="E15" i="18"/>
  <c r="D15" i="18"/>
  <c r="C15" i="18"/>
  <c r="E14" i="18"/>
  <c r="D14" i="18"/>
  <c r="C14" i="18"/>
  <c r="E13" i="18"/>
  <c r="D13" i="18"/>
  <c r="C13" i="18"/>
  <c r="E12" i="18"/>
  <c r="D12" i="18"/>
  <c r="C12" i="18"/>
  <c r="E11" i="18"/>
  <c r="D11" i="18"/>
  <c r="C11" i="18"/>
  <c r="E10" i="18"/>
  <c r="D10" i="18"/>
  <c r="C10" i="18"/>
  <c r="E9" i="18"/>
  <c r="D9" i="18"/>
  <c r="C9" i="18"/>
  <c r="E43" i="17"/>
  <c r="D43" i="17"/>
  <c r="C43" i="17"/>
  <c r="AY43" i="17" s="1"/>
  <c r="E42" i="17"/>
  <c r="D42" i="17"/>
  <c r="C42" i="17"/>
  <c r="X42" i="17" s="1"/>
  <c r="E41" i="17"/>
  <c r="D41" i="17"/>
  <c r="C41" i="17"/>
  <c r="BE41" i="17" s="1"/>
  <c r="E40" i="17"/>
  <c r="D40" i="17"/>
  <c r="C40" i="17"/>
  <c r="AY40" i="17" s="1"/>
  <c r="E39" i="17"/>
  <c r="D39" i="17"/>
  <c r="C39" i="17"/>
  <c r="AA39" i="17" s="1"/>
  <c r="L38" i="17"/>
  <c r="E38" i="17"/>
  <c r="D38" i="17"/>
  <c r="C38" i="17"/>
  <c r="BE38" i="17" s="1"/>
  <c r="BE37" i="17"/>
  <c r="E37" i="17"/>
  <c r="D37" i="17"/>
  <c r="C37" i="17"/>
  <c r="I37" i="17" s="1"/>
  <c r="BB36" i="17"/>
  <c r="F36" i="17"/>
  <c r="E36" i="17"/>
  <c r="D36" i="17"/>
  <c r="C36" i="17"/>
  <c r="AY36" i="17" s="1"/>
  <c r="E35" i="17"/>
  <c r="D35" i="17"/>
  <c r="C35" i="17"/>
  <c r="AV35" i="17" s="1"/>
  <c r="E34" i="17"/>
  <c r="D34" i="17"/>
  <c r="C34" i="17"/>
  <c r="E33" i="17"/>
  <c r="D33" i="17"/>
  <c r="C33" i="17"/>
  <c r="BE33" i="17" s="1"/>
  <c r="E32" i="17"/>
  <c r="D32" i="17"/>
  <c r="C32" i="17"/>
  <c r="AY32" i="17" s="1"/>
  <c r="E31" i="17"/>
  <c r="D31" i="17"/>
  <c r="C31" i="17"/>
  <c r="AA31" i="17" s="1"/>
  <c r="E30" i="17"/>
  <c r="D30" i="17"/>
  <c r="C30" i="17"/>
  <c r="E29" i="17"/>
  <c r="D29" i="17"/>
  <c r="C29" i="17"/>
  <c r="E28" i="17"/>
  <c r="D28" i="17"/>
  <c r="C28" i="17"/>
  <c r="R28" i="17" s="1"/>
  <c r="E27" i="17"/>
  <c r="D27" i="17"/>
  <c r="C27" i="17"/>
  <c r="AM27" i="17" s="1"/>
  <c r="E26" i="17"/>
  <c r="D26" i="17"/>
  <c r="C26" i="17"/>
  <c r="U26" i="17" s="1"/>
  <c r="E25" i="17"/>
  <c r="D25" i="17"/>
  <c r="C25" i="17"/>
  <c r="AY25" i="17" s="1"/>
  <c r="E24" i="17"/>
  <c r="D24" i="17"/>
  <c r="C24" i="17"/>
  <c r="BE24" i="17" s="1"/>
  <c r="E23" i="17"/>
  <c r="D23" i="17"/>
  <c r="C23" i="17"/>
  <c r="AV23" i="17" s="1"/>
  <c r="E22" i="17"/>
  <c r="D22" i="17"/>
  <c r="C22" i="17"/>
  <c r="I21" i="17"/>
  <c r="F21" i="17"/>
  <c r="E21" i="17"/>
  <c r="D21" i="17"/>
  <c r="C21" i="17"/>
  <c r="E20" i="17"/>
  <c r="D20" i="17"/>
  <c r="C20" i="17"/>
  <c r="E19" i="17"/>
  <c r="D19" i="17"/>
  <c r="C19" i="17"/>
  <c r="E18" i="17"/>
  <c r="D18" i="17"/>
  <c r="C18" i="17"/>
  <c r="E17" i="17"/>
  <c r="D17" i="17"/>
  <c r="C17" i="17"/>
  <c r="AV17" i="17" s="1"/>
  <c r="E16" i="17"/>
  <c r="D16" i="17"/>
  <c r="C16" i="17"/>
  <c r="O16" i="17" s="1"/>
  <c r="E15" i="17"/>
  <c r="D15" i="17"/>
  <c r="C15" i="17"/>
  <c r="X15" i="17" s="1"/>
  <c r="E14" i="17"/>
  <c r="D14" i="17"/>
  <c r="C14" i="17"/>
  <c r="E13" i="17"/>
  <c r="D13" i="17"/>
  <c r="C13" i="17"/>
  <c r="E12" i="17"/>
  <c r="D12" i="17"/>
  <c r="C12" i="17"/>
  <c r="E11" i="17"/>
  <c r="D11" i="17"/>
  <c r="C11" i="17"/>
  <c r="R11" i="17" s="1"/>
  <c r="E10" i="17"/>
  <c r="D10" i="17"/>
  <c r="C10" i="17"/>
  <c r="AM10" i="17" s="1"/>
  <c r="E9" i="17"/>
  <c r="D9" i="17"/>
  <c r="C9" i="17"/>
  <c r="E43" i="16"/>
  <c r="D43" i="16"/>
  <c r="C43" i="16"/>
  <c r="AY43" i="16" s="1"/>
  <c r="E42" i="16"/>
  <c r="D42" i="16"/>
  <c r="C42" i="16"/>
  <c r="AV42" i="16" s="1"/>
  <c r="E41" i="16"/>
  <c r="D41" i="16"/>
  <c r="C41" i="16"/>
  <c r="BE41" i="16" s="1"/>
  <c r="E40" i="16"/>
  <c r="D40" i="16"/>
  <c r="C40" i="16"/>
  <c r="E39" i="16"/>
  <c r="D39" i="16"/>
  <c r="C39" i="16"/>
  <c r="AV39" i="16" s="1"/>
  <c r="E38" i="16"/>
  <c r="D38" i="16"/>
  <c r="C38" i="16"/>
  <c r="X38" i="16" s="1"/>
  <c r="E37" i="16"/>
  <c r="D37" i="16"/>
  <c r="C37" i="16"/>
  <c r="E36" i="16"/>
  <c r="D36" i="16"/>
  <c r="C36" i="16"/>
  <c r="R36" i="16" s="1"/>
  <c r="E35" i="16"/>
  <c r="D35" i="16"/>
  <c r="C35" i="16"/>
  <c r="E34" i="16"/>
  <c r="D34" i="16"/>
  <c r="C34" i="16"/>
  <c r="L34" i="16" s="1"/>
  <c r="E33" i="16"/>
  <c r="D33" i="16"/>
  <c r="C33" i="16"/>
  <c r="BE33" i="16" s="1"/>
  <c r="E32" i="16"/>
  <c r="D32" i="16"/>
  <c r="C32" i="16"/>
  <c r="BB32" i="16" s="1"/>
  <c r="E31" i="16"/>
  <c r="D31" i="16"/>
  <c r="C31" i="16"/>
  <c r="AV31" i="16" s="1"/>
  <c r="E30" i="16"/>
  <c r="D30" i="16"/>
  <c r="C30" i="16"/>
  <c r="X30" i="16" s="1"/>
  <c r="E29" i="16"/>
  <c r="D29" i="16"/>
  <c r="C29" i="16"/>
  <c r="BE29" i="16" s="1"/>
  <c r="E28" i="16"/>
  <c r="D28" i="16"/>
  <c r="C28" i="16"/>
  <c r="F28" i="16" s="1"/>
  <c r="E27" i="16"/>
  <c r="D27" i="16"/>
  <c r="C27" i="16"/>
  <c r="AD27" i="16" s="1"/>
  <c r="E26" i="16"/>
  <c r="D26" i="16"/>
  <c r="C26" i="16"/>
  <c r="BB26" i="16" s="1"/>
  <c r="E25" i="16"/>
  <c r="D25" i="16"/>
  <c r="C25" i="16"/>
  <c r="BB25" i="16" s="1"/>
  <c r="E24" i="16"/>
  <c r="D24" i="16"/>
  <c r="C24" i="16"/>
  <c r="AY24" i="16" s="1"/>
  <c r="E23" i="16"/>
  <c r="D23" i="16"/>
  <c r="C23" i="16"/>
  <c r="AV23" i="16" s="1"/>
  <c r="E22" i="16"/>
  <c r="D22" i="16"/>
  <c r="C22" i="16"/>
  <c r="BE22" i="16" s="1"/>
  <c r="I21" i="16"/>
  <c r="F21" i="16"/>
  <c r="E21" i="16"/>
  <c r="D21" i="16"/>
  <c r="C21" i="16"/>
  <c r="BB21" i="16" s="1"/>
  <c r="E20" i="16"/>
  <c r="D20" i="16"/>
  <c r="C20" i="16"/>
  <c r="AG20" i="16" s="1"/>
  <c r="E19" i="16"/>
  <c r="D19" i="16"/>
  <c r="C19" i="16"/>
  <c r="AD19" i="16" s="1"/>
  <c r="E18" i="16"/>
  <c r="D18" i="16"/>
  <c r="C18" i="16"/>
  <c r="BE18" i="16" s="1"/>
  <c r="E17" i="16"/>
  <c r="D17" i="16"/>
  <c r="C17" i="16"/>
  <c r="BB17" i="16" s="1"/>
  <c r="E16" i="16"/>
  <c r="D16" i="16"/>
  <c r="C16" i="16"/>
  <c r="BE16" i="16" s="1"/>
  <c r="E15" i="16"/>
  <c r="D15" i="16"/>
  <c r="C15" i="16"/>
  <c r="U15" i="16" s="1"/>
  <c r="E14" i="16"/>
  <c r="D14" i="16"/>
  <c r="C14" i="16"/>
  <c r="BE14" i="16" s="1"/>
  <c r="E13" i="16"/>
  <c r="D13" i="16"/>
  <c r="C13" i="16"/>
  <c r="AJ13" i="16" s="1"/>
  <c r="E12" i="16"/>
  <c r="D12" i="16"/>
  <c r="C12" i="16"/>
  <c r="BB12" i="16" s="1"/>
  <c r="E11" i="16"/>
  <c r="D11" i="16"/>
  <c r="C11" i="16"/>
  <c r="BE11" i="16" s="1"/>
  <c r="E10" i="16"/>
  <c r="D10" i="16"/>
  <c r="C10" i="16"/>
  <c r="E9" i="16"/>
  <c r="D9" i="16"/>
  <c r="C9" i="16"/>
  <c r="J16" i="15"/>
  <c r="E16" i="15"/>
  <c r="J15" i="15"/>
  <c r="J14" i="15"/>
  <c r="R12" i="15"/>
  <c r="B12" i="15"/>
  <c r="B11" i="15"/>
  <c r="J16" i="14"/>
  <c r="E16" i="14"/>
  <c r="J15" i="14"/>
  <c r="J14" i="14"/>
  <c r="R12" i="14"/>
  <c r="B12" i="14"/>
  <c r="B11" i="14"/>
  <c r="J16" i="13"/>
  <c r="E16" i="13"/>
  <c r="J15" i="13"/>
  <c r="J14" i="13"/>
  <c r="R12" i="13"/>
  <c r="B12" i="13"/>
  <c r="B11" i="13"/>
  <c r="J16" i="12"/>
  <c r="E16" i="12"/>
  <c r="J15" i="12"/>
  <c r="J14" i="12"/>
  <c r="R12" i="12"/>
  <c r="B12" i="12"/>
  <c r="B11" i="12"/>
  <c r="J16" i="10"/>
  <c r="E16" i="10"/>
  <c r="J15" i="10"/>
  <c r="J14" i="10"/>
  <c r="R12" i="10"/>
  <c r="B12" i="10"/>
  <c r="B11" i="10"/>
  <c r="AY9" i="19" l="1"/>
  <c r="F9" i="19"/>
  <c r="X10" i="19"/>
  <c r="F10" i="19"/>
  <c r="AA11" i="16"/>
  <c r="F22" i="16"/>
  <c r="AD36" i="17"/>
  <c r="AV11" i="18"/>
  <c r="BE15" i="18"/>
  <c r="H32" i="12"/>
  <c r="L32" i="12" s="1"/>
  <c r="M32" i="12" s="1"/>
  <c r="H21" i="12"/>
  <c r="L21" i="12" s="1"/>
  <c r="M21" i="12" s="1"/>
  <c r="AY27" i="18"/>
  <c r="R38" i="18"/>
  <c r="AM42" i="19"/>
  <c r="U42" i="19"/>
  <c r="AY41" i="19"/>
  <c r="AA41" i="19"/>
  <c r="AP33" i="19"/>
  <c r="AD38" i="20"/>
  <c r="AV37" i="21"/>
  <c r="X41" i="21"/>
  <c r="AP38" i="18"/>
  <c r="BB37" i="21"/>
  <c r="AV38" i="17"/>
  <c r="H31" i="24"/>
  <c r="L31" i="24" s="1"/>
  <c r="M31" i="24" s="1"/>
  <c r="H20" i="24"/>
  <c r="L20" i="24" s="1"/>
  <c r="M20" i="24" s="1"/>
  <c r="AV13" i="18"/>
  <c r="AY21" i="18"/>
  <c r="I29" i="18"/>
  <c r="AM29" i="18"/>
  <c r="F29" i="18"/>
  <c r="AP29" i="18"/>
  <c r="BB38" i="18"/>
  <c r="AG43" i="19"/>
  <c r="AM41" i="19"/>
  <c r="I41" i="19"/>
  <c r="AP42" i="21"/>
  <c r="BE16" i="18"/>
  <c r="BE24" i="18"/>
  <c r="AP42" i="19"/>
  <c r="AA42" i="19"/>
  <c r="F42" i="19"/>
  <c r="BE41" i="19"/>
  <c r="AG41" i="19"/>
  <c r="L40" i="19"/>
  <c r="AM26" i="19"/>
  <c r="BE19" i="19"/>
  <c r="BE18" i="19"/>
  <c r="R38" i="20"/>
  <c r="AJ19" i="19"/>
  <c r="AM38" i="19"/>
  <c r="BE37" i="19"/>
  <c r="I37" i="18"/>
  <c r="F42" i="18"/>
  <c r="AG38" i="19"/>
  <c r="AY37" i="19"/>
  <c r="I29" i="19"/>
  <c r="AJ41" i="21"/>
  <c r="AP38" i="19"/>
  <c r="AD38" i="19"/>
  <c r="AS37" i="19"/>
  <c r="R43" i="21"/>
  <c r="O39" i="16"/>
  <c r="L42" i="16"/>
  <c r="BE37" i="18"/>
  <c r="U39" i="18"/>
  <c r="X42" i="18"/>
  <c r="BE42" i="19"/>
  <c r="I42" i="19"/>
  <c r="O41" i="19"/>
  <c r="AA38" i="19"/>
  <c r="AM37" i="19"/>
  <c r="BE11" i="19"/>
  <c r="AG36" i="20"/>
  <c r="AV41" i="20"/>
  <c r="F38" i="21"/>
  <c r="I40" i="21"/>
  <c r="AY41" i="21"/>
  <c r="AP43" i="21"/>
  <c r="F32" i="18"/>
  <c r="I32" i="18"/>
  <c r="AM32" i="18"/>
  <c r="AM39" i="16"/>
  <c r="AY39" i="16"/>
  <c r="F40" i="17"/>
  <c r="F36" i="18"/>
  <c r="AP42" i="18"/>
  <c r="AY42" i="19"/>
  <c r="R38" i="19"/>
  <c r="AA37" i="19"/>
  <c r="O18" i="19"/>
  <c r="F37" i="21"/>
  <c r="AD38" i="21"/>
  <c r="AY31" i="18"/>
  <c r="I31" i="18"/>
  <c r="AD42" i="18"/>
  <c r="U38" i="19"/>
  <c r="R38" i="21"/>
  <c r="AD40" i="17"/>
  <c r="R36" i="18"/>
  <c r="AV42" i="18"/>
  <c r="AS42" i="19"/>
  <c r="O38" i="19"/>
  <c r="U37" i="19"/>
  <c r="F39" i="20"/>
  <c r="O37" i="21"/>
  <c r="AP38" i="21"/>
  <c r="AG37" i="18"/>
  <c r="R42" i="18"/>
  <c r="AJ42" i="16"/>
  <c r="AG37" i="19"/>
  <c r="BE40" i="21"/>
  <c r="BB40" i="17"/>
  <c r="AD36" i="18"/>
  <c r="F38" i="18"/>
  <c r="BB42" i="18"/>
  <c r="BE38" i="19"/>
  <c r="I38" i="19"/>
  <c r="O37" i="19"/>
  <c r="BE35" i="19"/>
  <c r="AS32" i="19"/>
  <c r="O30" i="19"/>
  <c r="AD39" i="20"/>
  <c r="O42" i="20"/>
  <c r="X37" i="21"/>
  <c r="BB38" i="21"/>
  <c r="F42" i="21"/>
  <c r="AD37" i="21"/>
  <c r="F41" i="21"/>
  <c r="R42" i="21"/>
  <c r="BE30" i="18"/>
  <c r="I30" i="18"/>
  <c r="AP36" i="18"/>
  <c r="AV40" i="19"/>
  <c r="BB38" i="19"/>
  <c r="F38" i="19"/>
  <c r="I37" i="19"/>
  <c r="L32" i="19"/>
  <c r="AM42" i="20"/>
  <c r="AJ38" i="17"/>
  <c r="BB36" i="18"/>
  <c r="AD38" i="18"/>
  <c r="AJ40" i="19"/>
  <c r="AY38" i="19"/>
  <c r="I32" i="19"/>
  <c r="AM37" i="21"/>
  <c r="O41" i="21"/>
  <c r="AD42" i="21"/>
  <c r="E15" i="42"/>
  <c r="E15" i="41"/>
  <c r="E15" i="43"/>
  <c r="E15" i="44"/>
  <c r="E15" i="40"/>
  <c r="AM14" i="19"/>
  <c r="U28" i="19"/>
  <c r="BE25" i="19"/>
  <c r="X13" i="19"/>
  <c r="BB12" i="19"/>
  <c r="BB23" i="19"/>
  <c r="U22" i="19"/>
  <c r="E14" i="44"/>
  <c r="E14" i="43"/>
  <c r="E14" i="42"/>
  <c r="E14" i="41"/>
  <c r="E14" i="40"/>
  <c r="R19" i="19"/>
  <c r="U11" i="19"/>
  <c r="L13" i="21"/>
  <c r="E15" i="11"/>
  <c r="E15" i="31"/>
  <c r="AY18" i="19"/>
  <c r="I18" i="19"/>
  <c r="BB17" i="19"/>
  <c r="AD15" i="19"/>
  <c r="BE14" i="19"/>
  <c r="AM11" i="19"/>
  <c r="AM21" i="20"/>
  <c r="AM18" i="19"/>
  <c r="BE15" i="19"/>
  <c r="E14" i="31"/>
  <c r="BB32" i="17"/>
  <c r="I33" i="17"/>
  <c r="AG35" i="19"/>
  <c r="AA34" i="19"/>
  <c r="R25" i="19"/>
  <c r="AG18" i="19"/>
  <c r="O14" i="19"/>
  <c r="O11" i="19"/>
  <c r="AP10" i="19"/>
  <c r="O20" i="20"/>
  <c r="E15" i="27"/>
  <c r="U24" i="21"/>
  <c r="AY40" i="16"/>
  <c r="AD40" i="16"/>
  <c r="BB40" i="16"/>
  <c r="F40" i="16"/>
  <c r="AP40" i="16"/>
  <c r="AV13" i="17"/>
  <c r="AM13" i="17"/>
  <c r="R21" i="17"/>
  <c r="AP21" i="17"/>
  <c r="AY36" i="16"/>
  <c r="BB36" i="16"/>
  <c r="F36" i="16"/>
  <c r="AD36" i="16"/>
  <c r="AP36" i="16"/>
  <c r="BE38" i="16"/>
  <c r="L38" i="16"/>
  <c r="AJ38" i="16"/>
  <c r="AV38" i="16"/>
  <c r="BE20" i="17"/>
  <c r="L20" i="17"/>
  <c r="U22" i="17"/>
  <c r="F22" i="17"/>
  <c r="BE30" i="17"/>
  <c r="L30" i="17"/>
  <c r="AV39" i="17"/>
  <c r="AM39" i="17"/>
  <c r="O39" i="17"/>
  <c r="AY39" i="17"/>
  <c r="BE37" i="16"/>
  <c r="AG37" i="16"/>
  <c r="X19" i="17"/>
  <c r="I19" i="17"/>
  <c r="I29" i="17"/>
  <c r="BE29" i="17"/>
  <c r="AJ25" i="16"/>
  <c r="AA26" i="16"/>
  <c r="AY31" i="16"/>
  <c r="R40" i="16"/>
  <c r="AD18" i="17"/>
  <c r="F18" i="17"/>
  <c r="BE42" i="17"/>
  <c r="L42" i="17"/>
  <c r="AJ42" i="17"/>
  <c r="AV42" i="17"/>
  <c r="X42" i="16"/>
  <c r="AP36" i="17"/>
  <c r="R40" i="17"/>
  <c r="X36" i="18"/>
  <c r="AV36" i="18"/>
  <c r="AS37" i="18"/>
  <c r="X38" i="18"/>
  <c r="AV38" i="18"/>
  <c r="R40" i="18"/>
  <c r="AP40" i="18"/>
  <c r="AM41" i="18"/>
  <c r="U43" i="19"/>
  <c r="AV41" i="19"/>
  <c r="AJ41" i="19"/>
  <c r="X41" i="19"/>
  <c r="L41" i="19"/>
  <c r="AS40" i="19"/>
  <c r="U40" i="19"/>
  <c r="AG39" i="19"/>
  <c r="AV37" i="19"/>
  <c r="AJ37" i="19"/>
  <c r="X37" i="19"/>
  <c r="L37" i="19"/>
  <c r="AS36" i="19"/>
  <c r="U36" i="19"/>
  <c r="R34" i="19"/>
  <c r="BB25" i="19"/>
  <c r="I25" i="19"/>
  <c r="O22" i="19"/>
  <c r="BE21" i="19"/>
  <c r="AG19" i="19"/>
  <c r="AS14" i="19"/>
  <c r="I14" i="19"/>
  <c r="O9" i="20"/>
  <c r="H23" i="14" s="1"/>
  <c r="L23" i="14" s="1"/>
  <c r="M23" i="14" s="1"/>
  <c r="I36" i="20"/>
  <c r="AS36" i="20"/>
  <c r="X37" i="20"/>
  <c r="AV37" i="20"/>
  <c r="AA38" i="20"/>
  <c r="AY38" i="20"/>
  <c r="AP39" i="20"/>
  <c r="L41" i="20"/>
  <c r="AA42" i="20"/>
  <c r="AD43" i="20"/>
  <c r="I36" i="21"/>
  <c r="AG36" i="21"/>
  <c r="AY36" i="21"/>
  <c r="R37" i="21"/>
  <c r="AJ37" i="21"/>
  <c r="AY37" i="21"/>
  <c r="AA38" i="21"/>
  <c r="AY38" i="21"/>
  <c r="L41" i="21"/>
  <c r="AA41" i="21"/>
  <c r="AV41" i="21"/>
  <c r="AA42" i="21"/>
  <c r="AY42" i="21"/>
  <c r="AS43" i="21"/>
  <c r="X40" i="18"/>
  <c r="AV40" i="18"/>
  <c r="AY41" i="18"/>
  <c r="BE43" i="19"/>
  <c r="AJ25" i="19"/>
  <c r="U36" i="20"/>
  <c r="AV36" i="20"/>
  <c r="AA37" i="20"/>
  <c r="AY37" i="20"/>
  <c r="X41" i="20"/>
  <c r="AP43" i="20"/>
  <c r="O36" i="21"/>
  <c r="AJ36" i="21"/>
  <c r="BE36" i="21"/>
  <c r="BB42" i="21"/>
  <c r="AA39" i="16"/>
  <c r="R36" i="17"/>
  <c r="X38" i="17"/>
  <c r="AP40" i="17"/>
  <c r="BE27" i="18"/>
  <c r="BB28" i="18"/>
  <c r="AD30" i="18"/>
  <c r="L36" i="18"/>
  <c r="AJ36" i="18"/>
  <c r="L38" i="18"/>
  <c r="AJ38" i="18"/>
  <c r="AS39" i="18"/>
  <c r="F40" i="18"/>
  <c r="AD40" i="18"/>
  <c r="BB40" i="18"/>
  <c r="O41" i="18"/>
  <c r="L42" i="18"/>
  <c r="AJ42" i="18"/>
  <c r="AS43" i="19"/>
  <c r="BB41" i="19"/>
  <c r="AP41" i="19"/>
  <c r="AD41" i="19"/>
  <c r="R41" i="19"/>
  <c r="BE40" i="19"/>
  <c r="AG40" i="19"/>
  <c r="I40" i="19"/>
  <c r="BE39" i="19"/>
  <c r="BB37" i="19"/>
  <c r="AP37" i="19"/>
  <c r="AD37" i="19"/>
  <c r="R37" i="19"/>
  <c r="BE36" i="19"/>
  <c r="AG36" i="19"/>
  <c r="I36" i="19"/>
  <c r="AG25" i="19"/>
  <c r="BB19" i="19"/>
  <c r="I19" i="19"/>
  <c r="AG14" i="19"/>
  <c r="AS11" i="19"/>
  <c r="I10" i="19"/>
  <c r="X36" i="20"/>
  <c r="L37" i="20"/>
  <c r="AJ37" i="20"/>
  <c r="O38" i="20"/>
  <c r="AM38" i="20"/>
  <c r="R39" i="20"/>
  <c r="AJ41" i="20"/>
  <c r="AY42" i="20"/>
  <c r="F43" i="20"/>
  <c r="BB43" i="20"/>
  <c r="I20" i="21"/>
  <c r="BB26" i="21"/>
  <c r="U27" i="21"/>
  <c r="AY32" i="21"/>
  <c r="F33" i="21"/>
  <c r="U36" i="21"/>
  <c r="AM36" i="21"/>
  <c r="L37" i="21"/>
  <c r="AA37" i="21"/>
  <c r="AP37" i="21"/>
  <c r="O38" i="21"/>
  <c r="AM38" i="21"/>
  <c r="O42" i="21"/>
  <c r="AM42" i="21"/>
  <c r="U43" i="21"/>
  <c r="L40" i="18"/>
  <c r="AJ40" i="18"/>
  <c r="AA41" i="18"/>
  <c r="O37" i="20"/>
  <c r="AM37" i="20"/>
  <c r="R43" i="20"/>
  <c r="X36" i="21"/>
  <c r="E15" i="23"/>
  <c r="E15" i="24"/>
  <c r="E15" i="26"/>
  <c r="E15" i="28"/>
  <c r="E15" i="25"/>
  <c r="L21" i="11"/>
  <c r="M21" i="11" s="1"/>
  <c r="E15" i="14"/>
  <c r="L21" i="10"/>
  <c r="M21" i="10" s="1"/>
  <c r="E15" i="12"/>
  <c r="E15" i="13"/>
  <c r="E15" i="10"/>
  <c r="E15" i="15"/>
  <c r="AP21" i="19"/>
  <c r="X12" i="19"/>
  <c r="AD24" i="20"/>
  <c r="BE19" i="17"/>
  <c r="AV21" i="18"/>
  <c r="BB33" i="19"/>
  <c r="AJ33" i="19"/>
  <c r="U33" i="19"/>
  <c r="F33" i="19"/>
  <c r="AV31" i="19"/>
  <c r="X31" i="19"/>
  <c r="F31" i="19"/>
  <c r="BE30" i="19"/>
  <c r="I30" i="19"/>
  <c r="I24" i="19"/>
  <c r="BB21" i="19"/>
  <c r="AM21" i="19"/>
  <c r="U21" i="19"/>
  <c r="AV12" i="19"/>
  <c r="R12" i="19"/>
  <c r="U9" i="19"/>
  <c r="AY9" i="20"/>
  <c r="AM24" i="20"/>
  <c r="AY33" i="21"/>
  <c r="F34" i="21"/>
  <c r="X33" i="19"/>
  <c r="I33" i="19"/>
  <c r="O24" i="19"/>
  <c r="AA9" i="19"/>
  <c r="AY30" i="21"/>
  <c r="BB22" i="16"/>
  <c r="AY13" i="17"/>
  <c r="AV20" i="17"/>
  <c r="AP30" i="18"/>
  <c r="BE31" i="18"/>
  <c r="BB32" i="18"/>
  <c r="AD34" i="18"/>
  <c r="U35" i="19"/>
  <c r="BE34" i="19"/>
  <c r="AV33" i="19"/>
  <c r="AG33" i="19"/>
  <c r="R33" i="19"/>
  <c r="AP31" i="19"/>
  <c r="U31" i="19"/>
  <c r="AS30" i="19"/>
  <c r="AS29" i="19"/>
  <c r="AV25" i="19"/>
  <c r="X25" i="19"/>
  <c r="F25" i="19"/>
  <c r="AY24" i="19"/>
  <c r="I23" i="19"/>
  <c r="AY21" i="19"/>
  <c r="AG21" i="19"/>
  <c r="R21" i="19"/>
  <c r="AV19" i="19"/>
  <c r="X19" i="19"/>
  <c r="F19" i="19"/>
  <c r="AA18" i="19"/>
  <c r="L15" i="19"/>
  <c r="AP12" i="19"/>
  <c r="BB11" i="19"/>
  <c r="AG11" i="19"/>
  <c r="I11" i="19"/>
  <c r="AP13" i="20"/>
  <c r="O16" i="20"/>
  <c r="I17" i="20"/>
  <c r="AG28" i="20"/>
  <c r="AD34" i="20"/>
  <c r="AD34" i="21"/>
  <c r="BB17" i="17"/>
  <c r="AA21" i="19"/>
  <c r="AV25" i="16"/>
  <c r="AY10" i="17"/>
  <c r="F17" i="17"/>
  <c r="AP34" i="18"/>
  <c r="BE35" i="18"/>
  <c r="AS33" i="19"/>
  <c r="AD33" i="19"/>
  <c r="L33" i="19"/>
  <c r="BE31" i="19"/>
  <c r="AJ31" i="19"/>
  <c r="R31" i="19"/>
  <c r="AP30" i="19"/>
  <c r="AP25" i="19"/>
  <c r="U25" i="19"/>
  <c r="AG24" i="19"/>
  <c r="AS21" i="19"/>
  <c r="AD21" i="19"/>
  <c r="O21" i="19"/>
  <c r="AP19" i="19"/>
  <c r="U19" i="19"/>
  <c r="AG12" i="19"/>
  <c r="AY11" i="19"/>
  <c r="AA11" i="19"/>
  <c r="AY13" i="20"/>
  <c r="AY23" i="20"/>
  <c r="F24" i="20"/>
  <c r="AP34" i="20"/>
  <c r="X29" i="21"/>
  <c r="F30" i="21"/>
  <c r="I32" i="21"/>
  <c r="AM34" i="21"/>
  <c r="X23" i="17"/>
  <c r="R17" i="17"/>
  <c r="BB18" i="17"/>
  <c r="BE23" i="18"/>
  <c r="BB23" i="18"/>
  <c r="O17" i="19"/>
  <c r="L17" i="19"/>
  <c r="AD17" i="19"/>
  <c r="AS17" i="19"/>
  <c r="R17" i="19"/>
  <c r="AG17" i="19"/>
  <c r="AV17" i="19"/>
  <c r="AJ10" i="19"/>
  <c r="AY19" i="20"/>
  <c r="BE19" i="20"/>
  <c r="I19" i="20"/>
  <c r="AS19" i="20"/>
  <c r="AG19" i="20"/>
  <c r="L36" i="11"/>
  <c r="M36" i="11" s="1"/>
  <c r="AY11" i="16"/>
  <c r="AS12" i="16"/>
  <c r="X13" i="16"/>
  <c r="AA14" i="16"/>
  <c r="AV17" i="16"/>
  <c r="AD22" i="16"/>
  <c r="L25" i="16"/>
  <c r="O31" i="16"/>
  <c r="O10" i="17"/>
  <c r="O13" i="17"/>
  <c r="AD17" i="17"/>
  <c r="AG19" i="17"/>
  <c r="AA20" i="17"/>
  <c r="AS22" i="17"/>
  <c r="AS23" i="17"/>
  <c r="AV24" i="17"/>
  <c r="AV30" i="17"/>
  <c r="F32" i="17"/>
  <c r="H32" i="24"/>
  <c r="L32" i="24" s="1"/>
  <c r="M32" i="24" s="1"/>
  <c r="BE10" i="18"/>
  <c r="AV10" i="18"/>
  <c r="BE14" i="18"/>
  <c r="X27" i="19"/>
  <c r="AG22" i="19"/>
  <c r="AM22" i="19"/>
  <c r="I22" i="19"/>
  <c r="AS22" i="19"/>
  <c r="AJ17" i="19"/>
  <c r="F17" i="19"/>
  <c r="BB15" i="19"/>
  <c r="BE10" i="19"/>
  <c r="AG9" i="19"/>
  <c r="H32" i="25" s="1"/>
  <c r="L32" i="25" s="1"/>
  <c r="M32" i="25" s="1"/>
  <c r="AM9" i="19"/>
  <c r="H35" i="13" s="1"/>
  <c r="L35" i="13" s="1"/>
  <c r="M35" i="13" s="1"/>
  <c r="L9" i="19"/>
  <c r="H22" i="25" s="1"/>
  <c r="L22" i="25" s="1"/>
  <c r="M22" i="25" s="1"/>
  <c r="AS9" i="19"/>
  <c r="BE15" i="20"/>
  <c r="AJ15" i="20"/>
  <c r="BE20" i="20"/>
  <c r="AM20" i="20"/>
  <c r="F20" i="20"/>
  <c r="AD20" i="20"/>
  <c r="X20" i="20"/>
  <c r="X22" i="20"/>
  <c r="AV30" i="20"/>
  <c r="AP30" i="20"/>
  <c r="AD30" i="20"/>
  <c r="R30" i="20"/>
  <c r="AJ9" i="21"/>
  <c r="H33" i="27" s="1"/>
  <c r="L33" i="27" s="1"/>
  <c r="M33" i="27" s="1"/>
  <c r="L10" i="21"/>
  <c r="AD23" i="21"/>
  <c r="F23" i="21"/>
  <c r="BB23" i="21"/>
  <c r="X17" i="16"/>
  <c r="AM16" i="17"/>
  <c r="X24" i="17"/>
  <c r="AM35" i="17"/>
  <c r="H26" i="24"/>
  <c r="L26" i="24" s="1"/>
  <c r="M26" i="24" s="1"/>
  <c r="BB9" i="18"/>
  <c r="L23" i="19"/>
  <c r="AJ23" i="19"/>
  <c r="BE23" i="19"/>
  <c r="U23" i="19"/>
  <c r="AP23" i="19"/>
  <c r="O10" i="19"/>
  <c r="L10" i="19"/>
  <c r="AD10" i="19"/>
  <c r="AS10" i="19"/>
  <c r="R10" i="19"/>
  <c r="AG10" i="19"/>
  <c r="AV10" i="19"/>
  <c r="BE18" i="20"/>
  <c r="BB18" i="20"/>
  <c r="F18" i="20"/>
  <c r="AP18" i="20"/>
  <c r="AS15" i="21"/>
  <c r="U15" i="21"/>
  <c r="BB15" i="21"/>
  <c r="AM18" i="21"/>
  <c r="AJ17" i="16"/>
  <c r="R22" i="16"/>
  <c r="X20" i="17"/>
  <c r="AY20" i="17"/>
  <c r="AD22" i="17"/>
  <c r="AG23" i="17"/>
  <c r="AJ24" i="17"/>
  <c r="AJ30" i="17"/>
  <c r="BE9" i="18"/>
  <c r="U29" i="18"/>
  <c r="BE29" i="18"/>
  <c r="U33" i="18"/>
  <c r="BE33" i="18"/>
  <c r="AG33" i="18"/>
  <c r="AS28" i="19"/>
  <c r="AM28" i="19"/>
  <c r="AS23" i="19"/>
  <c r="F23" i="19"/>
  <c r="AP17" i="19"/>
  <c r="I17" i="19"/>
  <c r="O15" i="19"/>
  <c r="U15" i="19"/>
  <c r="AP15" i="19"/>
  <c r="F15" i="19"/>
  <c r="X15" i="19"/>
  <c r="AS15" i="19"/>
  <c r="BE16" i="20"/>
  <c r="AM16" i="20"/>
  <c r="F16" i="20"/>
  <c r="AD16" i="20"/>
  <c r="X16" i="20"/>
  <c r="AV22" i="21"/>
  <c r="BB22" i="21"/>
  <c r="F22" i="21"/>
  <c r="AY22" i="21"/>
  <c r="AD22" i="21"/>
  <c r="BE29" i="21"/>
  <c r="F29" i="21"/>
  <c r="BB29" i="21"/>
  <c r="BE33" i="21"/>
  <c r="AV33" i="21"/>
  <c r="X33" i="21"/>
  <c r="AM33" i="21"/>
  <c r="R33" i="21"/>
  <c r="O33" i="21"/>
  <c r="BB33" i="21"/>
  <c r="AY14" i="16"/>
  <c r="AS15" i="16"/>
  <c r="AV16" i="16"/>
  <c r="L17" i="16"/>
  <c r="AP22" i="16"/>
  <c r="X25" i="16"/>
  <c r="AM31" i="16"/>
  <c r="AA13" i="17"/>
  <c r="AP17" i="17"/>
  <c r="AV19" i="17"/>
  <c r="AJ20" i="17"/>
  <c r="BB22" i="17"/>
  <c r="I23" i="17"/>
  <c r="BE23" i="17"/>
  <c r="L24" i="17"/>
  <c r="AD32" i="17"/>
  <c r="O35" i="17"/>
  <c r="H22" i="12"/>
  <c r="L22" i="12" s="1"/>
  <c r="M22" i="12" s="1"/>
  <c r="AY28" i="18"/>
  <c r="AY32" i="18"/>
  <c r="AP32" i="18"/>
  <c r="AD32" i="18"/>
  <c r="R32" i="18"/>
  <c r="L34" i="19"/>
  <c r="AG34" i="19"/>
  <c r="I34" i="19"/>
  <c r="AP34" i="19"/>
  <c r="O32" i="19"/>
  <c r="U32" i="19"/>
  <c r="BE32" i="19"/>
  <c r="AG32" i="19"/>
  <c r="X23" i="19"/>
  <c r="BE17" i="19"/>
  <c r="X17" i="19"/>
  <c r="AJ15" i="19"/>
  <c r="BB10" i="19"/>
  <c r="U10" i="19"/>
  <c r="BE11" i="20"/>
  <c r="AV11" i="20"/>
  <c r="AV13" i="20"/>
  <c r="AG13" i="20"/>
  <c r="BE13" i="20"/>
  <c r="AA13" i="20"/>
  <c r="R13" i="20"/>
  <c r="BB16" i="20"/>
  <c r="R18" i="20"/>
  <c r="AV20" i="20"/>
  <c r="AV22" i="20"/>
  <c r="BB30" i="20"/>
  <c r="BE32" i="20"/>
  <c r="AG32" i="20"/>
  <c r="AV14" i="21"/>
  <c r="AY14" i="21"/>
  <c r="AP14" i="21"/>
  <c r="AA14" i="21"/>
  <c r="AD15" i="21"/>
  <c r="O18" i="21"/>
  <c r="U31" i="21"/>
  <c r="BB31" i="21"/>
  <c r="AJ31" i="21"/>
  <c r="AJ33" i="21"/>
  <c r="BB15" i="18"/>
  <c r="F30" i="18"/>
  <c r="BB30" i="18"/>
  <c r="F34" i="18"/>
  <c r="BB34" i="18"/>
  <c r="I35" i="18"/>
  <c r="AS35" i="19"/>
  <c r="AA30" i="19"/>
  <c r="AS25" i="19"/>
  <c r="AD25" i="19"/>
  <c r="L25" i="19"/>
  <c r="AV21" i="19"/>
  <c r="AJ21" i="19"/>
  <c r="X21" i="19"/>
  <c r="AS19" i="19"/>
  <c r="AD19" i="19"/>
  <c r="L19" i="19"/>
  <c r="AS18" i="19"/>
  <c r="U18" i="19"/>
  <c r="U14" i="19"/>
  <c r="AA9" i="20"/>
  <c r="H30" i="26" s="1"/>
  <c r="L30" i="26" s="1"/>
  <c r="M30" i="26" s="1"/>
  <c r="AG17" i="20"/>
  <c r="O24" i="20"/>
  <c r="AV24" i="20"/>
  <c r="F34" i="20"/>
  <c r="BB34" i="20"/>
  <c r="I35" i="20"/>
  <c r="BE20" i="21"/>
  <c r="AV24" i="21"/>
  <c r="AA25" i="21"/>
  <c r="F26" i="21"/>
  <c r="R34" i="21"/>
  <c r="AS34" i="21"/>
  <c r="R30" i="18"/>
  <c r="AG31" i="18"/>
  <c r="R34" i="18"/>
  <c r="AG35" i="18"/>
  <c r="AM9" i="20"/>
  <c r="H34" i="14" s="1"/>
  <c r="L34" i="14" s="1"/>
  <c r="M34" i="14" s="1"/>
  <c r="AP14" i="20"/>
  <c r="BE17" i="20"/>
  <c r="O21" i="20"/>
  <c r="X24" i="20"/>
  <c r="BB24" i="20"/>
  <c r="R34" i="20"/>
  <c r="AD26" i="21"/>
  <c r="AD30" i="21"/>
  <c r="AG32" i="21"/>
  <c r="U34" i="21"/>
  <c r="AY34" i="21"/>
  <c r="AV9" i="16"/>
  <c r="E14" i="28"/>
  <c r="E14" i="11"/>
  <c r="R9" i="16"/>
  <c r="AP9" i="16"/>
  <c r="BE34" i="17"/>
  <c r="L34" i="17"/>
  <c r="AJ34" i="17"/>
  <c r="AV34" i="17"/>
  <c r="AM11" i="16"/>
  <c r="U12" i="16"/>
  <c r="O14" i="16"/>
  <c r="U20" i="16"/>
  <c r="O21" i="16"/>
  <c r="AM21" i="16"/>
  <c r="BE26" i="16"/>
  <c r="AP26" i="16"/>
  <c r="O26" i="16"/>
  <c r="AM26" i="16"/>
  <c r="BB28" i="16"/>
  <c r="AJ30" i="16"/>
  <c r="AY32" i="16"/>
  <c r="AD32" i="16"/>
  <c r="AV35" i="16"/>
  <c r="O35" i="16"/>
  <c r="AM35" i="16"/>
  <c r="BE9" i="17"/>
  <c r="E14" i="23"/>
  <c r="E14" i="10"/>
  <c r="BB14" i="17"/>
  <c r="F14" i="17"/>
  <c r="AV15" i="17"/>
  <c r="AV25" i="17"/>
  <c r="AP25" i="17"/>
  <c r="R25" i="17"/>
  <c r="BB25" i="17"/>
  <c r="AD25" i="17"/>
  <c r="F25" i="17"/>
  <c r="O9" i="16"/>
  <c r="AM9" i="16"/>
  <c r="R11" i="16"/>
  <c r="AP11" i="16"/>
  <c r="AP12" i="16"/>
  <c r="R14" i="16"/>
  <c r="AP14" i="16"/>
  <c r="AD15" i="16"/>
  <c r="AS16" i="16"/>
  <c r="AA17" i="16"/>
  <c r="AY17" i="16"/>
  <c r="F18" i="16"/>
  <c r="AD18" i="16"/>
  <c r="BB18" i="16"/>
  <c r="F19" i="16"/>
  <c r="X20" i="16"/>
  <c r="X21" i="16"/>
  <c r="AV21" i="16"/>
  <c r="AA22" i="16"/>
  <c r="AY22" i="16"/>
  <c r="O25" i="16"/>
  <c r="AM25" i="16"/>
  <c r="R26" i="16"/>
  <c r="AY26" i="16"/>
  <c r="AV30" i="16"/>
  <c r="AP32" i="16"/>
  <c r="AY35" i="16"/>
  <c r="BE16" i="17"/>
  <c r="AJ16" i="17"/>
  <c r="L16" i="17"/>
  <c r="AV16" i="17"/>
  <c r="X16" i="17"/>
  <c r="AA16" i="17"/>
  <c r="AV21" i="17"/>
  <c r="AY21" i="17"/>
  <c r="AA21" i="17"/>
  <c r="AM21" i="17"/>
  <c r="O21" i="17"/>
  <c r="BB21" i="17"/>
  <c r="AM25" i="17"/>
  <c r="X34" i="17"/>
  <c r="BE18" i="18"/>
  <c r="AY18" i="18"/>
  <c r="BE20" i="18"/>
  <c r="AY22" i="18"/>
  <c r="AY25" i="18"/>
  <c r="BB25" i="18"/>
  <c r="O27" i="19"/>
  <c r="L27" i="19"/>
  <c r="AD27" i="19"/>
  <c r="AS27" i="19"/>
  <c r="R27" i="19"/>
  <c r="AG27" i="19"/>
  <c r="AV27" i="19"/>
  <c r="F27" i="19"/>
  <c r="U27" i="19"/>
  <c r="AJ27" i="19"/>
  <c r="BB27" i="19"/>
  <c r="BE12" i="20"/>
  <c r="AJ12" i="20"/>
  <c r="AV12" i="20"/>
  <c r="X12" i="20"/>
  <c r="O12" i="20"/>
  <c r="AY12" i="20"/>
  <c r="AM12" i="20"/>
  <c r="AY21" i="16"/>
  <c r="AY28" i="16"/>
  <c r="AP28" i="16"/>
  <c r="R28" i="16"/>
  <c r="BE34" i="16"/>
  <c r="AV34" i="16"/>
  <c r="AP11" i="17"/>
  <c r="F11" i="17"/>
  <c r="H36" i="24"/>
  <c r="L36" i="24" s="1"/>
  <c r="M36" i="24" s="1"/>
  <c r="H37" i="12"/>
  <c r="L37" i="12" s="1"/>
  <c r="M37" i="12" s="1"/>
  <c r="AV12" i="18"/>
  <c r="BB12" i="18"/>
  <c r="AY17" i="18"/>
  <c r="BB17" i="18"/>
  <c r="BE19" i="18"/>
  <c r="BB19" i="18"/>
  <c r="AA9" i="16"/>
  <c r="AY9" i="16"/>
  <c r="F11" i="16"/>
  <c r="AD11" i="16"/>
  <c r="BB11" i="16"/>
  <c r="R12" i="16"/>
  <c r="AV13" i="16"/>
  <c r="F14" i="16"/>
  <c r="AD14" i="16"/>
  <c r="BB14" i="16"/>
  <c r="F15" i="16"/>
  <c r="BB15" i="16"/>
  <c r="U16" i="16"/>
  <c r="O17" i="16"/>
  <c r="AM17" i="16"/>
  <c r="R18" i="16"/>
  <c r="AP18" i="16"/>
  <c r="BB19" i="16"/>
  <c r="I20" i="16"/>
  <c r="L21" i="16"/>
  <c r="AJ21" i="16"/>
  <c r="O22" i="16"/>
  <c r="AM22" i="16"/>
  <c r="AA25" i="16"/>
  <c r="AY25" i="16"/>
  <c r="F26" i="16"/>
  <c r="AD26" i="16"/>
  <c r="AD28" i="16"/>
  <c r="F32" i="16"/>
  <c r="AJ34" i="16"/>
  <c r="AA35" i="16"/>
  <c r="AV10" i="17"/>
  <c r="AP10" i="17"/>
  <c r="R10" i="17"/>
  <c r="BB10" i="17"/>
  <c r="AD10" i="17"/>
  <c r="F10" i="17"/>
  <c r="AA10" i="17"/>
  <c r="AD14" i="17"/>
  <c r="AY16" i="17"/>
  <c r="AD21" i="17"/>
  <c r="O25" i="17"/>
  <c r="AD26" i="17"/>
  <c r="BB26" i="17"/>
  <c r="F26" i="17"/>
  <c r="AS26" i="17"/>
  <c r="AV31" i="17"/>
  <c r="O31" i="17"/>
  <c r="AM31" i="17"/>
  <c r="AY31" i="17"/>
  <c r="BE11" i="18"/>
  <c r="AY11" i="18"/>
  <c r="AV25" i="18"/>
  <c r="BE26" i="18"/>
  <c r="BE27" i="19"/>
  <c r="O18" i="16"/>
  <c r="AM18" i="16"/>
  <c r="AA21" i="16"/>
  <c r="X34" i="16"/>
  <c r="AD9" i="16"/>
  <c r="BB9" i="16"/>
  <c r="O11" i="16"/>
  <c r="AM14" i="16"/>
  <c r="X16" i="16"/>
  <c r="AA18" i="16"/>
  <c r="AY18" i="16"/>
  <c r="BE30" i="16"/>
  <c r="L30" i="16"/>
  <c r="R32" i="16"/>
  <c r="BE15" i="17"/>
  <c r="I15" i="17"/>
  <c r="AG15" i="17"/>
  <c r="AA25" i="17"/>
  <c r="AP27" i="17"/>
  <c r="O27" i="17"/>
  <c r="AY28" i="17"/>
  <c r="BB28" i="17"/>
  <c r="F28" i="17"/>
  <c r="AD28" i="17"/>
  <c r="AP28" i="17"/>
  <c r="AY12" i="18"/>
  <c r="AV17" i="18"/>
  <c r="AV19" i="18"/>
  <c r="BE22" i="18"/>
  <c r="L29" i="19"/>
  <c r="X29" i="19"/>
  <c r="AJ29" i="19"/>
  <c r="AV29" i="19"/>
  <c r="O29" i="19"/>
  <c r="AA29" i="19"/>
  <c r="AM29" i="19"/>
  <c r="AY29" i="19"/>
  <c r="F29" i="19"/>
  <c r="R29" i="19"/>
  <c r="AD29" i="19"/>
  <c r="AP29" i="19"/>
  <c r="BB29" i="19"/>
  <c r="AP27" i="19"/>
  <c r="AA31" i="16"/>
  <c r="AD13" i="17"/>
  <c r="BB13" i="17"/>
  <c r="AA17" i="17"/>
  <c r="AY17" i="17"/>
  <c r="O20" i="17"/>
  <c r="AM20" i="17"/>
  <c r="U23" i="17"/>
  <c r="AA24" i="17"/>
  <c r="AY24" i="17"/>
  <c r="X30" i="17"/>
  <c r="AP32" i="17"/>
  <c r="AY35" i="17"/>
  <c r="AY9" i="18"/>
  <c r="E14" i="24"/>
  <c r="E14" i="12"/>
  <c r="AY14" i="18"/>
  <c r="AV15" i="18"/>
  <c r="BB21" i="18"/>
  <c r="AV23" i="18"/>
  <c r="AV28" i="18"/>
  <c r="AS29" i="18"/>
  <c r="X30" i="18"/>
  <c r="AV30" i="18"/>
  <c r="AS31" i="18"/>
  <c r="X32" i="18"/>
  <c r="AV32" i="18"/>
  <c r="AS33" i="18"/>
  <c r="X34" i="18"/>
  <c r="AV34" i="18"/>
  <c r="AS35" i="18"/>
  <c r="AS34" i="19"/>
  <c r="AD34" i="19"/>
  <c r="O34" i="19"/>
  <c r="AY33" i="19"/>
  <c r="AM33" i="19"/>
  <c r="AA33" i="19"/>
  <c r="AV32" i="19"/>
  <c r="X32" i="19"/>
  <c r="AY25" i="19"/>
  <c r="AM25" i="19"/>
  <c r="AA25" i="19"/>
  <c r="O23" i="19"/>
  <c r="R23" i="19"/>
  <c r="AG23" i="19"/>
  <c r="AV23" i="19"/>
  <c r="O12" i="19"/>
  <c r="L12" i="19"/>
  <c r="AD12" i="19"/>
  <c r="AS12" i="19"/>
  <c r="BE12" i="19"/>
  <c r="F12" i="19"/>
  <c r="U12" i="19"/>
  <c r="AJ12" i="19"/>
  <c r="AY12" i="19"/>
  <c r="BE9" i="19"/>
  <c r="H34" i="26"/>
  <c r="L34" i="26" s="1"/>
  <c r="M34" i="26" s="1"/>
  <c r="BE26" i="20"/>
  <c r="BB26" i="20"/>
  <c r="AD26" i="20"/>
  <c r="F26" i="20"/>
  <c r="AV26" i="20"/>
  <c r="X26" i="20"/>
  <c r="AP26" i="20"/>
  <c r="R26" i="20"/>
  <c r="AJ26" i="20"/>
  <c r="BE10" i="21"/>
  <c r="BB10" i="21"/>
  <c r="AM10" i="21"/>
  <c r="X10" i="21"/>
  <c r="AY10" i="21"/>
  <c r="AJ10" i="21"/>
  <c r="R10" i="21"/>
  <c r="AV10" i="21"/>
  <c r="AD10" i="21"/>
  <c r="O10" i="21"/>
  <c r="AA10" i="21"/>
  <c r="H28" i="25"/>
  <c r="L28" i="25" s="1"/>
  <c r="M28" i="25" s="1"/>
  <c r="H29" i="13"/>
  <c r="L29" i="13" s="1"/>
  <c r="M29" i="13" s="1"/>
  <c r="AP27" i="20"/>
  <c r="R27" i="20"/>
  <c r="BE27" i="20"/>
  <c r="BE29" i="20"/>
  <c r="AJ29" i="20"/>
  <c r="AY29" i="20"/>
  <c r="AA29" i="20"/>
  <c r="AV29" i="20"/>
  <c r="X29" i="20"/>
  <c r="AM29" i="20"/>
  <c r="BE33" i="20"/>
  <c r="AJ33" i="20"/>
  <c r="AY33" i="20"/>
  <c r="AA33" i="20"/>
  <c r="AV33" i="20"/>
  <c r="X33" i="20"/>
  <c r="AM33" i="20"/>
  <c r="BE21" i="21"/>
  <c r="AV21" i="21"/>
  <c r="AD21" i="21"/>
  <c r="O21" i="21"/>
  <c r="AP21" i="21"/>
  <c r="AA21" i="21"/>
  <c r="L21" i="21"/>
  <c r="AJ21" i="21"/>
  <c r="BB21" i="21"/>
  <c r="X21" i="21"/>
  <c r="AY21" i="21"/>
  <c r="R21" i="21"/>
  <c r="R13" i="17"/>
  <c r="AP13" i="17"/>
  <c r="O17" i="17"/>
  <c r="AM17" i="17"/>
  <c r="O24" i="17"/>
  <c r="AM24" i="17"/>
  <c r="R32" i="17"/>
  <c r="AA35" i="17"/>
  <c r="L30" i="18"/>
  <c r="AJ30" i="18"/>
  <c r="U31" i="18"/>
  <c r="L32" i="18"/>
  <c r="AJ32" i="18"/>
  <c r="L34" i="18"/>
  <c r="AJ34" i="18"/>
  <c r="U35" i="18"/>
  <c r="BB34" i="19"/>
  <c r="AM34" i="19"/>
  <c r="U34" i="19"/>
  <c r="F34" i="19"/>
  <c r="U24" i="19"/>
  <c r="AA24" i="19"/>
  <c r="BE24" i="19"/>
  <c r="F22" i="19"/>
  <c r="AA22" i="19"/>
  <c r="AY22" i="19"/>
  <c r="L13" i="19"/>
  <c r="AJ13" i="19"/>
  <c r="H26" i="25"/>
  <c r="L26" i="25" s="1"/>
  <c r="M26" i="25" s="1"/>
  <c r="H27" i="13"/>
  <c r="L27" i="13" s="1"/>
  <c r="M27" i="13" s="1"/>
  <c r="R9" i="19"/>
  <c r="E14" i="25"/>
  <c r="E14" i="13"/>
  <c r="I9" i="19"/>
  <c r="X9" i="19"/>
  <c r="AJ9" i="19"/>
  <c r="AV9" i="19"/>
  <c r="O9" i="19"/>
  <c r="AD9" i="19"/>
  <c r="AP9" i="19"/>
  <c r="BB9" i="19"/>
  <c r="H23" i="26"/>
  <c r="L23" i="26" s="1"/>
  <c r="M23" i="26" s="1"/>
  <c r="BB11" i="21"/>
  <c r="AM11" i="21"/>
  <c r="F11" i="21"/>
  <c r="AG11" i="21"/>
  <c r="U11" i="21"/>
  <c r="AY11" i="21"/>
  <c r="BE17" i="21"/>
  <c r="BB17" i="21"/>
  <c r="AM17" i="21"/>
  <c r="X17" i="21"/>
  <c r="F17" i="21"/>
  <c r="AY17" i="21"/>
  <c r="AJ17" i="21"/>
  <c r="R17" i="21"/>
  <c r="AP17" i="21"/>
  <c r="L17" i="21"/>
  <c r="AD17" i="21"/>
  <c r="AA17" i="21"/>
  <c r="AV17" i="21"/>
  <c r="AM21" i="21"/>
  <c r="AY17" i="19"/>
  <c r="AM17" i="19"/>
  <c r="AA17" i="19"/>
  <c r="AV15" i="19"/>
  <c r="AG15" i="19"/>
  <c r="R15" i="19"/>
  <c r="AY14" i="19"/>
  <c r="AA14" i="19"/>
  <c r="AY10" i="19"/>
  <c r="AM10" i="19"/>
  <c r="AA10" i="19"/>
  <c r="AD9" i="20"/>
  <c r="X11" i="20"/>
  <c r="U13" i="20"/>
  <c r="AM13" i="20"/>
  <c r="BB13" i="20"/>
  <c r="BE14" i="20"/>
  <c r="O15" i="20"/>
  <c r="AV15" i="20"/>
  <c r="R16" i="20"/>
  <c r="AJ16" i="20"/>
  <c r="AY16" i="20"/>
  <c r="AS17" i="20"/>
  <c r="X18" i="20"/>
  <c r="AV18" i="20"/>
  <c r="AA20" i="20"/>
  <c r="AP20" i="20"/>
  <c r="AY21" i="20"/>
  <c r="F22" i="20"/>
  <c r="AD22" i="20"/>
  <c r="BB22" i="20"/>
  <c r="O23" i="20"/>
  <c r="AA24" i="20"/>
  <c r="AP24" i="20"/>
  <c r="I28" i="20"/>
  <c r="AS28" i="20"/>
  <c r="AA30" i="20"/>
  <c r="AY30" i="20"/>
  <c r="I32" i="20"/>
  <c r="AS32" i="20"/>
  <c r="AA34" i="20"/>
  <c r="AY34" i="20"/>
  <c r="I9" i="21"/>
  <c r="AV18" i="21"/>
  <c r="BB18" i="21"/>
  <c r="AD18" i="21"/>
  <c r="F18" i="21"/>
  <c r="AY18" i="21"/>
  <c r="AA18" i="21"/>
  <c r="R18" i="21"/>
  <c r="F25" i="21"/>
  <c r="U15" i="20"/>
  <c r="AY15" i="20"/>
  <c r="AJ22" i="20"/>
  <c r="AA23" i="20"/>
  <c r="U28" i="20"/>
  <c r="AV28" i="20"/>
  <c r="U32" i="20"/>
  <c r="AV32" i="20"/>
  <c r="E14" i="27"/>
  <c r="E14" i="15"/>
  <c r="U9" i="21"/>
  <c r="AY9" i="21"/>
  <c r="BE25" i="21"/>
  <c r="AY25" i="21"/>
  <c r="AJ25" i="21"/>
  <c r="R25" i="21"/>
  <c r="AV25" i="21"/>
  <c r="AD25" i="21"/>
  <c r="O25" i="21"/>
  <c r="L25" i="21"/>
  <c r="AP25" i="21"/>
  <c r="AY28" i="21"/>
  <c r="AG28" i="21"/>
  <c r="I28" i="21"/>
  <c r="AV28" i="21"/>
  <c r="X28" i="21"/>
  <c r="AM28" i="21"/>
  <c r="U28" i="21"/>
  <c r="AJ28" i="21"/>
  <c r="AV9" i="20"/>
  <c r="E14" i="26"/>
  <c r="E14" i="14"/>
  <c r="R9" i="20"/>
  <c r="AP9" i="20"/>
  <c r="O13" i="20"/>
  <c r="AD13" i="20"/>
  <c r="AS13" i="20"/>
  <c r="X14" i="20"/>
  <c r="AG15" i="20"/>
  <c r="AA16" i="20"/>
  <c r="AP16" i="20"/>
  <c r="AJ18" i="20"/>
  <c r="U19" i="20"/>
  <c r="R20" i="20"/>
  <c r="AJ20" i="20"/>
  <c r="AY20" i="20"/>
  <c r="R22" i="20"/>
  <c r="AP22" i="20"/>
  <c r="AM23" i="20"/>
  <c r="R24" i="20"/>
  <c r="AJ24" i="20"/>
  <c r="AY24" i="20"/>
  <c r="X28" i="20"/>
  <c r="O30" i="20"/>
  <c r="AM30" i="20"/>
  <c r="X32" i="20"/>
  <c r="O34" i="20"/>
  <c r="AM34" i="20"/>
  <c r="X9" i="21"/>
  <c r="BE9" i="21"/>
  <c r="X25" i="21"/>
  <c r="BB25" i="21"/>
  <c r="BE28" i="21"/>
  <c r="AJ35" i="21"/>
  <c r="O26" i="21"/>
  <c r="AM26" i="21"/>
  <c r="X27" i="21"/>
  <c r="L29" i="21"/>
  <c r="AA29" i="21"/>
  <c r="AP29" i="21"/>
  <c r="O30" i="21"/>
  <c r="AG30" i="21"/>
  <c r="BB30" i="21"/>
  <c r="O32" i="21"/>
  <c r="AJ32" i="21"/>
  <c r="BE32" i="21"/>
  <c r="BB35" i="21"/>
  <c r="AJ13" i="21"/>
  <c r="F14" i="21"/>
  <c r="AD14" i="21"/>
  <c r="BB14" i="21"/>
  <c r="F15" i="21"/>
  <c r="AP15" i="21"/>
  <c r="O22" i="21"/>
  <c r="AM22" i="21"/>
  <c r="U23" i="21"/>
  <c r="X24" i="21"/>
  <c r="R26" i="21"/>
  <c r="AP26" i="21"/>
  <c r="BB27" i="21"/>
  <c r="O29" i="21"/>
  <c r="AD29" i="21"/>
  <c r="AV29" i="21"/>
  <c r="R30" i="21"/>
  <c r="AM30" i="21"/>
  <c r="U32" i="21"/>
  <c r="AM32" i="21"/>
  <c r="L33" i="21"/>
  <c r="AA33" i="21"/>
  <c r="AP33" i="21"/>
  <c r="O34" i="21"/>
  <c r="AG34" i="21"/>
  <c r="F35" i="21"/>
  <c r="O14" i="21"/>
  <c r="AM14" i="21"/>
  <c r="R15" i="21"/>
  <c r="AG20" i="21"/>
  <c r="R22" i="21"/>
  <c r="AP22" i="21"/>
  <c r="AS24" i="21"/>
  <c r="AA26" i="21"/>
  <c r="AY26" i="21"/>
  <c r="BE27" i="21"/>
  <c r="R29" i="21"/>
  <c r="AJ29" i="21"/>
  <c r="AY29" i="21"/>
  <c r="U30" i="21"/>
  <c r="X32" i="21"/>
  <c r="L20" i="15"/>
  <c r="M20" i="15" s="1"/>
  <c r="L20" i="14"/>
  <c r="M20" i="14" s="1"/>
  <c r="I12" i="21"/>
  <c r="BE12" i="21"/>
  <c r="BB16" i="21"/>
  <c r="AP16" i="21"/>
  <c r="AD16" i="21"/>
  <c r="R16" i="21"/>
  <c r="F16" i="21"/>
  <c r="AY16" i="21"/>
  <c r="AM16" i="21"/>
  <c r="AA16" i="21"/>
  <c r="O16" i="21"/>
  <c r="AJ16" i="21"/>
  <c r="AY19" i="21"/>
  <c r="AM19" i="21"/>
  <c r="AA19" i="21"/>
  <c r="O19" i="21"/>
  <c r="AV19" i="21"/>
  <c r="AJ19" i="21"/>
  <c r="X19" i="21"/>
  <c r="L19" i="21"/>
  <c r="I19" i="21"/>
  <c r="AG19" i="21"/>
  <c r="BE19" i="21"/>
  <c r="AP12" i="21"/>
  <c r="AP19" i="21"/>
  <c r="L20" i="21"/>
  <c r="BB9" i="21"/>
  <c r="AP9" i="21"/>
  <c r="AD9" i="21"/>
  <c r="R9" i="21"/>
  <c r="L9" i="21"/>
  <c r="AA9" i="21"/>
  <c r="AS9" i="21"/>
  <c r="AV11" i="21"/>
  <c r="AJ11" i="21"/>
  <c r="X11" i="21"/>
  <c r="L11" i="21"/>
  <c r="I11" i="21"/>
  <c r="AA11" i="21"/>
  <c r="AP11" i="21"/>
  <c r="BE11" i="21"/>
  <c r="U12" i="21"/>
  <c r="X13" i="21"/>
  <c r="X16" i="21"/>
  <c r="AV16" i="21"/>
  <c r="U19" i="21"/>
  <c r="AS19" i="21"/>
  <c r="U20" i="21"/>
  <c r="AY23" i="21"/>
  <c r="AM23" i="21"/>
  <c r="AA23" i="21"/>
  <c r="O23" i="21"/>
  <c r="AV23" i="21"/>
  <c r="AJ23" i="21"/>
  <c r="X23" i="21"/>
  <c r="L23" i="21"/>
  <c r="I23" i="21"/>
  <c r="AG23" i="21"/>
  <c r="BE23" i="21"/>
  <c r="I24" i="21"/>
  <c r="AG24" i="21"/>
  <c r="F27" i="21"/>
  <c r="AY39" i="21"/>
  <c r="AM39" i="21"/>
  <c r="AA39" i="21"/>
  <c r="O39" i="21"/>
  <c r="AV39" i="21"/>
  <c r="AJ39" i="21"/>
  <c r="X39" i="21"/>
  <c r="L39" i="21"/>
  <c r="BB39" i="21"/>
  <c r="AD39" i="21"/>
  <c r="F39" i="21"/>
  <c r="AS39" i="21"/>
  <c r="U39" i="21"/>
  <c r="AP39" i="21"/>
  <c r="R39" i="21"/>
  <c r="AG39" i="21"/>
  <c r="AY12" i="21"/>
  <c r="AM12" i="21"/>
  <c r="AA12" i="21"/>
  <c r="O12" i="21"/>
  <c r="AV12" i="21"/>
  <c r="AJ12" i="21"/>
  <c r="X12" i="21"/>
  <c r="L12" i="21"/>
  <c r="AG12" i="21"/>
  <c r="L16" i="21"/>
  <c r="R12" i="21"/>
  <c r="BE13" i="21"/>
  <c r="AS13" i="21"/>
  <c r="AG13" i="21"/>
  <c r="U13" i="21"/>
  <c r="I13" i="21"/>
  <c r="BB13" i="21"/>
  <c r="AP13" i="21"/>
  <c r="AD13" i="21"/>
  <c r="R13" i="21"/>
  <c r="O13" i="21"/>
  <c r="AM13" i="21"/>
  <c r="U16" i="21"/>
  <c r="AS16" i="21"/>
  <c r="R19" i="21"/>
  <c r="BB20" i="21"/>
  <c r="AP20" i="21"/>
  <c r="AD20" i="21"/>
  <c r="R20" i="21"/>
  <c r="F20" i="21"/>
  <c r="AY20" i="21"/>
  <c r="AM20" i="21"/>
  <c r="AA20" i="21"/>
  <c r="O20" i="21"/>
  <c r="AJ20" i="21"/>
  <c r="O9" i="21"/>
  <c r="AG9" i="21"/>
  <c r="AV9" i="21"/>
  <c r="O11" i="21"/>
  <c r="AD11" i="21"/>
  <c r="AS11" i="21"/>
  <c r="F12" i="21"/>
  <c r="AD12" i="21"/>
  <c r="BB12" i="21"/>
  <c r="AA13" i="21"/>
  <c r="AY13" i="21"/>
  <c r="AY15" i="21"/>
  <c r="AM15" i="21"/>
  <c r="AA15" i="21"/>
  <c r="O15" i="21"/>
  <c r="AV15" i="21"/>
  <c r="AJ15" i="21"/>
  <c r="X15" i="21"/>
  <c r="L15" i="21"/>
  <c r="I15" i="21"/>
  <c r="AG15" i="21"/>
  <c r="BE15" i="21"/>
  <c r="I16" i="21"/>
  <c r="AG16" i="21"/>
  <c r="BE16" i="21"/>
  <c r="F19" i="21"/>
  <c r="AD19" i="21"/>
  <c r="BB19" i="21"/>
  <c r="X20" i="21"/>
  <c r="AV20" i="21"/>
  <c r="R23" i="21"/>
  <c r="AP23" i="21"/>
  <c r="BB24" i="21"/>
  <c r="AP24" i="21"/>
  <c r="AD24" i="21"/>
  <c r="R24" i="21"/>
  <c r="F24" i="21"/>
  <c r="AY24" i="21"/>
  <c r="AM24" i="21"/>
  <c r="AA24" i="21"/>
  <c r="O24" i="21"/>
  <c r="L24" i="21"/>
  <c r="AJ24" i="21"/>
  <c r="AY27" i="21"/>
  <c r="AM27" i="21"/>
  <c r="AA27" i="21"/>
  <c r="O27" i="21"/>
  <c r="AV27" i="21"/>
  <c r="AG27" i="21"/>
  <c r="R27" i="21"/>
  <c r="AS27" i="21"/>
  <c r="AD27" i="21"/>
  <c r="L27" i="21"/>
  <c r="I27" i="21"/>
  <c r="AP27" i="21"/>
  <c r="BE39" i="21"/>
  <c r="AY31" i="21"/>
  <c r="AM31" i="21"/>
  <c r="AA31" i="21"/>
  <c r="O31" i="21"/>
  <c r="I31" i="21"/>
  <c r="X31" i="21"/>
  <c r="AP31" i="21"/>
  <c r="BE31" i="21"/>
  <c r="AY35" i="21"/>
  <c r="AM35" i="21"/>
  <c r="AA35" i="21"/>
  <c r="O35" i="21"/>
  <c r="I35" i="21"/>
  <c r="X35" i="21"/>
  <c r="AP35" i="21"/>
  <c r="BE35" i="21"/>
  <c r="BB40" i="21"/>
  <c r="AP40" i="21"/>
  <c r="AD40" i="21"/>
  <c r="R40" i="21"/>
  <c r="F40" i="21"/>
  <c r="AY40" i="21"/>
  <c r="AM40" i="21"/>
  <c r="AA40" i="21"/>
  <c r="O40" i="21"/>
  <c r="L40" i="21"/>
  <c r="AJ40" i="21"/>
  <c r="I14" i="21"/>
  <c r="U14" i="21"/>
  <c r="AG14" i="21"/>
  <c r="AS14" i="21"/>
  <c r="BE14" i="21"/>
  <c r="I18" i="21"/>
  <c r="U18" i="21"/>
  <c r="AG18" i="21"/>
  <c r="AS18" i="21"/>
  <c r="BE18" i="21"/>
  <c r="I22" i="21"/>
  <c r="U22" i="21"/>
  <c r="AG22" i="21"/>
  <c r="AS22" i="21"/>
  <c r="BE22" i="21"/>
  <c r="I26" i="21"/>
  <c r="U26" i="21"/>
  <c r="AG26" i="21"/>
  <c r="AS26" i="21"/>
  <c r="BE26" i="21"/>
  <c r="L31" i="21"/>
  <c r="AD31" i="21"/>
  <c r="AS31" i="21"/>
  <c r="L35" i="21"/>
  <c r="AD35" i="21"/>
  <c r="AS35" i="21"/>
  <c r="U40" i="21"/>
  <c r="AS40" i="21"/>
  <c r="F43" i="21"/>
  <c r="AD43" i="21"/>
  <c r="I10" i="21"/>
  <c r="U10" i="21"/>
  <c r="AG10" i="21"/>
  <c r="AS10" i="21"/>
  <c r="L14" i="21"/>
  <c r="X14" i="21"/>
  <c r="AJ14" i="21"/>
  <c r="I17" i="21"/>
  <c r="U17" i="21"/>
  <c r="AG17" i="21"/>
  <c r="AS17" i="21"/>
  <c r="L18" i="21"/>
  <c r="X18" i="21"/>
  <c r="AJ18" i="21"/>
  <c r="U21" i="21"/>
  <c r="AG21" i="21"/>
  <c r="AS21" i="21"/>
  <c r="L22" i="21"/>
  <c r="X22" i="21"/>
  <c r="AJ22" i="21"/>
  <c r="I25" i="21"/>
  <c r="U25" i="21"/>
  <c r="AG25" i="21"/>
  <c r="AS25" i="21"/>
  <c r="L26" i="21"/>
  <c r="X26" i="21"/>
  <c r="AJ26" i="21"/>
  <c r="BB28" i="21"/>
  <c r="AP28" i="21"/>
  <c r="AD28" i="21"/>
  <c r="R28" i="21"/>
  <c r="F28" i="21"/>
  <c r="L28" i="21"/>
  <c r="AA28" i="21"/>
  <c r="AS28" i="21"/>
  <c r="AV30" i="21"/>
  <c r="AJ30" i="21"/>
  <c r="X30" i="21"/>
  <c r="L30" i="21"/>
  <c r="I30" i="21"/>
  <c r="AA30" i="21"/>
  <c r="AP30" i="21"/>
  <c r="BE30" i="21"/>
  <c r="R31" i="21"/>
  <c r="AG31" i="21"/>
  <c r="AV31" i="21"/>
  <c r="BB32" i="21"/>
  <c r="AP32" i="21"/>
  <c r="AD32" i="21"/>
  <c r="R32" i="21"/>
  <c r="F32" i="21"/>
  <c r="L32" i="21"/>
  <c r="AA32" i="21"/>
  <c r="AS32" i="21"/>
  <c r="AV34" i="21"/>
  <c r="AJ34" i="21"/>
  <c r="X34" i="21"/>
  <c r="L34" i="21"/>
  <c r="I34" i="21"/>
  <c r="AA34" i="21"/>
  <c r="AP34" i="21"/>
  <c r="BE34" i="21"/>
  <c r="R35" i="21"/>
  <c r="AG35" i="21"/>
  <c r="AV35" i="21"/>
  <c r="BB36" i="21"/>
  <c r="AP36" i="21"/>
  <c r="AD36" i="21"/>
  <c r="R36" i="21"/>
  <c r="F36" i="21"/>
  <c r="L36" i="21"/>
  <c r="AA36" i="21"/>
  <c r="AS36" i="21"/>
  <c r="X40" i="21"/>
  <c r="AV40" i="21"/>
  <c r="AY43" i="21"/>
  <c r="AM43" i="21"/>
  <c r="AA43" i="21"/>
  <c r="O43" i="21"/>
  <c r="AV43" i="21"/>
  <c r="AJ43" i="21"/>
  <c r="X43" i="21"/>
  <c r="L43" i="21"/>
  <c r="I43" i="21"/>
  <c r="AG43" i="21"/>
  <c r="BE43" i="21"/>
  <c r="I38" i="21"/>
  <c r="U38" i="21"/>
  <c r="AG38" i="21"/>
  <c r="AS38" i="21"/>
  <c r="BE38" i="21"/>
  <c r="AP41" i="21"/>
  <c r="BB41" i="21"/>
  <c r="I42" i="21"/>
  <c r="U42" i="21"/>
  <c r="AG42" i="21"/>
  <c r="AS42" i="21"/>
  <c r="BE42" i="21"/>
  <c r="I29" i="21"/>
  <c r="U29" i="21"/>
  <c r="AG29" i="21"/>
  <c r="AS29" i="21"/>
  <c r="I33" i="21"/>
  <c r="U33" i="21"/>
  <c r="AG33" i="21"/>
  <c r="AS33" i="21"/>
  <c r="I37" i="21"/>
  <c r="U37" i="21"/>
  <c r="AG37" i="21"/>
  <c r="AS37" i="21"/>
  <c r="L38" i="21"/>
  <c r="X38" i="21"/>
  <c r="AJ38" i="21"/>
  <c r="I41" i="21"/>
  <c r="U41" i="21"/>
  <c r="AG41" i="21"/>
  <c r="AS41" i="21"/>
  <c r="L42" i="21"/>
  <c r="X42" i="21"/>
  <c r="AJ42" i="21"/>
  <c r="U10" i="20"/>
  <c r="BE10" i="20"/>
  <c r="AY31" i="20"/>
  <c r="AM31" i="20"/>
  <c r="AA31" i="20"/>
  <c r="O31" i="20"/>
  <c r="AV31" i="20"/>
  <c r="AJ31" i="20"/>
  <c r="X31" i="20"/>
  <c r="BB31" i="20"/>
  <c r="AD31" i="20"/>
  <c r="F31" i="20"/>
  <c r="AS31" i="20"/>
  <c r="U31" i="20"/>
  <c r="AP31" i="20"/>
  <c r="R31" i="20"/>
  <c r="U9" i="20"/>
  <c r="AG9" i="20"/>
  <c r="AS9" i="20"/>
  <c r="BE9" i="20"/>
  <c r="X10" i="20"/>
  <c r="AJ10" i="20"/>
  <c r="AV10" i="20"/>
  <c r="O11" i="20"/>
  <c r="AA11" i="20"/>
  <c r="AM11" i="20"/>
  <c r="AY11" i="20"/>
  <c r="F12" i="20"/>
  <c r="R12" i="20"/>
  <c r="AD12" i="20"/>
  <c r="AP12" i="20"/>
  <c r="BB12" i="20"/>
  <c r="X13" i="20"/>
  <c r="AJ13" i="20"/>
  <c r="O14" i="20"/>
  <c r="AD14" i="20"/>
  <c r="AS14" i="20"/>
  <c r="I15" i="20"/>
  <c r="X15" i="20"/>
  <c r="AM15" i="20"/>
  <c r="BB17" i="20"/>
  <c r="AP17" i="20"/>
  <c r="AD17" i="20"/>
  <c r="R17" i="20"/>
  <c r="F17" i="20"/>
  <c r="AV17" i="20"/>
  <c r="AJ17" i="20"/>
  <c r="X17" i="20"/>
  <c r="O17" i="20"/>
  <c r="AM17" i="20"/>
  <c r="BB21" i="20"/>
  <c r="AP21" i="20"/>
  <c r="AD21" i="20"/>
  <c r="R21" i="20"/>
  <c r="AV21" i="20"/>
  <c r="AJ21" i="20"/>
  <c r="X21" i="20"/>
  <c r="AG21" i="20"/>
  <c r="BE21" i="20"/>
  <c r="AG25" i="20"/>
  <c r="BE31" i="20"/>
  <c r="AG10" i="20"/>
  <c r="X9" i="20"/>
  <c r="AJ9" i="20"/>
  <c r="O10" i="20"/>
  <c r="AA10" i="20"/>
  <c r="AM10" i="20"/>
  <c r="AY10" i="20"/>
  <c r="F11" i="20"/>
  <c r="R11" i="20"/>
  <c r="AD11" i="20"/>
  <c r="AP11" i="20"/>
  <c r="BB11" i="20"/>
  <c r="I12" i="20"/>
  <c r="U12" i="20"/>
  <c r="AG12" i="20"/>
  <c r="AS12" i="20"/>
  <c r="F14" i="20"/>
  <c r="R14" i="20"/>
  <c r="AG14" i="20"/>
  <c r="BB15" i="20"/>
  <c r="AP15" i="20"/>
  <c r="AD15" i="20"/>
  <c r="R15" i="20"/>
  <c r="F15" i="20"/>
  <c r="AA15" i="20"/>
  <c r="AS15" i="20"/>
  <c r="BB40" i="20"/>
  <c r="AP40" i="20"/>
  <c r="AD40" i="20"/>
  <c r="R40" i="20"/>
  <c r="F40" i="20"/>
  <c r="AY40" i="20"/>
  <c r="AM40" i="20"/>
  <c r="AA40" i="20"/>
  <c r="O40" i="20"/>
  <c r="AV40" i="20"/>
  <c r="AJ40" i="20"/>
  <c r="X40" i="20"/>
  <c r="L40" i="20"/>
  <c r="BE40" i="20"/>
  <c r="I40" i="20"/>
  <c r="AS40" i="20"/>
  <c r="AG40" i="20"/>
  <c r="I10" i="20"/>
  <c r="AS10" i="20"/>
  <c r="BB25" i="20"/>
  <c r="AP25" i="20"/>
  <c r="AD25" i="20"/>
  <c r="R25" i="20"/>
  <c r="F25" i="20"/>
  <c r="AY25" i="20"/>
  <c r="AM25" i="20"/>
  <c r="AA25" i="20"/>
  <c r="O25" i="20"/>
  <c r="AV25" i="20"/>
  <c r="AJ25" i="20"/>
  <c r="X25" i="20"/>
  <c r="U25" i="20"/>
  <c r="AG31" i="20"/>
  <c r="R10" i="20"/>
  <c r="AD10" i="20"/>
  <c r="AP10" i="20"/>
  <c r="I11" i="20"/>
  <c r="U11" i="20"/>
  <c r="AG11" i="20"/>
  <c r="AS11" i="20"/>
  <c r="AY14" i="20"/>
  <c r="AM14" i="20"/>
  <c r="AA14" i="20"/>
  <c r="I14" i="20"/>
  <c r="U14" i="20"/>
  <c r="AJ14" i="20"/>
  <c r="BB14" i="20"/>
  <c r="AA17" i="20"/>
  <c r="AY17" i="20"/>
  <c r="AV19" i="20"/>
  <c r="AJ19" i="20"/>
  <c r="X19" i="20"/>
  <c r="BB19" i="20"/>
  <c r="AP19" i="20"/>
  <c r="AD19" i="20"/>
  <c r="R19" i="20"/>
  <c r="F19" i="20"/>
  <c r="O19" i="20"/>
  <c r="AM19" i="20"/>
  <c r="U21" i="20"/>
  <c r="AS21" i="20"/>
  <c r="I25" i="20"/>
  <c r="BE25" i="20"/>
  <c r="I31" i="20"/>
  <c r="AY35" i="20"/>
  <c r="AM35" i="20"/>
  <c r="AA35" i="20"/>
  <c r="O35" i="20"/>
  <c r="AV35" i="20"/>
  <c r="AJ35" i="20"/>
  <c r="X35" i="20"/>
  <c r="L35" i="20"/>
  <c r="BB35" i="20"/>
  <c r="AD35" i="20"/>
  <c r="F35" i="20"/>
  <c r="AS35" i="20"/>
  <c r="U35" i="20"/>
  <c r="AP35" i="20"/>
  <c r="R35" i="20"/>
  <c r="AG35" i="20"/>
  <c r="I16" i="20"/>
  <c r="U16" i="20"/>
  <c r="AG16" i="20"/>
  <c r="AS16" i="20"/>
  <c r="O18" i="20"/>
  <c r="AA18" i="20"/>
  <c r="AM18" i="20"/>
  <c r="AY18" i="20"/>
  <c r="I20" i="20"/>
  <c r="U20" i="20"/>
  <c r="AG20" i="20"/>
  <c r="AS20" i="20"/>
  <c r="O22" i="20"/>
  <c r="AA22" i="20"/>
  <c r="AM22" i="20"/>
  <c r="AY22" i="20"/>
  <c r="F23" i="20"/>
  <c r="R23" i="20"/>
  <c r="AD23" i="20"/>
  <c r="AP23" i="20"/>
  <c r="BB23" i="20"/>
  <c r="I24" i="20"/>
  <c r="U24" i="20"/>
  <c r="AG24" i="20"/>
  <c r="AS24" i="20"/>
  <c r="O26" i="20"/>
  <c r="AA26" i="20"/>
  <c r="AM26" i="20"/>
  <c r="AY26" i="20"/>
  <c r="F27" i="20"/>
  <c r="U27" i="20"/>
  <c r="BB28" i="20"/>
  <c r="AP28" i="20"/>
  <c r="AD28" i="20"/>
  <c r="R28" i="20"/>
  <c r="F28" i="20"/>
  <c r="AY28" i="20"/>
  <c r="AM28" i="20"/>
  <c r="AA28" i="20"/>
  <c r="O28" i="20"/>
  <c r="AJ28" i="20"/>
  <c r="BB32" i="20"/>
  <c r="AP32" i="20"/>
  <c r="AD32" i="20"/>
  <c r="R32" i="20"/>
  <c r="F32" i="20"/>
  <c r="AY32" i="20"/>
  <c r="AM32" i="20"/>
  <c r="AA32" i="20"/>
  <c r="O32" i="20"/>
  <c r="AJ32" i="20"/>
  <c r="BB36" i="20"/>
  <c r="AP36" i="20"/>
  <c r="AD36" i="20"/>
  <c r="R36" i="20"/>
  <c r="F36" i="20"/>
  <c r="AY36" i="20"/>
  <c r="AM36" i="20"/>
  <c r="AA36" i="20"/>
  <c r="O36" i="20"/>
  <c r="L36" i="20"/>
  <c r="AJ36" i="20"/>
  <c r="I23" i="20"/>
  <c r="U23" i="20"/>
  <c r="AG23" i="20"/>
  <c r="AS23" i="20"/>
  <c r="BE23" i="20"/>
  <c r="AY27" i="20"/>
  <c r="AM27" i="20"/>
  <c r="AA27" i="20"/>
  <c r="O27" i="20"/>
  <c r="AV27" i="20"/>
  <c r="AJ27" i="20"/>
  <c r="I27" i="20"/>
  <c r="X27" i="20"/>
  <c r="AS27" i="20"/>
  <c r="I18" i="20"/>
  <c r="U18" i="20"/>
  <c r="AG18" i="20"/>
  <c r="AS18" i="20"/>
  <c r="I22" i="20"/>
  <c r="U22" i="20"/>
  <c r="AG22" i="20"/>
  <c r="AS22" i="20"/>
  <c r="X23" i="20"/>
  <c r="AJ23" i="20"/>
  <c r="I26" i="20"/>
  <c r="U26" i="20"/>
  <c r="AG26" i="20"/>
  <c r="AS26" i="20"/>
  <c r="AD27" i="20"/>
  <c r="BB27" i="20"/>
  <c r="I39" i="20"/>
  <c r="U39" i="20"/>
  <c r="AG39" i="20"/>
  <c r="AS39" i="20"/>
  <c r="BE39" i="20"/>
  <c r="O41" i="20"/>
  <c r="AA41" i="20"/>
  <c r="AM41" i="20"/>
  <c r="AY41" i="20"/>
  <c r="F42" i="20"/>
  <c r="R42" i="20"/>
  <c r="AD42" i="20"/>
  <c r="AP42" i="20"/>
  <c r="BB42" i="20"/>
  <c r="I43" i="20"/>
  <c r="U43" i="20"/>
  <c r="AG43" i="20"/>
  <c r="AS43" i="20"/>
  <c r="BE43" i="20"/>
  <c r="F29" i="20"/>
  <c r="R29" i="20"/>
  <c r="AD29" i="20"/>
  <c r="AP29" i="20"/>
  <c r="BB29" i="20"/>
  <c r="I30" i="20"/>
  <c r="U30" i="20"/>
  <c r="AG30" i="20"/>
  <c r="AS30" i="20"/>
  <c r="BE30" i="20"/>
  <c r="F33" i="20"/>
  <c r="R33" i="20"/>
  <c r="AD33" i="20"/>
  <c r="AP33" i="20"/>
  <c r="BB33" i="20"/>
  <c r="I34" i="20"/>
  <c r="U34" i="20"/>
  <c r="AG34" i="20"/>
  <c r="AS34" i="20"/>
  <c r="BE34" i="20"/>
  <c r="F37" i="20"/>
  <c r="R37" i="20"/>
  <c r="AD37" i="20"/>
  <c r="AP37" i="20"/>
  <c r="BB37" i="20"/>
  <c r="I38" i="20"/>
  <c r="U38" i="20"/>
  <c r="AG38" i="20"/>
  <c r="AS38" i="20"/>
  <c r="BE38" i="20"/>
  <c r="L39" i="20"/>
  <c r="X39" i="20"/>
  <c r="AJ39" i="20"/>
  <c r="AV39" i="20"/>
  <c r="F41" i="20"/>
  <c r="R41" i="20"/>
  <c r="AD41" i="20"/>
  <c r="AP41" i="20"/>
  <c r="BB41" i="20"/>
  <c r="I42" i="20"/>
  <c r="U42" i="20"/>
  <c r="AG42" i="20"/>
  <c r="AS42" i="20"/>
  <c r="BE42" i="20"/>
  <c r="L43" i="20"/>
  <c r="X43" i="20"/>
  <c r="AJ43" i="20"/>
  <c r="AV43" i="20"/>
  <c r="I29" i="20"/>
  <c r="U29" i="20"/>
  <c r="AG29" i="20"/>
  <c r="AS29" i="20"/>
  <c r="X30" i="20"/>
  <c r="AJ30" i="20"/>
  <c r="I33" i="20"/>
  <c r="U33" i="20"/>
  <c r="AG33" i="20"/>
  <c r="AS33" i="20"/>
  <c r="X34" i="20"/>
  <c r="AJ34" i="20"/>
  <c r="I37" i="20"/>
  <c r="U37" i="20"/>
  <c r="AG37" i="20"/>
  <c r="AS37" i="20"/>
  <c r="L38" i="20"/>
  <c r="X38" i="20"/>
  <c r="AJ38" i="20"/>
  <c r="O39" i="20"/>
  <c r="AA39" i="20"/>
  <c r="AM39" i="20"/>
  <c r="I41" i="20"/>
  <c r="U41" i="20"/>
  <c r="AG41" i="20"/>
  <c r="AS41" i="20"/>
  <c r="L42" i="20"/>
  <c r="X42" i="20"/>
  <c r="AJ42" i="20"/>
  <c r="O43" i="20"/>
  <c r="AA43" i="20"/>
  <c r="AM43" i="20"/>
  <c r="I43" i="19"/>
  <c r="U39" i="19"/>
  <c r="F26" i="19"/>
  <c r="R26" i="19"/>
  <c r="AD26" i="19"/>
  <c r="AP26" i="19"/>
  <c r="BB26" i="19"/>
  <c r="L26" i="19"/>
  <c r="X26" i="19"/>
  <c r="AJ26" i="19"/>
  <c r="AV26" i="19"/>
  <c r="U20" i="19"/>
  <c r="L16" i="19"/>
  <c r="X16" i="19"/>
  <c r="AJ16" i="19"/>
  <c r="AV16" i="19"/>
  <c r="O16" i="19"/>
  <c r="AA16" i="19"/>
  <c r="AM16" i="19"/>
  <c r="AY16" i="19"/>
  <c r="F16" i="19"/>
  <c r="R16" i="19"/>
  <c r="AD16" i="19"/>
  <c r="AP16" i="19"/>
  <c r="BB16" i="19"/>
  <c r="BB43" i="19"/>
  <c r="AP43" i="19"/>
  <c r="AD43" i="19"/>
  <c r="R43" i="19"/>
  <c r="F43" i="19"/>
  <c r="BB39" i="19"/>
  <c r="AP39" i="19"/>
  <c r="AD39" i="19"/>
  <c r="R39" i="19"/>
  <c r="F39" i="19"/>
  <c r="BB35" i="19"/>
  <c r="AP35" i="19"/>
  <c r="AD35" i="19"/>
  <c r="R35" i="19"/>
  <c r="F35" i="19"/>
  <c r="L30" i="19"/>
  <c r="X30" i="19"/>
  <c r="AJ30" i="19"/>
  <c r="AV30" i="19"/>
  <c r="L28" i="19"/>
  <c r="X28" i="19"/>
  <c r="AJ28" i="19"/>
  <c r="AV28" i="19"/>
  <c r="F28" i="19"/>
  <c r="R28" i="19"/>
  <c r="AD28" i="19"/>
  <c r="AP28" i="19"/>
  <c r="BB28" i="19"/>
  <c r="BE26" i="19"/>
  <c r="AG26" i="19"/>
  <c r="I26" i="19"/>
  <c r="BE20" i="19"/>
  <c r="I20" i="19"/>
  <c r="BE16" i="19"/>
  <c r="I16" i="19"/>
  <c r="I39" i="19"/>
  <c r="U16" i="19"/>
  <c r="AY43" i="19"/>
  <c r="AM43" i="19"/>
  <c r="AA43" i="19"/>
  <c r="O43" i="19"/>
  <c r="AV42" i="19"/>
  <c r="AJ42" i="19"/>
  <c r="X42" i="19"/>
  <c r="BB40" i="19"/>
  <c r="AP40" i="19"/>
  <c r="AD40" i="19"/>
  <c r="R40" i="19"/>
  <c r="F40" i="19"/>
  <c r="AY39" i="19"/>
  <c r="AM39" i="19"/>
  <c r="AA39" i="19"/>
  <c r="O39" i="19"/>
  <c r="AV38" i="19"/>
  <c r="AJ38" i="19"/>
  <c r="X38" i="19"/>
  <c r="BB36" i="19"/>
  <c r="AP36" i="19"/>
  <c r="AD36" i="19"/>
  <c r="R36" i="19"/>
  <c r="F36" i="19"/>
  <c r="AY35" i="19"/>
  <c r="AM35" i="19"/>
  <c r="AA35" i="19"/>
  <c r="O35" i="19"/>
  <c r="AV34" i="19"/>
  <c r="AJ34" i="19"/>
  <c r="X34" i="19"/>
  <c r="BB32" i="19"/>
  <c r="AP32" i="19"/>
  <c r="AD32" i="19"/>
  <c r="R32" i="19"/>
  <c r="F32" i="19"/>
  <c r="AS31" i="19"/>
  <c r="AD31" i="19"/>
  <c r="BB30" i="19"/>
  <c r="AM30" i="19"/>
  <c r="U30" i="19"/>
  <c r="F30" i="19"/>
  <c r="BE28" i="19"/>
  <c r="AG28" i="19"/>
  <c r="I28" i="19"/>
  <c r="AY26" i="19"/>
  <c r="AA26" i="19"/>
  <c r="AS24" i="19"/>
  <c r="AS16" i="19"/>
  <c r="O13" i="19"/>
  <c r="AA13" i="19"/>
  <c r="AM13" i="19"/>
  <c r="AY13" i="19"/>
  <c r="R13" i="19"/>
  <c r="AD13" i="19"/>
  <c r="AP13" i="19"/>
  <c r="BB13" i="19"/>
  <c r="I13" i="19"/>
  <c r="U13" i="19"/>
  <c r="AG13" i="19"/>
  <c r="AS13" i="19"/>
  <c r="BE13" i="19"/>
  <c r="I35" i="19"/>
  <c r="L20" i="19"/>
  <c r="X20" i="19"/>
  <c r="AJ20" i="19"/>
  <c r="AV20" i="19"/>
  <c r="O20" i="19"/>
  <c r="AA20" i="19"/>
  <c r="AM20" i="19"/>
  <c r="AY20" i="19"/>
  <c r="F20" i="19"/>
  <c r="R20" i="19"/>
  <c r="AD20" i="19"/>
  <c r="AP20" i="19"/>
  <c r="BB20" i="19"/>
  <c r="AV43" i="19"/>
  <c r="AJ43" i="19"/>
  <c r="X43" i="19"/>
  <c r="AY40" i="19"/>
  <c r="AM40" i="19"/>
  <c r="AA40" i="19"/>
  <c r="AV39" i="19"/>
  <c r="AJ39" i="19"/>
  <c r="X39" i="19"/>
  <c r="AY36" i="19"/>
  <c r="AM36" i="19"/>
  <c r="AA36" i="19"/>
  <c r="AV35" i="19"/>
  <c r="AJ35" i="19"/>
  <c r="X35" i="19"/>
  <c r="AY32" i="19"/>
  <c r="AM32" i="19"/>
  <c r="AA32" i="19"/>
  <c r="O31" i="19"/>
  <c r="AA31" i="19"/>
  <c r="AM31" i="19"/>
  <c r="AY31" i="19"/>
  <c r="AY30" i="19"/>
  <c r="AG30" i="19"/>
  <c r="R30" i="19"/>
  <c r="AY28" i="19"/>
  <c r="AA28" i="19"/>
  <c r="AS26" i="19"/>
  <c r="U26" i="19"/>
  <c r="L24" i="19"/>
  <c r="X24" i="19"/>
  <c r="AJ24" i="19"/>
  <c r="AV24" i="19"/>
  <c r="F24" i="19"/>
  <c r="R24" i="19"/>
  <c r="AD24" i="19"/>
  <c r="AP24" i="19"/>
  <c r="BB24" i="19"/>
  <c r="AG20" i="19"/>
  <c r="AG16" i="19"/>
  <c r="AY27" i="19"/>
  <c r="AM27" i="19"/>
  <c r="AA27" i="19"/>
  <c r="AY23" i="19"/>
  <c r="AM23" i="19"/>
  <c r="AA23" i="19"/>
  <c r="AV22" i="19"/>
  <c r="AJ22" i="19"/>
  <c r="X22" i="19"/>
  <c r="L22" i="19"/>
  <c r="AY19" i="19"/>
  <c r="AM19" i="19"/>
  <c r="AA19" i="19"/>
  <c r="AV18" i="19"/>
  <c r="AJ18" i="19"/>
  <c r="X18" i="19"/>
  <c r="L18" i="19"/>
  <c r="AY15" i="19"/>
  <c r="AM15" i="19"/>
  <c r="AA15" i="19"/>
  <c r="AV14" i="19"/>
  <c r="AJ14" i="19"/>
  <c r="X14" i="19"/>
  <c r="L14" i="19"/>
  <c r="AM12" i="19"/>
  <c r="AA12" i="19"/>
  <c r="AV11" i="19"/>
  <c r="AJ11" i="19"/>
  <c r="X11" i="19"/>
  <c r="L11" i="19"/>
  <c r="BB22" i="19"/>
  <c r="AP22" i="19"/>
  <c r="AD22" i="19"/>
  <c r="R22" i="19"/>
  <c r="BB18" i="19"/>
  <c r="AP18" i="19"/>
  <c r="AD18" i="19"/>
  <c r="R18" i="19"/>
  <c r="BB14" i="19"/>
  <c r="AP14" i="19"/>
  <c r="AD14" i="19"/>
  <c r="R14" i="19"/>
  <c r="AP11" i="19"/>
  <c r="AD11" i="19"/>
  <c r="R11" i="19"/>
  <c r="AV9" i="18"/>
  <c r="AY10" i="18"/>
  <c r="BB11" i="18"/>
  <c r="BE12" i="18"/>
  <c r="AY13" i="18"/>
  <c r="BB14" i="18"/>
  <c r="AV14" i="18"/>
  <c r="AY16" i="18"/>
  <c r="BB18" i="18"/>
  <c r="AV18" i="18"/>
  <c r="AY20" i="18"/>
  <c r="BB26" i="18"/>
  <c r="AY26" i="18"/>
  <c r="AV26" i="18"/>
  <c r="BB10" i="18"/>
  <c r="BB13" i="18"/>
  <c r="BB22" i="18"/>
  <c r="AV22" i="18"/>
  <c r="AY24" i="18"/>
  <c r="BE13" i="18"/>
  <c r="AV16" i="18"/>
  <c r="BB16" i="18"/>
  <c r="AV20" i="18"/>
  <c r="BB20" i="18"/>
  <c r="AV24" i="18"/>
  <c r="BB24" i="18"/>
  <c r="AY15" i="18"/>
  <c r="BE17" i="18"/>
  <c r="AY19" i="18"/>
  <c r="BE21" i="18"/>
  <c r="AY23" i="18"/>
  <c r="BE25" i="18"/>
  <c r="BB29" i="18"/>
  <c r="AD29" i="18"/>
  <c r="R29" i="18"/>
  <c r="AV29" i="18"/>
  <c r="AJ29" i="18"/>
  <c r="X29" i="18"/>
  <c r="L29" i="18"/>
  <c r="O29" i="18"/>
  <c r="AA31" i="18"/>
  <c r="BB33" i="18"/>
  <c r="AP33" i="18"/>
  <c r="AD33" i="18"/>
  <c r="R33" i="18"/>
  <c r="F33" i="18"/>
  <c r="AV33" i="18"/>
  <c r="AJ33" i="18"/>
  <c r="X33" i="18"/>
  <c r="L33" i="18"/>
  <c r="O33" i="18"/>
  <c r="AM33" i="18"/>
  <c r="AA35" i="18"/>
  <c r="BB37" i="18"/>
  <c r="AP37" i="18"/>
  <c r="AD37" i="18"/>
  <c r="R37" i="18"/>
  <c r="F37" i="18"/>
  <c r="AV37" i="18"/>
  <c r="AJ37" i="18"/>
  <c r="X37" i="18"/>
  <c r="L37" i="18"/>
  <c r="O37" i="18"/>
  <c r="AM37" i="18"/>
  <c r="AA39" i="18"/>
  <c r="AY39" i="18"/>
  <c r="I39" i="18"/>
  <c r="AG39" i="18"/>
  <c r="AV27" i="18"/>
  <c r="BB27" i="18"/>
  <c r="AA29" i="18"/>
  <c r="AY29" i="18"/>
  <c r="AV31" i="18"/>
  <c r="AJ31" i="18"/>
  <c r="X31" i="18"/>
  <c r="L31" i="18"/>
  <c r="BB31" i="18"/>
  <c r="AP31" i="18"/>
  <c r="AD31" i="18"/>
  <c r="R31" i="18"/>
  <c r="F31" i="18"/>
  <c r="O31" i="18"/>
  <c r="AM31" i="18"/>
  <c r="AA33" i="18"/>
  <c r="AY33" i="18"/>
  <c r="AV35" i="18"/>
  <c r="AJ35" i="18"/>
  <c r="X35" i="18"/>
  <c r="L35" i="18"/>
  <c r="BB35" i="18"/>
  <c r="AP35" i="18"/>
  <c r="AD35" i="18"/>
  <c r="R35" i="18"/>
  <c r="F35" i="18"/>
  <c r="O35" i="18"/>
  <c r="AM35" i="18"/>
  <c r="AA37" i="18"/>
  <c r="AY37" i="18"/>
  <c r="AV39" i="18"/>
  <c r="AJ39" i="18"/>
  <c r="X39" i="18"/>
  <c r="L39" i="18"/>
  <c r="BB39" i="18"/>
  <c r="AP39" i="18"/>
  <c r="AD39" i="18"/>
  <c r="R39" i="18"/>
  <c r="F39" i="18"/>
  <c r="O39" i="18"/>
  <c r="AM39" i="18"/>
  <c r="BE28" i="18"/>
  <c r="O30" i="18"/>
  <c r="AA30" i="18"/>
  <c r="AM30" i="18"/>
  <c r="AY30" i="18"/>
  <c r="U32" i="18"/>
  <c r="AG32" i="18"/>
  <c r="AS32" i="18"/>
  <c r="BE32" i="18"/>
  <c r="O34" i="18"/>
  <c r="AA34" i="18"/>
  <c r="AM34" i="18"/>
  <c r="AY34" i="18"/>
  <c r="I36" i="18"/>
  <c r="U36" i="18"/>
  <c r="AG36" i="18"/>
  <c r="AS36" i="18"/>
  <c r="BE36" i="18"/>
  <c r="O38" i="18"/>
  <c r="AA38" i="18"/>
  <c r="AM38" i="18"/>
  <c r="AY38" i="18"/>
  <c r="I40" i="18"/>
  <c r="U40" i="18"/>
  <c r="AG40" i="18"/>
  <c r="AS40" i="18"/>
  <c r="BE40" i="18"/>
  <c r="L41" i="18"/>
  <c r="X41" i="18"/>
  <c r="AJ41" i="18"/>
  <c r="AV41" i="18"/>
  <c r="O42" i="18"/>
  <c r="AA42" i="18"/>
  <c r="AM42" i="18"/>
  <c r="AY42" i="18"/>
  <c r="F43" i="18"/>
  <c r="R43" i="18"/>
  <c r="AD43" i="18"/>
  <c r="AP43" i="18"/>
  <c r="BB43" i="18"/>
  <c r="I43" i="18"/>
  <c r="U43" i="18"/>
  <c r="AG43" i="18"/>
  <c r="AS43" i="18"/>
  <c r="BE43" i="18"/>
  <c r="U30" i="18"/>
  <c r="AG30" i="18"/>
  <c r="AS30" i="18"/>
  <c r="O32" i="18"/>
  <c r="AA32" i="18"/>
  <c r="I34" i="18"/>
  <c r="U34" i="18"/>
  <c r="AG34" i="18"/>
  <c r="AS34" i="18"/>
  <c r="O36" i="18"/>
  <c r="AA36" i="18"/>
  <c r="AM36" i="18"/>
  <c r="I38" i="18"/>
  <c r="U38" i="18"/>
  <c r="AG38" i="18"/>
  <c r="AS38" i="18"/>
  <c r="O40" i="18"/>
  <c r="AA40" i="18"/>
  <c r="AM40" i="18"/>
  <c r="F41" i="18"/>
  <c r="R41" i="18"/>
  <c r="AD41" i="18"/>
  <c r="AP41" i="18"/>
  <c r="BB41" i="18"/>
  <c r="I42" i="18"/>
  <c r="U42" i="18"/>
  <c r="AG42" i="18"/>
  <c r="AS42" i="18"/>
  <c r="L43" i="18"/>
  <c r="X43" i="18"/>
  <c r="AJ43" i="18"/>
  <c r="AV43" i="18"/>
  <c r="I41" i="18"/>
  <c r="U41" i="18"/>
  <c r="AG41" i="18"/>
  <c r="AS41" i="18"/>
  <c r="O43" i="18"/>
  <c r="AA43" i="18"/>
  <c r="AM43" i="18"/>
  <c r="X9" i="17"/>
  <c r="AV9" i="17"/>
  <c r="L9" i="17"/>
  <c r="BB12" i="17"/>
  <c r="AP12" i="17"/>
  <c r="AD12" i="17"/>
  <c r="R12" i="17"/>
  <c r="F12" i="17"/>
  <c r="AY12" i="17"/>
  <c r="AM12" i="17"/>
  <c r="AA12" i="17"/>
  <c r="O12" i="17"/>
  <c r="L12" i="17"/>
  <c r="AJ12" i="17"/>
  <c r="O9" i="17"/>
  <c r="AA9" i="17"/>
  <c r="AM9" i="17"/>
  <c r="AY9" i="17"/>
  <c r="AY11" i="17"/>
  <c r="AM11" i="17"/>
  <c r="AA11" i="17"/>
  <c r="AV11" i="17"/>
  <c r="AJ11" i="17"/>
  <c r="X11" i="17"/>
  <c r="I11" i="17"/>
  <c r="U11" i="17"/>
  <c r="AS11" i="17"/>
  <c r="U12" i="17"/>
  <c r="AS12" i="17"/>
  <c r="AY14" i="17"/>
  <c r="AM14" i="17"/>
  <c r="AA14" i="17"/>
  <c r="O14" i="17"/>
  <c r="AV14" i="17"/>
  <c r="AJ14" i="17"/>
  <c r="X14" i="17"/>
  <c r="L14" i="17"/>
  <c r="I14" i="17"/>
  <c r="AG14" i="17"/>
  <c r="BE14" i="17"/>
  <c r="AY18" i="17"/>
  <c r="AM18" i="17"/>
  <c r="AA18" i="17"/>
  <c r="O18" i="17"/>
  <c r="AV18" i="17"/>
  <c r="AJ18" i="17"/>
  <c r="X18" i="17"/>
  <c r="L18" i="17"/>
  <c r="I18" i="17"/>
  <c r="AG18" i="17"/>
  <c r="BE18" i="17"/>
  <c r="BB33" i="17"/>
  <c r="AP33" i="17"/>
  <c r="AD33" i="17"/>
  <c r="R33" i="17"/>
  <c r="F33" i="17"/>
  <c r="AY33" i="17"/>
  <c r="AM33" i="17"/>
  <c r="AA33" i="17"/>
  <c r="O33" i="17"/>
  <c r="AV33" i="17"/>
  <c r="AJ33" i="17"/>
  <c r="X33" i="17"/>
  <c r="L33" i="17"/>
  <c r="AS33" i="17"/>
  <c r="AG33" i="17"/>
  <c r="U33" i="17"/>
  <c r="AJ9" i="17"/>
  <c r="R9" i="17"/>
  <c r="AD9" i="17"/>
  <c r="AP9" i="17"/>
  <c r="BB9" i="17"/>
  <c r="I10" i="17"/>
  <c r="U10" i="17"/>
  <c r="AG10" i="17"/>
  <c r="AS10" i="17"/>
  <c r="BE10" i="17"/>
  <c r="L11" i="17"/>
  <c r="AD11" i="17"/>
  <c r="BB11" i="17"/>
  <c r="X12" i="17"/>
  <c r="AV12" i="17"/>
  <c r="R14" i="17"/>
  <c r="AP14" i="17"/>
  <c r="BB15" i="17"/>
  <c r="AP15" i="17"/>
  <c r="AD15" i="17"/>
  <c r="R15" i="17"/>
  <c r="F15" i="17"/>
  <c r="AY15" i="17"/>
  <c r="AM15" i="17"/>
  <c r="AA15" i="17"/>
  <c r="O15" i="17"/>
  <c r="L15" i="17"/>
  <c r="AJ15" i="17"/>
  <c r="R18" i="17"/>
  <c r="AP18" i="17"/>
  <c r="BB19" i="17"/>
  <c r="AP19" i="17"/>
  <c r="AD19" i="17"/>
  <c r="R19" i="17"/>
  <c r="F19" i="17"/>
  <c r="AY19" i="17"/>
  <c r="AM19" i="17"/>
  <c r="AA19" i="17"/>
  <c r="O19" i="17"/>
  <c r="L19" i="17"/>
  <c r="AJ19" i="17"/>
  <c r="AY22" i="17"/>
  <c r="AM22" i="17"/>
  <c r="AA22" i="17"/>
  <c r="O22" i="17"/>
  <c r="AV22" i="17"/>
  <c r="AJ22" i="17"/>
  <c r="X22" i="17"/>
  <c r="L22" i="17"/>
  <c r="I22" i="17"/>
  <c r="AG22" i="17"/>
  <c r="BE22" i="17"/>
  <c r="AY26" i="17"/>
  <c r="AM26" i="17"/>
  <c r="AA26" i="17"/>
  <c r="O26" i="17"/>
  <c r="AV26" i="17"/>
  <c r="AJ26" i="17"/>
  <c r="X26" i="17"/>
  <c r="L26" i="17"/>
  <c r="I26" i="17"/>
  <c r="AG26" i="17"/>
  <c r="BE26" i="17"/>
  <c r="I9" i="17"/>
  <c r="U9" i="17"/>
  <c r="AG9" i="17"/>
  <c r="AS9" i="17"/>
  <c r="L10" i="17"/>
  <c r="X10" i="17"/>
  <c r="AJ10" i="17"/>
  <c r="O11" i="17"/>
  <c r="AG11" i="17"/>
  <c r="BE11" i="17"/>
  <c r="I12" i="17"/>
  <c r="AG12" i="17"/>
  <c r="BE12" i="17"/>
  <c r="U14" i="17"/>
  <c r="AS14" i="17"/>
  <c r="U15" i="17"/>
  <c r="AS15" i="17"/>
  <c r="U18" i="17"/>
  <c r="AS18" i="17"/>
  <c r="U19" i="17"/>
  <c r="AS19" i="17"/>
  <c r="R22" i="17"/>
  <c r="AP22" i="17"/>
  <c r="BB23" i="17"/>
  <c r="AP23" i="17"/>
  <c r="AD23" i="17"/>
  <c r="R23" i="17"/>
  <c r="F23" i="17"/>
  <c r="AY23" i="17"/>
  <c r="AM23" i="17"/>
  <c r="AA23" i="17"/>
  <c r="O23" i="17"/>
  <c r="L23" i="17"/>
  <c r="AJ23" i="17"/>
  <c r="R26" i="17"/>
  <c r="AP26" i="17"/>
  <c r="AV27" i="17"/>
  <c r="AJ27" i="17"/>
  <c r="X27" i="17"/>
  <c r="L27" i="17"/>
  <c r="BE27" i="17"/>
  <c r="AS27" i="17"/>
  <c r="AG27" i="17"/>
  <c r="U27" i="17"/>
  <c r="I27" i="17"/>
  <c r="BB27" i="17"/>
  <c r="AD27" i="17"/>
  <c r="F27" i="17"/>
  <c r="AY27" i="17"/>
  <c r="AA27" i="17"/>
  <c r="R27" i="17"/>
  <c r="BB29" i="17"/>
  <c r="AP29" i="17"/>
  <c r="AD29" i="17"/>
  <c r="R29" i="17"/>
  <c r="F29" i="17"/>
  <c r="AY29" i="17"/>
  <c r="AM29" i="17"/>
  <c r="AA29" i="17"/>
  <c r="O29" i="17"/>
  <c r="AV29" i="17"/>
  <c r="AJ29" i="17"/>
  <c r="X29" i="17"/>
  <c r="L29" i="17"/>
  <c r="AS29" i="17"/>
  <c r="AG29" i="17"/>
  <c r="U29" i="17"/>
  <c r="BB37" i="17"/>
  <c r="AP37" i="17"/>
  <c r="AD37" i="17"/>
  <c r="R37" i="17"/>
  <c r="F37" i="17"/>
  <c r="AY37" i="17"/>
  <c r="AM37" i="17"/>
  <c r="AA37" i="17"/>
  <c r="O37" i="17"/>
  <c r="AV37" i="17"/>
  <c r="AJ37" i="17"/>
  <c r="X37" i="17"/>
  <c r="L37" i="17"/>
  <c r="AS37" i="17"/>
  <c r="AG37" i="17"/>
  <c r="U37" i="17"/>
  <c r="I13" i="17"/>
  <c r="U13" i="17"/>
  <c r="AG13" i="17"/>
  <c r="AS13" i="17"/>
  <c r="BE13" i="17"/>
  <c r="F16" i="17"/>
  <c r="R16" i="17"/>
  <c r="AD16" i="17"/>
  <c r="AP16" i="17"/>
  <c r="BB16" i="17"/>
  <c r="I17" i="17"/>
  <c r="U17" i="17"/>
  <c r="AG17" i="17"/>
  <c r="AS17" i="17"/>
  <c r="BE17" i="17"/>
  <c r="F20" i="17"/>
  <c r="R20" i="17"/>
  <c r="AD20" i="17"/>
  <c r="AP20" i="17"/>
  <c r="BB20" i="17"/>
  <c r="U21" i="17"/>
  <c r="AG21" i="17"/>
  <c r="AS21" i="17"/>
  <c r="BE21" i="17"/>
  <c r="F24" i="17"/>
  <c r="R24" i="17"/>
  <c r="AD24" i="17"/>
  <c r="AP24" i="17"/>
  <c r="BB24" i="17"/>
  <c r="I25" i="17"/>
  <c r="U25" i="17"/>
  <c r="AG25" i="17"/>
  <c r="AS25" i="17"/>
  <c r="BE25" i="17"/>
  <c r="L13" i="17"/>
  <c r="X13" i="17"/>
  <c r="AJ13" i="17"/>
  <c r="I16" i="17"/>
  <c r="U16" i="17"/>
  <c r="AG16" i="17"/>
  <c r="AS16" i="17"/>
  <c r="L17" i="17"/>
  <c r="X17" i="17"/>
  <c r="AJ17" i="17"/>
  <c r="I20" i="17"/>
  <c r="U20" i="17"/>
  <c r="AG20" i="17"/>
  <c r="AS20" i="17"/>
  <c r="L21" i="17"/>
  <c r="X21" i="17"/>
  <c r="AJ21" i="17"/>
  <c r="I24" i="17"/>
  <c r="U24" i="17"/>
  <c r="AG24" i="17"/>
  <c r="AS24" i="17"/>
  <c r="L25" i="17"/>
  <c r="X25" i="17"/>
  <c r="AJ25" i="17"/>
  <c r="I28" i="17"/>
  <c r="U28" i="17"/>
  <c r="AG28" i="17"/>
  <c r="AS28" i="17"/>
  <c r="BE28" i="17"/>
  <c r="O30" i="17"/>
  <c r="AA30" i="17"/>
  <c r="AM30" i="17"/>
  <c r="AY30" i="17"/>
  <c r="F31" i="17"/>
  <c r="R31" i="17"/>
  <c r="AD31" i="17"/>
  <c r="AP31" i="17"/>
  <c r="BB31" i="17"/>
  <c r="I32" i="17"/>
  <c r="U32" i="17"/>
  <c r="AG32" i="17"/>
  <c r="AS32" i="17"/>
  <c r="BE32" i="17"/>
  <c r="O34" i="17"/>
  <c r="AA34" i="17"/>
  <c r="AM34" i="17"/>
  <c r="AY34" i="17"/>
  <c r="F35" i="17"/>
  <c r="R35" i="17"/>
  <c r="AD35" i="17"/>
  <c r="AP35" i="17"/>
  <c r="BB35" i="17"/>
  <c r="I36" i="17"/>
  <c r="U36" i="17"/>
  <c r="AG36" i="17"/>
  <c r="AS36" i="17"/>
  <c r="BE36" i="17"/>
  <c r="O38" i="17"/>
  <c r="AA38" i="17"/>
  <c r="AM38" i="17"/>
  <c r="AY38" i="17"/>
  <c r="F39" i="17"/>
  <c r="R39" i="17"/>
  <c r="AD39" i="17"/>
  <c r="AP39" i="17"/>
  <c r="BB39" i="17"/>
  <c r="I40" i="17"/>
  <c r="U40" i="17"/>
  <c r="AG40" i="17"/>
  <c r="AS40" i="17"/>
  <c r="BE40" i="17"/>
  <c r="L41" i="17"/>
  <c r="X41" i="17"/>
  <c r="AJ41" i="17"/>
  <c r="AV41" i="17"/>
  <c r="O42" i="17"/>
  <c r="AA42" i="17"/>
  <c r="AM42" i="17"/>
  <c r="AY42" i="17"/>
  <c r="F43" i="17"/>
  <c r="R43" i="17"/>
  <c r="AD43" i="17"/>
  <c r="AP43" i="17"/>
  <c r="BB43" i="17"/>
  <c r="L28" i="17"/>
  <c r="X28" i="17"/>
  <c r="AJ28" i="17"/>
  <c r="AV28" i="17"/>
  <c r="F30" i="17"/>
  <c r="R30" i="17"/>
  <c r="AD30" i="17"/>
  <c r="AP30" i="17"/>
  <c r="BB30" i="17"/>
  <c r="I31" i="17"/>
  <c r="U31" i="17"/>
  <c r="AG31" i="17"/>
  <c r="AS31" i="17"/>
  <c r="BE31" i="17"/>
  <c r="L32" i="17"/>
  <c r="X32" i="17"/>
  <c r="AJ32" i="17"/>
  <c r="AV32" i="17"/>
  <c r="F34" i="17"/>
  <c r="R34" i="17"/>
  <c r="AD34" i="17"/>
  <c r="AP34" i="17"/>
  <c r="BB34" i="17"/>
  <c r="I35" i="17"/>
  <c r="U35" i="17"/>
  <c r="AG35" i="17"/>
  <c r="AS35" i="17"/>
  <c r="BE35" i="17"/>
  <c r="L36" i="17"/>
  <c r="X36" i="17"/>
  <c r="AJ36" i="17"/>
  <c r="AV36" i="17"/>
  <c r="F38" i="17"/>
  <c r="R38" i="17"/>
  <c r="AD38" i="17"/>
  <c r="AP38" i="17"/>
  <c r="BB38" i="17"/>
  <c r="I39" i="17"/>
  <c r="U39" i="17"/>
  <c r="AG39" i="17"/>
  <c r="AS39" i="17"/>
  <c r="BE39" i="17"/>
  <c r="L40" i="17"/>
  <c r="X40" i="17"/>
  <c r="AJ40" i="17"/>
  <c r="AV40" i="17"/>
  <c r="O41" i="17"/>
  <c r="AA41" i="17"/>
  <c r="AM41" i="17"/>
  <c r="AY41" i="17"/>
  <c r="F42" i="17"/>
  <c r="R42" i="17"/>
  <c r="AD42" i="17"/>
  <c r="AP42" i="17"/>
  <c r="BB42" i="17"/>
  <c r="I43" i="17"/>
  <c r="U43" i="17"/>
  <c r="AG43" i="17"/>
  <c r="AS43" i="17"/>
  <c r="BE43" i="17"/>
  <c r="O28" i="17"/>
  <c r="AA28" i="17"/>
  <c r="AM28" i="17"/>
  <c r="I30" i="17"/>
  <c r="U30" i="17"/>
  <c r="AG30" i="17"/>
  <c r="AS30" i="17"/>
  <c r="L31" i="17"/>
  <c r="X31" i="17"/>
  <c r="AJ31" i="17"/>
  <c r="O32" i="17"/>
  <c r="AA32" i="17"/>
  <c r="AM32" i="17"/>
  <c r="I34" i="17"/>
  <c r="U34" i="17"/>
  <c r="AG34" i="17"/>
  <c r="AS34" i="17"/>
  <c r="L35" i="17"/>
  <c r="X35" i="17"/>
  <c r="AJ35" i="17"/>
  <c r="O36" i="17"/>
  <c r="AA36" i="17"/>
  <c r="AM36" i="17"/>
  <c r="I38" i="17"/>
  <c r="U38" i="17"/>
  <c r="AG38" i="17"/>
  <c r="AS38" i="17"/>
  <c r="L39" i="17"/>
  <c r="X39" i="17"/>
  <c r="AJ39" i="17"/>
  <c r="O40" i="17"/>
  <c r="AA40" i="17"/>
  <c r="AM40" i="17"/>
  <c r="F41" i="17"/>
  <c r="R41" i="17"/>
  <c r="AD41" i="17"/>
  <c r="AP41" i="17"/>
  <c r="BB41" i="17"/>
  <c r="I42" i="17"/>
  <c r="U42" i="17"/>
  <c r="AG42" i="17"/>
  <c r="AS42" i="17"/>
  <c r="L43" i="17"/>
  <c r="X43" i="17"/>
  <c r="AJ43" i="17"/>
  <c r="AV43" i="17"/>
  <c r="I41" i="17"/>
  <c r="U41" i="17"/>
  <c r="AG41" i="17"/>
  <c r="AS41" i="17"/>
  <c r="O43" i="17"/>
  <c r="AA43" i="17"/>
  <c r="AM43" i="17"/>
  <c r="BB10" i="16"/>
  <c r="BE10" i="16"/>
  <c r="I10" i="16"/>
  <c r="U10" i="16"/>
  <c r="AG10" i="16"/>
  <c r="AS10" i="16"/>
  <c r="I9" i="16"/>
  <c r="H22" i="11" s="1"/>
  <c r="U9" i="16"/>
  <c r="AG9" i="16"/>
  <c r="AS9" i="16"/>
  <c r="L10" i="16"/>
  <c r="X10" i="16"/>
  <c r="AJ10" i="16"/>
  <c r="AV10" i="16"/>
  <c r="F12" i="16"/>
  <c r="AD12" i="16"/>
  <c r="AA13" i="16"/>
  <c r="AY13" i="16"/>
  <c r="AV15" i="16"/>
  <c r="AJ15" i="16"/>
  <c r="X15" i="16"/>
  <c r="L15" i="16"/>
  <c r="AY15" i="16"/>
  <c r="AM15" i="16"/>
  <c r="AA15" i="16"/>
  <c r="O15" i="16"/>
  <c r="I15" i="16"/>
  <c r="AG15" i="16"/>
  <c r="BE15" i="16"/>
  <c r="I16" i="16"/>
  <c r="AG16" i="16"/>
  <c r="AV19" i="16"/>
  <c r="AJ19" i="16"/>
  <c r="X19" i="16"/>
  <c r="L19" i="16"/>
  <c r="AY19" i="16"/>
  <c r="AM19" i="16"/>
  <c r="AA19" i="16"/>
  <c r="O19" i="16"/>
  <c r="I19" i="16"/>
  <c r="AG19" i="16"/>
  <c r="BE19" i="16"/>
  <c r="L9" i="16"/>
  <c r="X9" i="16"/>
  <c r="AJ9" i="16"/>
  <c r="O10" i="16"/>
  <c r="AA10" i="16"/>
  <c r="AM10" i="16"/>
  <c r="AY10" i="16"/>
  <c r="AV12" i="16"/>
  <c r="AJ12" i="16"/>
  <c r="X12" i="16"/>
  <c r="L12" i="16"/>
  <c r="AY12" i="16"/>
  <c r="AM12" i="16"/>
  <c r="AA12" i="16"/>
  <c r="O12" i="16"/>
  <c r="I12" i="16"/>
  <c r="AG12" i="16"/>
  <c r="BE12" i="16"/>
  <c r="L13" i="16"/>
  <c r="R15" i="16"/>
  <c r="AP15" i="16"/>
  <c r="AY16" i="16"/>
  <c r="AM16" i="16"/>
  <c r="AA16" i="16"/>
  <c r="O16" i="16"/>
  <c r="BB16" i="16"/>
  <c r="AP16" i="16"/>
  <c r="AD16" i="16"/>
  <c r="R16" i="16"/>
  <c r="F16" i="16"/>
  <c r="L16" i="16"/>
  <c r="AJ16" i="16"/>
  <c r="R19" i="16"/>
  <c r="AP19" i="16"/>
  <c r="AY20" i="16"/>
  <c r="AM20" i="16"/>
  <c r="AA20" i="16"/>
  <c r="O20" i="16"/>
  <c r="AV20" i="16"/>
  <c r="BE20" i="16"/>
  <c r="AS20" i="16"/>
  <c r="BB20" i="16"/>
  <c r="AP20" i="16"/>
  <c r="AD20" i="16"/>
  <c r="R20" i="16"/>
  <c r="F20" i="16"/>
  <c r="L20" i="16"/>
  <c r="AJ20" i="16"/>
  <c r="F10" i="16"/>
  <c r="R10" i="16"/>
  <c r="AD10" i="16"/>
  <c r="AP10" i="16"/>
  <c r="BB13" i="16"/>
  <c r="AP13" i="16"/>
  <c r="AD13" i="16"/>
  <c r="R13" i="16"/>
  <c r="BE13" i="16"/>
  <c r="AS13" i="16"/>
  <c r="AG13" i="16"/>
  <c r="U13" i="16"/>
  <c r="I13" i="16"/>
  <c r="O13" i="16"/>
  <c r="AM13" i="16"/>
  <c r="U19" i="16"/>
  <c r="AS19" i="16"/>
  <c r="L11" i="16"/>
  <c r="X11" i="16"/>
  <c r="AJ11" i="16"/>
  <c r="AV11" i="16"/>
  <c r="L14" i="16"/>
  <c r="X14" i="16"/>
  <c r="AJ14" i="16"/>
  <c r="AV14" i="16"/>
  <c r="I17" i="16"/>
  <c r="U17" i="16"/>
  <c r="AG17" i="16"/>
  <c r="AS17" i="16"/>
  <c r="BE17" i="16"/>
  <c r="L18" i="16"/>
  <c r="X18" i="16"/>
  <c r="AJ18" i="16"/>
  <c r="AV18" i="16"/>
  <c r="U21" i="16"/>
  <c r="AG21" i="16"/>
  <c r="AS21" i="16"/>
  <c r="BE21" i="16"/>
  <c r="L22" i="16"/>
  <c r="X22" i="16"/>
  <c r="AJ22" i="16"/>
  <c r="AV22" i="16"/>
  <c r="O23" i="16"/>
  <c r="AA23" i="16"/>
  <c r="AM23" i="16"/>
  <c r="AY23" i="16"/>
  <c r="F24" i="16"/>
  <c r="R24" i="16"/>
  <c r="AD24" i="16"/>
  <c r="AP24" i="16"/>
  <c r="BB24" i="16"/>
  <c r="I25" i="16"/>
  <c r="U25" i="16"/>
  <c r="AG25" i="16"/>
  <c r="AS25" i="16"/>
  <c r="BE25" i="16"/>
  <c r="L26" i="16"/>
  <c r="X26" i="16"/>
  <c r="AJ26" i="16"/>
  <c r="AV26" i="16"/>
  <c r="AA27" i="16"/>
  <c r="AY27" i="16"/>
  <c r="AS29" i="16"/>
  <c r="AS33" i="16"/>
  <c r="AS37" i="16"/>
  <c r="F23" i="16"/>
  <c r="R23" i="16"/>
  <c r="AD23" i="16"/>
  <c r="AP23" i="16"/>
  <c r="BB23" i="16"/>
  <c r="I24" i="16"/>
  <c r="U24" i="16"/>
  <c r="AG24" i="16"/>
  <c r="AS24" i="16"/>
  <c r="BE24" i="16"/>
  <c r="F27" i="16"/>
  <c r="I29" i="16"/>
  <c r="I33" i="16"/>
  <c r="I37" i="16"/>
  <c r="I23" i="16"/>
  <c r="U23" i="16"/>
  <c r="AG23" i="16"/>
  <c r="AS23" i="16"/>
  <c r="BE23" i="16"/>
  <c r="L24" i="16"/>
  <c r="X24" i="16"/>
  <c r="AJ24" i="16"/>
  <c r="AV24" i="16"/>
  <c r="AV27" i="16"/>
  <c r="AJ27" i="16"/>
  <c r="X27" i="16"/>
  <c r="L27" i="16"/>
  <c r="BE27" i="16"/>
  <c r="AS27" i="16"/>
  <c r="AG27" i="16"/>
  <c r="U27" i="16"/>
  <c r="I27" i="16"/>
  <c r="BB27" i="16"/>
  <c r="O27" i="16"/>
  <c r="AM27" i="16"/>
  <c r="BB29" i="16"/>
  <c r="AP29" i="16"/>
  <c r="AD29" i="16"/>
  <c r="R29" i="16"/>
  <c r="F29" i="16"/>
  <c r="AY29" i="16"/>
  <c r="AM29" i="16"/>
  <c r="AA29" i="16"/>
  <c r="O29" i="16"/>
  <c r="AV29" i="16"/>
  <c r="AJ29" i="16"/>
  <c r="X29" i="16"/>
  <c r="L29" i="16"/>
  <c r="U29" i="16"/>
  <c r="BB33" i="16"/>
  <c r="AP33" i="16"/>
  <c r="AD33" i="16"/>
  <c r="R33" i="16"/>
  <c r="F33" i="16"/>
  <c r="AY33" i="16"/>
  <c r="AM33" i="16"/>
  <c r="AA33" i="16"/>
  <c r="O33" i="16"/>
  <c r="AV33" i="16"/>
  <c r="AJ33" i="16"/>
  <c r="X33" i="16"/>
  <c r="L33" i="16"/>
  <c r="U33" i="16"/>
  <c r="BB37" i="16"/>
  <c r="AP37" i="16"/>
  <c r="AD37" i="16"/>
  <c r="R37" i="16"/>
  <c r="F37" i="16"/>
  <c r="AY37" i="16"/>
  <c r="AM37" i="16"/>
  <c r="AA37" i="16"/>
  <c r="O37" i="16"/>
  <c r="AV37" i="16"/>
  <c r="AJ37" i="16"/>
  <c r="X37" i="16"/>
  <c r="L37" i="16"/>
  <c r="U37" i="16"/>
  <c r="I11" i="16"/>
  <c r="U11" i="16"/>
  <c r="AG11" i="16"/>
  <c r="AS11" i="16"/>
  <c r="I14" i="16"/>
  <c r="U14" i="16"/>
  <c r="AG14" i="16"/>
  <c r="AS14" i="16"/>
  <c r="F17" i="16"/>
  <c r="R17" i="16"/>
  <c r="AD17" i="16"/>
  <c r="AP17" i="16"/>
  <c r="I18" i="16"/>
  <c r="U18" i="16"/>
  <c r="AG18" i="16"/>
  <c r="AS18" i="16"/>
  <c r="R21" i="16"/>
  <c r="AD21" i="16"/>
  <c r="AP21" i="16"/>
  <c r="I22" i="16"/>
  <c r="U22" i="16"/>
  <c r="AG22" i="16"/>
  <c r="AS22" i="16"/>
  <c r="L23" i="16"/>
  <c r="X23" i="16"/>
  <c r="AJ23" i="16"/>
  <c r="O24" i="16"/>
  <c r="AA24" i="16"/>
  <c r="AM24" i="16"/>
  <c r="F25" i="16"/>
  <c r="R25" i="16"/>
  <c r="AD25" i="16"/>
  <c r="AP25" i="16"/>
  <c r="I26" i="16"/>
  <c r="U26" i="16"/>
  <c r="AG26" i="16"/>
  <c r="AS26" i="16"/>
  <c r="R27" i="16"/>
  <c r="AP27" i="16"/>
  <c r="AG29" i="16"/>
  <c r="AG33" i="16"/>
  <c r="I28" i="16"/>
  <c r="U28" i="16"/>
  <c r="AG28" i="16"/>
  <c r="AS28" i="16"/>
  <c r="BE28" i="16"/>
  <c r="O30" i="16"/>
  <c r="AA30" i="16"/>
  <c r="AM30" i="16"/>
  <c r="AY30" i="16"/>
  <c r="F31" i="16"/>
  <c r="R31" i="16"/>
  <c r="AD31" i="16"/>
  <c r="AP31" i="16"/>
  <c r="BB31" i="16"/>
  <c r="I32" i="16"/>
  <c r="U32" i="16"/>
  <c r="AG32" i="16"/>
  <c r="AS32" i="16"/>
  <c r="BE32" i="16"/>
  <c r="O34" i="16"/>
  <c r="AA34" i="16"/>
  <c r="AM34" i="16"/>
  <c r="AY34" i="16"/>
  <c r="F35" i="16"/>
  <c r="R35" i="16"/>
  <c r="AD35" i="16"/>
  <c r="AP35" i="16"/>
  <c r="BB35" i="16"/>
  <c r="I36" i="16"/>
  <c r="U36" i="16"/>
  <c r="AG36" i="16"/>
  <c r="AS36" i="16"/>
  <c r="BE36" i="16"/>
  <c r="O38" i="16"/>
  <c r="AA38" i="16"/>
  <c r="AM38" i="16"/>
  <c r="AY38" i="16"/>
  <c r="F39" i="16"/>
  <c r="R39" i="16"/>
  <c r="AD39" i="16"/>
  <c r="AP39" i="16"/>
  <c r="BB39" i="16"/>
  <c r="I40" i="16"/>
  <c r="U40" i="16"/>
  <c r="AG40" i="16"/>
  <c r="AS40" i="16"/>
  <c r="BE40" i="16"/>
  <c r="L41" i="16"/>
  <c r="X41" i="16"/>
  <c r="AJ41" i="16"/>
  <c r="AV41" i="16"/>
  <c r="O42" i="16"/>
  <c r="AA42" i="16"/>
  <c r="AM42" i="16"/>
  <c r="AY42" i="16"/>
  <c r="F43" i="16"/>
  <c r="R43" i="16"/>
  <c r="AD43" i="16"/>
  <c r="AP43" i="16"/>
  <c r="BB43" i="16"/>
  <c r="L28" i="16"/>
  <c r="X28" i="16"/>
  <c r="AJ28" i="16"/>
  <c r="AV28" i="16"/>
  <c r="F30" i="16"/>
  <c r="R30" i="16"/>
  <c r="AD30" i="16"/>
  <c r="AP30" i="16"/>
  <c r="BB30" i="16"/>
  <c r="I31" i="16"/>
  <c r="U31" i="16"/>
  <c r="AG31" i="16"/>
  <c r="AS31" i="16"/>
  <c r="BE31" i="16"/>
  <c r="L32" i="16"/>
  <c r="X32" i="16"/>
  <c r="AJ32" i="16"/>
  <c r="AV32" i="16"/>
  <c r="F34" i="16"/>
  <c r="R34" i="16"/>
  <c r="AD34" i="16"/>
  <c r="AP34" i="16"/>
  <c r="BB34" i="16"/>
  <c r="I35" i="16"/>
  <c r="U35" i="16"/>
  <c r="AG35" i="16"/>
  <c r="AS35" i="16"/>
  <c r="BE35" i="16"/>
  <c r="L36" i="16"/>
  <c r="X36" i="16"/>
  <c r="AJ36" i="16"/>
  <c r="AV36" i="16"/>
  <c r="F38" i="16"/>
  <c r="R38" i="16"/>
  <c r="AD38" i="16"/>
  <c r="AP38" i="16"/>
  <c r="BB38" i="16"/>
  <c r="I39" i="16"/>
  <c r="U39" i="16"/>
  <c r="AG39" i="16"/>
  <c r="AS39" i="16"/>
  <c r="BE39" i="16"/>
  <c r="L40" i="16"/>
  <c r="X40" i="16"/>
  <c r="AJ40" i="16"/>
  <c r="AV40" i="16"/>
  <c r="O41" i="16"/>
  <c r="AA41" i="16"/>
  <c r="AM41" i="16"/>
  <c r="AY41" i="16"/>
  <c r="F42" i="16"/>
  <c r="R42" i="16"/>
  <c r="AD42" i="16"/>
  <c r="AP42" i="16"/>
  <c r="BB42" i="16"/>
  <c r="I43" i="16"/>
  <c r="U43" i="16"/>
  <c r="AG43" i="16"/>
  <c r="AS43" i="16"/>
  <c r="BE43" i="16"/>
  <c r="O28" i="16"/>
  <c r="AA28" i="16"/>
  <c r="AM28" i="16"/>
  <c r="I30" i="16"/>
  <c r="U30" i="16"/>
  <c r="AG30" i="16"/>
  <c r="AS30" i="16"/>
  <c r="L31" i="16"/>
  <c r="X31" i="16"/>
  <c r="AJ31" i="16"/>
  <c r="O32" i="16"/>
  <c r="AA32" i="16"/>
  <c r="AM32" i="16"/>
  <c r="I34" i="16"/>
  <c r="U34" i="16"/>
  <c r="AG34" i="16"/>
  <c r="AS34" i="16"/>
  <c r="L35" i="16"/>
  <c r="X35" i="16"/>
  <c r="AJ35" i="16"/>
  <c r="O36" i="16"/>
  <c r="AA36" i="16"/>
  <c r="AM36" i="16"/>
  <c r="I38" i="16"/>
  <c r="U38" i="16"/>
  <c r="AG38" i="16"/>
  <c r="AS38" i="16"/>
  <c r="L39" i="16"/>
  <c r="X39" i="16"/>
  <c r="AJ39" i="16"/>
  <c r="O40" i="16"/>
  <c r="AA40" i="16"/>
  <c r="AM40" i="16"/>
  <c r="F41" i="16"/>
  <c r="R41" i="16"/>
  <c r="AD41" i="16"/>
  <c r="AP41" i="16"/>
  <c r="BB41" i="16"/>
  <c r="I42" i="16"/>
  <c r="U42" i="16"/>
  <c r="AG42" i="16"/>
  <c r="AS42" i="16"/>
  <c r="BE42" i="16"/>
  <c r="L43" i="16"/>
  <c r="X43" i="16"/>
  <c r="AJ43" i="16"/>
  <c r="AV43" i="16"/>
  <c r="I41" i="16"/>
  <c r="U41" i="16"/>
  <c r="AG41" i="16"/>
  <c r="AS41" i="16"/>
  <c r="O43" i="16"/>
  <c r="AA43" i="16"/>
  <c r="AM43" i="16"/>
  <c r="H20" i="25" l="1"/>
  <c r="L20" i="25" s="1"/>
  <c r="M20" i="25" s="1"/>
  <c r="H21" i="13"/>
  <c r="L21" i="13" s="1"/>
  <c r="M21" i="13" s="1"/>
  <c r="BH41" i="19"/>
  <c r="BH37" i="19"/>
  <c r="H34" i="25"/>
  <c r="L34" i="25" s="1"/>
  <c r="M34" i="25" s="1"/>
  <c r="H33" i="12"/>
  <c r="L33" i="12" s="1"/>
  <c r="M33" i="12" s="1"/>
  <c r="H23" i="13"/>
  <c r="L23" i="13" s="1"/>
  <c r="M23" i="13" s="1"/>
  <c r="H21" i="24"/>
  <c r="L21" i="24" s="1"/>
  <c r="M21" i="24" s="1"/>
  <c r="H33" i="13"/>
  <c r="L33" i="13" s="1"/>
  <c r="M33" i="13" s="1"/>
  <c r="BH40" i="17"/>
  <c r="H40" i="10"/>
  <c r="L40" i="10" s="1"/>
  <c r="M40" i="10" s="1"/>
  <c r="H39" i="23"/>
  <c r="L39" i="23" s="1"/>
  <c r="M39" i="23" s="1"/>
  <c r="BH42" i="18"/>
  <c r="BH38" i="18"/>
  <c r="BH38" i="20"/>
  <c r="BH39" i="20"/>
  <c r="BH38" i="21"/>
  <c r="BH40" i="16"/>
  <c r="BH38" i="19"/>
  <c r="BH42" i="19"/>
  <c r="BH36" i="20"/>
  <c r="BH37" i="21"/>
  <c r="BH42" i="21"/>
  <c r="BH36" i="16"/>
  <c r="BH36" i="17"/>
  <c r="H41" i="10"/>
  <c r="L41" i="10" s="1"/>
  <c r="M41" i="10" s="1"/>
  <c r="H40" i="23"/>
  <c r="L40" i="23" s="1"/>
  <c r="M40" i="23" s="1"/>
  <c r="BH39" i="18"/>
  <c r="BH43" i="20"/>
  <c r="BH24" i="20"/>
  <c r="BH13" i="20"/>
  <c r="H30" i="14"/>
  <c r="L30" i="14" s="1"/>
  <c r="M30" i="14" s="1"/>
  <c r="H33" i="15"/>
  <c r="L33" i="15" s="1"/>
  <c r="M33" i="15" s="1"/>
  <c r="BH21" i="19"/>
  <c r="BH21" i="16"/>
  <c r="BH18" i="16"/>
  <c r="BH14" i="16"/>
  <c r="BH11" i="16"/>
  <c r="BH21" i="17"/>
  <c r="BH27" i="17"/>
  <c r="BH25" i="18"/>
  <c r="BH23" i="18"/>
  <c r="BH20" i="18"/>
  <c r="BH11" i="19"/>
  <c r="BH12" i="19"/>
  <c r="BH21" i="21"/>
  <c r="BH15" i="21"/>
  <c r="BH10" i="19"/>
  <c r="BH17" i="19"/>
  <c r="BH33" i="19"/>
  <c r="BH19" i="19"/>
  <c r="H27" i="12"/>
  <c r="L27" i="12" s="1"/>
  <c r="M27" i="12" s="1"/>
  <c r="BH25" i="19"/>
  <c r="H33" i="28"/>
  <c r="L33" i="28" s="1"/>
  <c r="M33" i="28" s="1"/>
  <c r="H34" i="11"/>
  <c r="L34" i="11" s="1"/>
  <c r="M34" i="11" s="1"/>
  <c r="H36" i="28"/>
  <c r="L36" i="28" s="1"/>
  <c r="M36" i="28" s="1"/>
  <c r="H37" i="11"/>
  <c r="L37" i="11" s="1"/>
  <c r="M37" i="11" s="1"/>
  <c r="BH32" i="17"/>
  <c r="H38" i="23"/>
  <c r="L38" i="23" s="1"/>
  <c r="M38" i="23" s="1"/>
  <c r="H39" i="10"/>
  <c r="L39" i="10" s="1"/>
  <c r="M39" i="10" s="1"/>
  <c r="BH22" i="19"/>
  <c r="BH19" i="16"/>
  <c r="H30" i="28"/>
  <c r="L30" i="28" s="1"/>
  <c r="M30" i="28" s="1"/>
  <c r="H31" i="11"/>
  <c r="L31" i="11" s="1"/>
  <c r="M31" i="11" s="1"/>
  <c r="BH22" i="17"/>
  <c r="BH10" i="17"/>
  <c r="H24" i="23"/>
  <c r="L24" i="23" s="1"/>
  <c r="M24" i="23" s="1"/>
  <c r="H25" i="10"/>
  <c r="L25" i="10" s="1"/>
  <c r="M25" i="10" s="1"/>
  <c r="BH18" i="17"/>
  <c r="BH11" i="17"/>
  <c r="H34" i="23"/>
  <c r="L34" i="23" s="1"/>
  <c r="M34" i="23" s="1"/>
  <c r="H35" i="10"/>
  <c r="L35" i="10" s="1"/>
  <c r="M35" i="10" s="1"/>
  <c r="H27" i="23"/>
  <c r="L27" i="23" s="1"/>
  <c r="M27" i="23" s="1"/>
  <c r="H28" i="10"/>
  <c r="L28" i="10" s="1"/>
  <c r="M28" i="10" s="1"/>
  <c r="H23" i="24"/>
  <c r="L23" i="24" s="1"/>
  <c r="M23" i="24" s="1"/>
  <c r="H24" i="12"/>
  <c r="L24" i="12" s="1"/>
  <c r="M24" i="12" s="1"/>
  <c r="BH14" i="19"/>
  <c r="BH18" i="19"/>
  <c r="BH30" i="20"/>
  <c r="H33" i="26"/>
  <c r="L33" i="26" s="1"/>
  <c r="M33" i="26" s="1"/>
  <c r="H33" i="14"/>
  <c r="L33" i="14" s="1"/>
  <c r="M33" i="14" s="1"/>
  <c r="BH21" i="20"/>
  <c r="H26" i="26"/>
  <c r="L26" i="26" s="1"/>
  <c r="M26" i="26" s="1"/>
  <c r="H26" i="14"/>
  <c r="L26" i="14" s="1"/>
  <c r="M26" i="14" s="1"/>
  <c r="BH33" i="21"/>
  <c r="BH29" i="21"/>
  <c r="BH26" i="21"/>
  <c r="BH14" i="21"/>
  <c r="H31" i="27"/>
  <c r="L31" i="27" s="1"/>
  <c r="M31" i="27" s="1"/>
  <c r="H31" i="15"/>
  <c r="L31" i="15" s="1"/>
  <c r="M31" i="15" s="1"/>
  <c r="H35" i="26"/>
  <c r="L35" i="26" s="1"/>
  <c r="M35" i="26" s="1"/>
  <c r="H35" i="14"/>
  <c r="L35" i="14" s="1"/>
  <c r="M35" i="14" s="1"/>
  <c r="H26" i="27"/>
  <c r="L26" i="27" s="1"/>
  <c r="M26" i="27" s="1"/>
  <c r="H26" i="15"/>
  <c r="L26" i="15" s="1"/>
  <c r="M26" i="15" s="1"/>
  <c r="H21" i="27"/>
  <c r="L21" i="27" s="1"/>
  <c r="M21" i="27" s="1"/>
  <c r="H21" i="15"/>
  <c r="L21" i="15" s="1"/>
  <c r="M21" i="15" s="1"/>
  <c r="H35" i="25"/>
  <c r="L35" i="25" s="1"/>
  <c r="M35" i="25" s="1"/>
  <c r="H36" i="13"/>
  <c r="L36" i="13" s="1"/>
  <c r="M36" i="13" s="1"/>
  <c r="H33" i="25"/>
  <c r="L33" i="25" s="1"/>
  <c r="M33" i="25" s="1"/>
  <c r="H34" i="13"/>
  <c r="L34" i="13" s="1"/>
  <c r="M34" i="13" s="1"/>
  <c r="H35" i="24"/>
  <c r="L35" i="24" s="1"/>
  <c r="M35" i="24" s="1"/>
  <c r="H36" i="12"/>
  <c r="L36" i="12" s="1"/>
  <c r="M36" i="12" s="1"/>
  <c r="H24" i="28"/>
  <c r="L24" i="28" s="1"/>
  <c r="M24" i="28" s="1"/>
  <c r="H25" i="11"/>
  <c r="L25" i="11" s="1"/>
  <c r="M25" i="11" s="1"/>
  <c r="H29" i="23"/>
  <c r="L29" i="23" s="1"/>
  <c r="M29" i="23" s="1"/>
  <c r="H30" i="10"/>
  <c r="L30" i="10" s="1"/>
  <c r="M30" i="10" s="1"/>
  <c r="BH12" i="18"/>
  <c r="BH9" i="18"/>
  <c r="H22" i="24"/>
  <c r="L22" i="24" s="1"/>
  <c r="M22" i="24" s="1"/>
  <c r="H23" i="12"/>
  <c r="L23" i="12" s="1"/>
  <c r="M23" i="12" s="1"/>
  <c r="BH32" i="16"/>
  <c r="BH20" i="16"/>
  <c r="BH16" i="16"/>
  <c r="H27" i="28"/>
  <c r="L27" i="28" s="1"/>
  <c r="M27" i="28" s="1"/>
  <c r="H28" i="11"/>
  <c r="L28" i="11" s="1"/>
  <c r="M28" i="11" s="1"/>
  <c r="H30" i="23"/>
  <c r="L30" i="23" s="1"/>
  <c r="M30" i="23" s="1"/>
  <c r="H31" i="10"/>
  <c r="L31" i="10" s="1"/>
  <c r="M31" i="10" s="1"/>
  <c r="H22" i="28"/>
  <c r="L22" i="28" s="1"/>
  <c r="M22" i="28" s="1"/>
  <c r="H23" i="11"/>
  <c r="L23" i="11" s="1"/>
  <c r="M23" i="11" s="1"/>
  <c r="BH15" i="16"/>
  <c r="H25" i="28"/>
  <c r="L25" i="28" s="1"/>
  <c r="M25" i="28" s="1"/>
  <c r="H26" i="11"/>
  <c r="L26" i="11" s="1"/>
  <c r="M26" i="11" s="1"/>
  <c r="BH28" i="17"/>
  <c r="BH17" i="17"/>
  <c r="H25" i="23"/>
  <c r="L25" i="23" s="1"/>
  <c r="M25" i="23" s="1"/>
  <c r="H26" i="10"/>
  <c r="L26" i="10" s="1"/>
  <c r="M26" i="10" s="1"/>
  <c r="BH26" i="17"/>
  <c r="H33" i="23"/>
  <c r="L33" i="23" s="1"/>
  <c r="M33" i="23" s="1"/>
  <c r="H34" i="10"/>
  <c r="L34" i="10" s="1"/>
  <c r="M34" i="10" s="1"/>
  <c r="H28" i="23"/>
  <c r="L28" i="23" s="1"/>
  <c r="M28" i="23" s="1"/>
  <c r="H29" i="10"/>
  <c r="L29" i="10" s="1"/>
  <c r="M29" i="10" s="1"/>
  <c r="BH30" i="18"/>
  <c r="BH15" i="18"/>
  <c r="H33" i="24"/>
  <c r="L33" i="24" s="1"/>
  <c r="M33" i="24" s="1"/>
  <c r="H34" i="12"/>
  <c r="L34" i="12" s="1"/>
  <c r="M34" i="12" s="1"/>
  <c r="BH15" i="19"/>
  <c r="BH31" i="19"/>
  <c r="BH34" i="19"/>
  <c r="H27" i="26"/>
  <c r="L27" i="26" s="1"/>
  <c r="M27" i="26" s="1"/>
  <c r="H27" i="14"/>
  <c r="L27" i="14" s="1"/>
  <c r="M27" i="14" s="1"/>
  <c r="H21" i="26"/>
  <c r="L21" i="26" s="1"/>
  <c r="M21" i="26" s="1"/>
  <c r="H21" i="14"/>
  <c r="L21" i="14" s="1"/>
  <c r="M21" i="14" s="1"/>
  <c r="BH23" i="21"/>
  <c r="H30" i="27"/>
  <c r="L30" i="27" s="1"/>
  <c r="M30" i="27" s="1"/>
  <c r="H30" i="15"/>
  <c r="L30" i="15" s="1"/>
  <c r="M30" i="15" s="1"/>
  <c r="H27" i="27"/>
  <c r="L27" i="27" s="1"/>
  <c r="M27" i="27" s="1"/>
  <c r="H27" i="15"/>
  <c r="L27" i="15" s="1"/>
  <c r="M27" i="15" s="1"/>
  <c r="H24" i="26"/>
  <c r="L24" i="26" s="1"/>
  <c r="M24" i="26" s="1"/>
  <c r="H24" i="14"/>
  <c r="L24" i="14" s="1"/>
  <c r="M24" i="14" s="1"/>
  <c r="H31" i="26"/>
  <c r="L31" i="26" s="1"/>
  <c r="M31" i="26" s="1"/>
  <c r="H31" i="14"/>
  <c r="L31" i="14" s="1"/>
  <c r="M31" i="14" s="1"/>
  <c r="H31" i="25"/>
  <c r="L31" i="25" s="1"/>
  <c r="M31" i="25" s="1"/>
  <c r="H32" i="13"/>
  <c r="L32" i="13" s="1"/>
  <c r="M32" i="13" s="1"/>
  <c r="H27" i="25"/>
  <c r="L27" i="25" s="1"/>
  <c r="M27" i="25" s="1"/>
  <c r="H28" i="13"/>
  <c r="L28" i="13" s="1"/>
  <c r="M28" i="13" s="1"/>
  <c r="H24" i="25"/>
  <c r="L24" i="25" s="1"/>
  <c r="M24" i="25" s="1"/>
  <c r="H25" i="13"/>
  <c r="L25" i="13" s="1"/>
  <c r="M25" i="13" s="1"/>
  <c r="H24" i="24"/>
  <c r="L24" i="24" s="1"/>
  <c r="M24" i="24" s="1"/>
  <c r="H25" i="12"/>
  <c r="L25" i="12" s="1"/>
  <c r="M25" i="12" s="1"/>
  <c r="BH29" i="19"/>
  <c r="H40" i="28"/>
  <c r="L40" i="28" s="1"/>
  <c r="M40" i="28" s="1"/>
  <c r="H41" i="11"/>
  <c r="L41" i="11" s="1"/>
  <c r="M41" i="11" s="1"/>
  <c r="H39" i="28"/>
  <c r="L39" i="28" s="1"/>
  <c r="M39" i="28" s="1"/>
  <c r="H40" i="11"/>
  <c r="L40" i="11" s="1"/>
  <c r="M40" i="11" s="1"/>
  <c r="H37" i="23"/>
  <c r="L37" i="23" s="1"/>
  <c r="M37" i="23" s="1"/>
  <c r="H38" i="10"/>
  <c r="L38" i="10" s="1"/>
  <c r="M38" i="10" s="1"/>
  <c r="H28" i="24"/>
  <c r="L28" i="24" s="1"/>
  <c r="M28" i="24" s="1"/>
  <c r="H29" i="12"/>
  <c r="L29" i="12" s="1"/>
  <c r="M29" i="12" s="1"/>
  <c r="BH22" i="16"/>
  <c r="BH28" i="16"/>
  <c r="BH26" i="16"/>
  <c r="H41" i="28"/>
  <c r="L41" i="28" s="1"/>
  <c r="M41" i="28" s="1"/>
  <c r="H42" i="11"/>
  <c r="L42" i="11" s="1"/>
  <c r="M42" i="11" s="1"/>
  <c r="H21" i="28"/>
  <c r="L21" i="28" s="1"/>
  <c r="M21" i="28" s="1"/>
  <c r="L22" i="11"/>
  <c r="M22" i="11" s="1"/>
  <c r="BH25" i="17"/>
  <c r="H21" i="23"/>
  <c r="L21" i="23" s="1"/>
  <c r="M21" i="23" s="1"/>
  <c r="H22" i="10"/>
  <c r="L22" i="10" s="1"/>
  <c r="M22" i="10" s="1"/>
  <c r="BH14" i="17"/>
  <c r="H35" i="23"/>
  <c r="L35" i="23" s="1"/>
  <c r="M35" i="23" s="1"/>
  <c r="H36" i="10"/>
  <c r="L36" i="10" s="1"/>
  <c r="M36" i="10" s="1"/>
  <c r="H23" i="23"/>
  <c r="L23" i="23" s="1"/>
  <c r="M23" i="23" s="1"/>
  <c r="H24" i="10"/>
  <c r="L24" i="10" s="1"/>
  <c r="M24" i="10" s="1"/>
  <c r="H22" i="23"/>
  <c r="L22" i="23" s="1"/>
  <c r="M22" i="23" s="1"/>
  <c r="H23" i="10"/>
  <c r="L23" i="10" s="1"/>
  <c r="M23" i="10" s="1"/>
  <c r="BH21" i="18"/>
  <c r="BH19" i="18"/>
  <c r="H34" i="24"/>
  <c r="L34" i="24" s="1"/>
  <c r="M34" i="24" s="1"/>
  <c r="H35" i="12"/>
  <c r="L35" i="12" s="1"/>
  <c r="M35" i="12" s="1"/>
  <c r="H27" i="24"/>
  <c r="L27" i="24" s="1"/>
  <c r="M27" i="24" s="1"/>
  <c r="H28" i="12"/>
  <c r="L28" i="12" s="1"/>
  <c r="M28" i="12" s="1"/>
  <c r="BH27" i="19"/>
  <c r="BH34" i="20"/>
  <c r="BH22" i="20"/>
  <c r="BH18" i="20"/>
  <c r="H22" i="26"/>
  <c r="L22" i="26" s="1"/>
  <c r="M22" i="26" s="1"/>
  <c r="H22" i="14"/>
  <c r="L22" i="14" s="1"/>
  <c r="M22" i="14" s="1"/>
  <c r="BH22" i="21"/>
  <c r="BH19" i="21"/>
  <c r="H32" i="27"/>
  <c r="L32" i="27" s="1"/>
  <c r="M32" i="27" s="1"/>
  <c r="H32" i="15"/>
  <c r="L32" i="15" s="1"/>
  <c r="M32" i="15" s="1"/>
  <c r="BH9" i="21"/>
  <c r="H22" i="27"/>
  <c r="L22" i="27" s="1"/>
  <c r="M22" i="27" s="1"/>
  <c r="H22" i="15"/>
  <c r="L22" i="15" s="1"/>
  <c r="M22" i="15" s="1"/>
  <c r="H23" i="25"/>
  <c r="L23" i="25" s="1"/>
  <c r="M23" i="25" s="1"/>
  <c r="H24" i="13"/>
  <c r="L24" i="13" s="1"/>
  <c r="M24" i="13" s="1"/>
  <c r="BH9" i="19"/>
  <c r="H21" i="25"/>
  <c r="L21" i="25" s="1"/>
  <c r="M21" i="25" s="1"/>
  <c r="H22" i="13"/>
  <c r="L22" i="13" s="1"/>
  <c r="M22" i="13" s="1"/>
  <c r="H29" i="28"/>
  <c r="L29" i="28" s="1"/>
  <c r="M29" i="28" s="1"/>
  <c r="H30" i="11"/>
  <c r="L30" i="11" s="1"/>
  <c r="M30" i="11" s="1"/>
  <c r="H28" i="28"/>
  <c r="L28" i="28" s="1"/>
  <c r="M28" i="28" s="1"/>
  <c r="H29" i="11"/>
  <c r="L29" i="11" s="1"/>
  <c r="M29" i="11" s="1"/>
  <c r="H34" i="28"/>
  <c r="L34" i="28" s="1"/>
  <c r="M34" i="28" s="1"/>
  <c r="H35" i="11"/>
  <c r="L35" i="11" s="1"/>
  <c r="M35" i="11" s="1"/>
  <c r="H32" i="26"/>
  <c r="L32" i="26" s="1"/>
  <c r="M32" i="26" s="1"/>
  <c r="H32" i="14"/>
  <c r="L32" i="14" s="1"/>
  <c r="M32" i="14" s="1"/>
  <c r="BH34" i="21"/>
  <c r="BH30" i="21"/>
  <c r="BH28" i="21"/>
  <c r="BH17" i="21"/>
  <c r="BH18" i="21"/>
  <c r="BH35" i="21"/>
  <c r="BH31" i="21"/>
  <c r="H23" i="27"/>
  <c r="L23" i="27" s="1"/>
  <c r="M23" i="27" s="1"/>
  <c r="H23" i="15"/>
  <c r="L23" i="15" s="1"/>
  <c r="M23" i="15" s="1"/>
  <c r="BH11" i="21"/>
  <c r="H24" i="27"/>
  <c r="L24" i="27" s="1"/>
  <c r="M24" i="27" s="1"/>
  <c r="H24" i="15"/>
  <c r="L24" i="15" s="1"/>
  <c r="M24" i="15" s="1"/>
  <c r="H23" i="28"/>
  <c r="L23" i="28" s="1"/>
  <c r="M23" i="28" s="1"/>
  <c r="H24" i="11"/>
  <c r="L24" i="11" s="1"/>
  <c r="M24" i="11" s="1"/>
  <c r="H38" i="28"/>
  <c r="L38" i="28" s="1"/>
  <c r="M38" i="28" s="1"/>
  <c r="H39" i="11"/>
  <c r="L39" i="11" s="1"/>
  <c r="M39" i="11" s="1"/>
  <c r="BH32" i="21"/>
  <c r="BH43" i="21"/>
  <c r="BH24" i="21"/>
  <c r="BH40" i="21"/>
  <c r="BH13" i="21"/>
  <c r="BH41" i="21"/>
  <c r="BH36" i="21"/>
  <c r="BH20" i="21"/>
  <c r="BH39" i="21"/>
  <c r="BH27" i="21"/>
  <c r="BH25" i="21"/>
  <c r="BH10" i="21"/>
  <c r="BH12" i="21"/>
  <c r="BH16" i="21"/>
  <c r="BH27" i="20"/>
  <c r="BH14" i="20"/>
  <c r="BH17" i="20"/>
  <c r="BH37" i="20"/>
  <c r="BH29" i="20"/>
  <c r="BH26" i="20"/>
  <c r="BH23" i="20"/>
  <c r="BH20" i="20"/>
  <c r="BH16" i="20"/>
  <c r="BH40" i="20"/>
  <c r="BH15" i="20"/>
  <c r="BH11" i="20"/>
  <c r="BH31" i="20"/>
  <c r="BH28" i="20"/>
  <c r="BH19" i="20"/>
  <c r="BH25" i="20"/>
  <c r="BH12" i="20"/>
  <c r="BH41" i="20"/>
  <c r="BH33" i="20"/>
  <c r="BH42" i="20"/>
  <c r="BH32" i="20"/>
  <c r="BI32" i="20" s="1"/>
  <c r="BH35" i="20"/>
  <c r="BH10" i="20"/>
  <c r="BH9" i="20"/>
  <c r="BH20" i="19"/>
  <c r="BH30" i="19"/>
  <c r="BH39" i="19"/>
  <c r="BH26" i="19"/>
  <c r="BH43" i="19"/>
  <c r="BH24" i="19"/>
  <c r="BH32" i="19"/>
  <c r="BH36" i="19"/>
  <c r="BH40" i="19"/>
  <c r="BH28" i="19"/>
  <c r="BH16" i="19"/>
  <c r="BH23" i="19"/>
  <c r="BH13" i="19"/>
  <c r="BH35" i="19"/>
  <c r="BH32" i="18"/>
  <c r="BH13" i="18"/>
  <c r="BH26" i="18"/>
  <c r="BH14" i="18"/>
  <c r="BH34" i="18"/>
  <c r="BH43" i="18"/>
  <c r="BH28" i="18"/>
  <c r="BH35" i="18"/>
  <c r="BH11" i="18"/>
  <c r="BH40" i="18"/>
  <c r="BH31" i="18"/>
  <c r="BH17" i="18"/>
  <c r="BH22" i="18"/>
  <c r="BH10" i="18"/>
  <c r="BH41" i="18"/>
  <c r="BH36" i="18"/>
  <c r="BH27" i="18"/>
  <c r="BH37" i="18"/>
  <c r="BH33" i="18"/>
  <c r="BH29" i="18"/>
  <c r="BH24" i="18"/>
  <c r="BH16" i="18"/>
  <c r="BH18" i="18"/>
  <c r="BH43" i="17"/>
  <c r="BH35" i="17"/>
  <c r="BH42" i="17"/>
  <c r="BH34" i="17"/>
  <c r="BH16" i="17"/>
  <c r="BH33" i="17"/>
  <c r="BH41" i="17"/>
  <c r="BH39" i="17"/>
  <c r="BH31" i="17"/>
  <c r="BH24" i="17"/>
  <c r="BH13" i="17"/>
  <c r="BH37" i="17"/>
  <c r="BH29" i="17"/>
  <c r="BH23" i="17"/>
  <c r="BH19" i="17"/>
  <c r="BH38" i="17"/>
  <c r="BH30" i="17"/>
  <c r="BH20" i="17"/>
  <c r="BH9" i="17"/>
  <c r="BH15" i="17"/>
  <c r="BH12" i="17"/>
  <c r="BH41" i="16"/>
  <c r="BH39" i="16"/>
  <c r="BH31" i="16"/>
  <c r="BH9" i="16"/>
  <c r="BH38" i="16"/>
  <c r="BH30" i="16"/>
  <c r="BH37" i="16"/>
  <c r="BH29" i="16"/>
  <c r="BH27" i="16"/>
  <c r="BH43" i="16"/>
  <c r="BH35" i="16"/>
  <c r="BH25" i="16"/>
  <c r="BH24" i="16"/>
  <c r="BH42" i="16"/>
  <c r="BH34" i="16"/>
  <c r="BH17" i="16"/>
  <c r="BH33" i="16"/>
  <c r="BH23" i="16"/>
  <c r="BH13" i="16"/>
  <c r="BH10" i="16"/>
  <c r="BH12" i="16"/>
  <c r="BI12" i="20" l="1"/>
  <c r="BI12" i="17"/>
  <c r="BI30" i="17"/>
  <c r="BI35" i="19"/>
  <c r="BI35" i="20"/>
  <c r="BI10" i="16"/>
  <c r="BI25" i="21"/>
  <c r="BI29" i="17"/>
  <c r="BI28" i="19"/>
  <c r="BI24" i="19"/>
  <c r="BI30" i="19"/>
  <c r="BI41" i="20"/>
  <c r="BI28" i="20"/>
  <c r="BI40" i="20"/>
  <c r="BI26" i="20"/>
  <c r="BI14" i="20"/>
  <c r="BI10" i="21"/>
  <c r="BI20" i="21"/>
  <c r="BI40" i="21"/>
  <c r="BI17" i="21"/>
  <c r="BI34" i="20"/>
  <c r="BI23" i="21"/>
  <c r="BI26" i="17"/>
  <c r="BI28" i="17"/>
  <c r="BI26" i="21"/>
  <c r="BI30" i="20"/>
  <c r="BI19" i="19"/>
  <c r="BI15" i="21"/>
  <c r="BI21" i="17"/>
  <c r="BI13" i="20"/>
  <c r="BI42" i="19"/>
  <c r="BI39" i="20"/>
  <c r="BI16" i="17"/>
  <c r="BI38" i="17"/>
  <c r="BI39" i="17"/>
  <c r="BI13" i="19"/>
  <c r="BI43" i="19"/>
  <c r="BI31" i="20"/>
  <c r="BI29" i="20"/>
  <c r="BI36" i="21"/>
  <c r="BI24" i="21"/>
  <c r="BI31" i="21"/>
  <c r="BI28" i="21"/>
  <c r="BI27" i="19"/>
  <c r="BI25" i="17"/>
  <c r="BI34" i="19"/>
  <c r="BI29" i="21"/>
  <c r="BI21" i="20"/>
  <c r="BI18" i="19"/>
  <c r="BI11" i="17"/>
  <c r="BI10" i="17"/>
  <c r="BI32" i="17"/>
  <c r="BI33" i="19"/>
  <c r="BI21" i="21"/>
  <c r="BI21" i="19"/>
  <c r="BI24" i="20"/>
  <c r="BI42" i="21"/>
  <c r="BI38" i="19"/>
  <c r="BI38" i="20"/>
  <c r="BI43" i="17"/>
  <c r="BI37" i="17"/>
  <c r="BI34" i="17"/>
  <c r="BI40" i="19"/>
  <c r="BI20" i="19"/>
  <c r="BI16" i="20"/>
  <c r="BI27" i="20"/>
  <c r="BI9" i="17"/>
  <c r="BI19" i="17"/>
  <c r="BI13" i="17"/>
  <c r="BI41" i="17"/>
  <c r="BI42" i="17"/>
  <c r="BI23" i="19"/>
  <c r="BI36" i="19"/>
  <c r="BI26" i="19"/>
  <c r="BI9" i="20"/>
  <c r="BI42" i="20"/>
  <c r="BI25" i="20"/>
  <c r="BI11" i="20"/>
  <c r="BI20" i="20"/>
  <c r="BI37" i="20"/>
  <c r="BI16" i="21"/>
  <c r="BI27" i="21"/>
  <c r="BI41" i="21"/>
  <c r="BI43" i="21"/>
  <c r="BI11" i="21"/>
  <c r="BI35" i="21"/>
  <c r="BI30" i="21"/>
  <c r="BI9" i="19"/>
  <c r="H37" i="25" s="1"/>
  <c r="BI19" i="21"/>
  <c r="BI18" i="20"/>
  <c r="BI14" i="17"/>
  <c r="BI31" i="19"/>
  <c r="BI33" i="21"/>
  <c r="BI14" i="19"/>
  <c r="BI18" i="17"/>
  <c r="BI22" i="17"/>
  <c r="BI22" i="19"/>
  <c r="BI25" i="19"/>
  <c r="BI17" i="19"/>
  <c r="BI12" i="19"/>
  <c r="BI37" i="19"/>
  <c r="BI37" i="21"/>
  <c r="BI40" i="17"/>
  <c r="BI9" i="16"/>
  <c r="H43" i="28" s="1"/>
  <c r="BI31" i="17"/>
  <c r="BI15" i="17"/>
  <c r="BI20" i="17"/>
  <c r="BI23" i="17"/>
  <c r="BI24" i="17"/>
  <c r="BI33" i="17"/>
  <c r="BI35" i="17"/>
  <c r="BI16" i="19"/>
  <c r="BI32" i="19"/>
  <c r="BI39" i="19"/>
  <c r="BI10" i="20"/>
  <c r="BI33" i="20"/>
  <c r="BI19" i="20"/>
  <c r="BI15" i="20"/>
  <c r="BI23" i="20"/>
  <c r="BI17" i="20"/>
  <c r="BI12" i="21"/>
  <c r="BI39" i="21"/>
  <c r="BI13" i="21"/>
  <c r="BI32" i="21"/>
  <c r="BI18" i="21"/>
  <c r="BI34" i="21"/>
  <c r="BI9" i="21"/>
  <c r="BI22" i="21"/>
  <c r="BI22" i="20"/>
  <c r="BI29" i="19"/>
  <c r="BI15" i="19"/>
  <c r="BI17" i="17"/>
  <c r="BI14" i="21"/>
  <c r="BI10" i="19"/>
  <c r="BI11" i="19"/>
  <c r="BI27" i="17"/>
  <c r="BI43" i="20"/>
  <c r="BI36" i="17"/>
  <c r="BI36" i="20"/>
  <c r="BI38" i="21"/>
  <c r="BI41" i="19"/>
  <c r="BI10" i="18"/>
  <c r="BI14" i="18"/>
  <c r="BI18" i="18"/>
  <c r="BI22" i="18"/>
  <c r="BI26" i="18"/>
  <c r="BI30" i="18"/>
  <c r="BI34" i="18"/>
  <c r="BI38" i="18"/>
  <c r="BI42" i="18"/>
  <c r="BI11" i="18"/>
  <c r="BI15" i="18"/>
  <c r="BI19" i="18"/>
  <c r="BI23" i="18"/>
  <c r="BI27" i="18"/>
  <c r="BI31" i="18"/>
  <c r="BI35" i="18"/>
  <c r="BI39" i="18"/>
  <c r="BI43" i="18"/>
  <c r="BI12" i="18"/>
  <c r="BI16" i="18"/>
  <c r="BI20" i="18"/>
  <c r="BI24" i="18"/>
  <c r="BI28" i="18"/>
  <c r="BI32" i="18"/>
  <c r="BI36" i="18"/>
  <c r="BI40" i="18"/>
  <c r="BI9" i="18"/>
  <c r="BI13" i="18"/>
  <c r="BI17" i="18"/>
  <c r="BI21" i="18"/>
  <c r="BI25" i="18"/>
  <c r="BI29" i="18"/>
  <c r="BI33" i="18"/>
  <c r="BI37" i="18"/>
  <c r="BI41" i="18"/>
  <c r="BI11" i="16"/>
  <c r="BI25" i="16"/>
  <c r="BI17" i="16"/>
  <c r="BI26" i="16"/>
  <c r="BI13" i="16"/>
  <c r="BI34" i="16"/>
  <c r="BI35" i="16"/>
  <c r="BI31" i="16"/>
  <c r="BI28" i="16"/>
  <c r="BI18" i="16"/>
  <c r="BI16" i="16"/>
  <c r="BI19" i="16"/>
  <c r="H36" i="25"/>
  <c r="H37" i="13"/>
  <c r="BI22" i="16"/>
  <c r="BI15" i="16"/>
  <c r="BI20" i="16"/>
  <c r="H37" i="24"/>
  <c r="H38" i="12"/>
  <c r="BI14" i="16"/>
  <c r="BI29" i="16"/>
  <c r="H42" i="28"/>
  <c r="BI36" i="16"/>
  <c r="BI40" i="16"/>
  <c r="BI37" i="16"/>
  <c r="BI41" i="16"/>
  <c r="BI38" i="16"/>
  <c r="BI42" i="16"/>
  <c r="BI39" i="16"/>
  <c r="BI43" i="16"/>
  <c r="BI23" i="16"/>
  <c r="BI30" i="16"/>
  <c r="H41" i="23"/>
  <c r="H42" i="10"/>
  <c r="BI12" i="16"/>
  <c r="BI33" i="16"/>
  <c r="BI24" i="16"/>
  <c r="BI27" i="16"/>
  <c r="H36" i="26"/>
  <c r="H36" i="14"/>
  <c r="H34" i="27"/>
  <c r="H34" i="15"/>
  <c r="BI32" i="16"/>
  <c r="BI21" i="16"/>
  <c r="H43" i="11"/>
  <c r="R12" i="11"/>
  <c r="G5" i="9"/>
  <c r="E16" i="11"/>
  <c r="J14" i="11"/>
  <c r="J15" i="11"/>
  <c r="J16" i="11"/>
  <c r="E68" i="11"/>
  <c r="B12" i="11"/>
  <c r="B11" i="11"/>
  <c r="H38" i="13" l="1"/>
  <c r="H44" i="11"/>
  <c r="H37" i="26"/>
  <c r="H37" i="14"/>
  <c r="H35" i="27"/>
  <c r="H35" i="15"/>
  <c r="H42" i="23"/>
  <c r="H43" i="10"/>
  <c r="H38" i="24"/>
  <c r="H39" i="12"/>
  <c r="B46" i="23"/>
  <c r="B41" i="25"/>
  <c r="B47" i="28"/>
  <c r="B41" i="26"/>
  <c r="B42" i="24"/>
  <c r="B39" i="27"/>
</calcChain>
</file>

<file path=xl/sharedStrings.xml><?xml version="1.0" encoding="utf-8"?>
<sst xmlns="http://schemas.openxmlformats.org/spreadsheetml/2006/main" count="2514" uniqueCount="282">
  <si>
    <t>APLIKASI RAPORTING</t>
  </si>
  <si>
    <t>SMK PANCASILA 8 SLOGOHIMO</t>
  </si>
  <si>
    <t>Satuan Pendidikan</t>
  </si>
  <si>
    <t>Nama Satuan Pendidikan</t>
  </si>
  <si>
    <t>Jenis Raport</t>
  </si>
  <si>
    <t>Tahun Pelajaran</t>
  </si>
  <si>
    <t>:</t>
  </si>
  <si>
    <t>SEKOLAH MENENGAH KEJURUAN</t>
  </si>
  <si>
    <t>KELAS</t>
  </si>
  <si>
    <t>Kelas</t>
  </si>
  <si>
    <t>Program Keahlian</t>
  </si>
  <si>
    <t>YAYASAN PENDIDIKAN PANCASILA PUSAT SURAKARTA</t>
  </si>
  <si>
    <t>CABANG WONOGIRI</t>
  </si>
  <si>
    <t>SK Menkumham Nomor : AHU 476 AH.01.04 Tahun 2011</t>
  </si>
  <si>
    <t>Akte Notaris No. 1 tanggal 4 Mei 1988</t>
  </si>
  <si>
    <t>STATUS  :  TERAKREDITASI  B</t>
  </si>
  <si>
    <t>Alamat : Jalan Raya Slogohimo - Wonogiri ( 0273 ) 411253</t>
  </si>
  <si>
    <t>Website: www.smkp8slogohimo.sch.id email:smkp8_slog@yahoo.co.id</t>
  </si>
  <si>
    <t>Nama Peserta Didik</t>
  </si>
  <si>
    <t>NIS/NISN</t>
  </si>
  <si>
    <t>Semester</t>
  </si>
  <si>
    <t>IDENTITAS RAPORT</t>
  </si>
  <si>
    <t>NAMA SATUAN PENDIDIKAN</t>
  </si>
  <si>
    <t>KEPALA</t>
  </si>
  <si>
    <t>NAMA WALI KELAS</t>
  </si>
  <si>
    <t>TANGGAL TANDA TANGAN</t>
  </si>
  <si>
    <t>NOMINATIF SISWA</t>
  </si>
  <si>
    <t>NO</t>
  </si>
  <si>
    <t>NAMA</t>
  </si>
  <si>
    <t>NIS</t>
  </si>
  <si>
    <t>NISN</t>
  </si>
  <si>
    <t>SEMESTER</t>
  </si>
  <si>
    <t>No</t>
  </si>
  <si>
    <t>Mata Pelajaran</t>
  </si>
  <si>
    <t>KB</t>
  </si>
  <si>
    <t>PENGETAHUAN</t>
  </si>
  <si>
    <t>PREDIKAT</t>
  </si>
  <si>
    <t>A. Muatan Nasional</t>
  </si>
  <si>
    <t>Pendidikan Agama dan Budi Pekerti</t>
  </si>
  <si>
    <t>Pendidikan Pancasila dan Kewarganegaraan</t>
  </si>
  <si>
    <t>Bahasa Indonesia</t>
  </si>
  <si>
    <t>Matematika</t>
  </si>
  <si>
    <t>Sejarah Indonesia</t>
  </si>
  <si>
    <t>Bahasa Inggris</t>
  </si>
  <si>
    <t>B. Muatan Kewilayahan</t>
  </si>
  <si>
    <t>Pendidikan Jasmani dan Olah Raga</t>
  </si>
  <si>
    <t>Seni Budaya</t>
  </si>
  <si>
    <t>Bahasa Jawa</t>
  </si>
  <si>
    <t>Nasionalisme</t>
  </si>
  <si>
    <t>C. Muatan Peminatan Kejuruan</t>
  </si>
  <si>
    <t>C1. Dasar Bidang Keahlian</t>
  </si>
  <si>
    <t>Simulasi dan Komunikasi Digital</t>
  </si>
  <si>
    <t>Ekonomi Bisnis</t>
  </si>
  <si>
    <t>Administrasi Umum</t>
  </si>
  <si>
    <t>IPA</t>
  </si>
  <si>
    <t>C2. Dasar Program Keahlian</t>
  </si>
  <si>
    <t>Etika Profesi</t>
  </si>
  <si>
    <t>Aplikasi Pengolah Angka/Spreadsheet</t>
  </si>
  <si>
    <t>Akuntansi Dasar</t>
  </si>
  <si>
    <t>Perbankan Dasar</t>
  </si>
  <si>
    <t>JUMLAH</t>
  </si>
  <si>
    <t>PERINGKAT</t>
  </si>
  <si>
    <t>Wali Kelas</t>
  </si>
  <si>
    <t>Bidang Keahlian</t>
  </si>
  <si>
    <t>PROGRAM KEAHLIAN</t>
  </si>
  <si>
    <t>Akuntansi dan Keuangan Lembaga</t>
  </si>
  <si>
    <t>KETRAMPILAN</t>
  </si>
  <si>
    <t>Mengetahui,</t>
  </si>
  <si>
    <t>SMK Pancasila 8 Slogohimo</t>
  </si>
  <si>
    <t>Navigasi Cetak dan Simpan PDF</t>
  </si>
  <si>
    <t>Nomor Awal</t>
  </si>
  <si>
    <t>Nomor Akhir</t>
  </si>
  <si>
    <t>MATA PELAJARAN DAN KETUNTASAN BELAJAR</t>
  </si>
  <si>
    <t>Fisika</t>
  </si>
  <si>
    <t>Kimia</t>
  </si>
  <si>
    <t>Sistem Komputer</t>
  </si>
  <si>
    <t>Pemrograman Dasar</t>
  </si>
  <si>
    <t>Komputer dan Jaringan Dasar</t>
  </si>
  <si>
    <t>C3. Kompetensi Keahlian</t>
  </si>
  <si>
    <t>Praktik Akuntansi Perusahaan Jasa, Dagang &amp; Manufaktur</t>
  </si>
  <si>
    <t>Praktik Akuntansi Lembaga/Instansi Pemerintah</t>
  </si>
  <si>
    <t>Komputer Akuntansi</t>
  </si>
  <si>
    <t>Administrasi Pajak</t>
  </si>
  <si>
    <t>Produk Kreatif dan Kewirausahaan</t>
  </si>
  <si>
    <t>Pemodelan Perangkat Lunak</t>
  </si>
  <si>
    <t>Basis Data</t>
  </si>
  <si>
    <t>Pemrograman Berorientasi Objek</t>
  </si>
  <si>
    <t>Pemrograman Web dan Perangkat Bergerak</t>
  </si>
  <si>
    <t>NAMA SISWA</t>
  </si>
  <si>
    <t>MATA PELAJARAN</t>
  </si>
  <si>
    <t>PAI</t>
  </si>
  <si>
    <t>MAT</t>
  </si>
  <si>
    <t>PKN</t>
  </si>
  <si>
    <t>Jumlah</t>
  </si>
  <si>
    <t>Ranking</t>
  </si>
  <si>
    <t>LEDGER NILAI</t>
  </si>
  <si>
    <t>P</t>
  </si>
  <si>
    <t>K</t>
  </si>
  <si>
    <t>NA</t>
  </si>
  <si>
    <t>B. IND</t>
  </si>
  <si>
    <t>Sejarah Indo</t>
  </si>
  <si>
    <t>B. ING</t>
  </si>
  <si>
    <t>Pend. JASORKES</t>
  </si>
  <si>
    <t>SENI BUDAYA</t>
  </si>
  <si>
    <t>BAHASA JAWA</t>
  </si>
  <si>
    <t>NASIONALISME</t>
  </si>
  <si>
    <t>SIMULASI KOMUNIKASI DIGITAL</t>
  </si>
  <si>
    <t>EKONOMI BISNIS</t>
  </si>
  <si>
    <t>ADMINISTRASI UMUM</t>
  </si>
  <si>
    <t>ETIKA PROFESI</t>
  </si>
  <si>
    <t>SPREADSHEET</t>
  </si>
  <si>
    <t>AKUNTANSI DASAR</t>
  </si>
  <si>
    <t>PERBANKAN DASAR</t>
  </si>
  <si>
    <t>FISIKA</t>
  </si>
  <si>
    <t>KIMIA</t>
  </si>
  <si>
    <t>SISTEM KOMPUTER</t>
  </si>
  <si>
    <t>KOMPUTER DAN JARINGAN DASAR</t>
  </si>
  <si>
    <t>PEMROGRAMAN DASAR</t>
  </si>
  <si>
    <t>B</t>
  </si>
  <si>
    <t>PRAK. AK. PERUSAHAAN DAGANG</t>
  </si>
  <si>
    <t>PRAK. AK. LEMBAGA</t>
  </si>
  <si>
    <t>AKUNTANSI &amp; KEUANGAN LEMBAGA</t>
  </si>
  <si>
    <t>KOMPUTER AKUNTANSI</t>
  </si>
  <si>
    <t>ADMINISTRASI PAJAK</t>
  </si>
  <si>
    <t>PRODUK KREATIF &amp; KEWIRAUSAHAAN</t>
  </si>
  <si>
    <t>PEMODELAN PERANGKAT LUNAK</t>
  </si>
  <si>
    <t>BASIS DATA</t>
  </si>
  <si>
    <t>PEMROGRAMAN BERORIENTASI OBJEK</t>
  </si>
  <si>
    <t>PEMROGRAMAN WEB &amp; PRKT BERGERAK</t>
  </si>
  <si>
    <t>D</t>
  </si>
  <si>
    <t>C-</t>
  </si>
  <si>
    <t>C</t>
  </si>
  <si>
    <t>C+</t>
  </si>
  <si>
    <t>B-</t>
  </si>
  <si>
    <t>B+</t>
  </si>
  <si>
    <t>A-</t>
  </si>
  <si>
    <t>A</t>
  </si>
  <si>
    <t>A+</t>
  </si>
  <si>
    <t>Predikat</t>
  </si>
  <si>
    <t>PEDOMAN PREDIKAT (KB 60)</t>
  </si>
  <si>
    <t>PEDOMAN PREDIKAT (KB 70)</t>
  </si>
  <si>
    <t>Dari</t>
  </si>
  <si>
    <t>Sampai</t>
  </si>
  <si>
    <t>AGUS WIBOWO, S.KOM</t>
  </si>
  <si>
    <t>UNTUK SMK PANCASILA 8 SLOGOHIMO</t>
  </si>
  <si>
    <t>TP</t>
  </si>
  <si>
    <t>S</t>
  </si>
  <si>
    <t>PENILAIAN</t>
  </si>
  <si>
    <t>INTEGRITAS</t>
  </si>
  <si>
    <t>RELIGIUS</t>
  </si>
  <si>
    <t>NASIONALIS</t>
  </si>
  <si>
    <t>MANDIRI</t>
  </si>
  <si>
    <t>GOTONG ROYONG</t>
  </si>
  <si>
    <t>LEDGER PENILIAN BK DAN EKSTRA KURIKULER</t>
  </si>
  <si>
    <t>PENILAIAN BK</t>
  </si>
  <si>
    <t>Dasar Desain Grafis</t>
  </si>
  <si>
    <t>DASAR DESAIN GRAFIS</t>
  </si>
  <si>
    <t>Pramuka</t>
  </si>
  <si>
    <t>Marching Band</t>
  </si>
  <si>
    <t>PMR</t>
  </si>
  <si>
    <t>PKS</t>
  </si>
  <si>
    <t>A. NILAI AKADEMIK</t>
  </si>
  <si>
    <t>III. C. Muatan Peminatan Kejuruan</t>
  </si>
  <si>
    <t>II.  B. Muatan Kewilayahan</t>
  </si>
  <si>
    <t>I.   A. Muatan Nasional</t>
  </si>
  <si>
    <t>B. EKSTRAKURIKULER</t>
  </si>
  <si>
    <t>PRAMUKA</t>
  </si>
  <si>
    <t>ROHIS</t>
  </si>
  <si>
    <t>KESENIAN</t>
  </si>
  <si>
    <t>OLAH RAGA</t>
  </si>
  <si>
    <t>MARCHING BAND</t>
  </si>
  <si>
    <t>BEAUTY CLASS</t>
  </si>
  <si>
    <t>DISKRIPSI</t>
  </si>
  <si>
    <t>C. KETIDAKHADIRAN</t>
  </si>
  <si>
    <t>SAKIT</t>
  </si>
  <si>
    <t>IJIN</t>
  </si>
  <si>
    <t>TANPA KETERANGAN</t>
  </si>
  <si>
    <t>Hari</t>
  </si>
  <si>
    <t>D. CATATAN AKADEMIK</t>
  </si>
  <si>
    <t>Kepala SMK Pancasila 8 Slogohimo</t>
  </si>
  <si>
    <t>Orang Tua / Wali</t>
  </si>
  <si>
    <t>(….....................................)</t>
  </si>
  <si>
    <t>E. PRAKTIK KERJA LAPANGAN</t>
  </si>
  <si>
    <t>MITRA IDUKA</t>
  </si>
  <si>
    <t>LOKASI</t>
  </si>
  <si>
    <t>PERIODE PKL (BULAN)</t>
  </si>
  <si>
    <t>KETERANGAN</t>
  </si>
  <si>
    <t>F. DISKRIPSI PENGEMBANGAN KARAKTER</t>
  </si>
  <si>
    <t>KARAKTER YANG DIBANGUN</t>
  </si>
  <si>
    <t>SS</t>
  </si>
  <si>
    <t>INTEGRASI</t>
  </si>
  <si>
    <t>G. CATATAN PERKEMBANGAN KARAKTER</t>
  </si>
  <si>
    <t>H. TANGGAPAN ORANG TUA/WALI</t>
  </si>
  <si>
    <t>EKTRAKURIKULER</t>
  </si>
  <si>
    <t>PRAKTIK KERJA LAPANGAN</t>
  </si>
  <si>
    <t>NAMA TEMPAT</t>
  </si>
  <si>
    <t>NT</t>
  </si>
  <si>
    <t>L</t>
  </si>
  <si>
    <t>Tingkat</t>
  </si>
  <si>
    <t>Diskripsi</t>
  </si>
  <si>
    <t>Ket</t>
  </si>
  <si>
    <t>Beauty Class</t>
  </si>
  <si>
    <t>PRESENSI</t>
  </si>
  <si>
    <t>Tanpa Keterangan</t>
  </si>
  <si>
    <t>Sakit</t>
  </si>
  <si>
    <t>Ijin</t>
  </si>
  <si>
    <t>I</t>
  </si>
  <si>
    <t>(…...............................)</t>
  </si>
  <si>
    <t>(….................................)</t>
  </si>
  <si>
    <t>(…................................)</t>
  </si>
  <si>
    <t>(…....................................)</t>
  </si>
  <si>
    <t>II. B. Muatan Kewilayahan</t>
  </si>
  <si>
    <t>III.C. Muatan Peminatan Kejuruan</t>
  </si>
  <si>
    <t>Pendidikan Pancasila &amp; Kewarganegaraan</t>
  </si>
  <si>
    <t>Praktik Ak Lembaga/Instansi Pemerintah</t>
  </si>
  <si>
    <t>Praktik Ak Perusahaan Jasa, Dagang</t>
  </si>
  <si>
    <t>I.    A. Muatan Nasional</t>
  </si>
  <si>
    <t>II.   B. Muatan Kewilayahan</t>
  </si>
  <si>
    <t>III.  C. Muatan Peminatan Kejuruan</t>
  </si>
  <si>
    <t>2022/2023</t>
  </si>
  <si>
    <t>XI</t>
  </si>
  <si>
    <t>Ananda CHINTIA WIDYA PUTRI  menunjukkan ketekunan di dalam mengerjakan pekerjaan, baik di sekolah maupun di rumah.</t>
  </si>
  <si>
    <t>Cukup menguasai materi seni tari dengan baik. Kehadiran baik</t>
  </si>
  <si>
    <t xml:space="preserve">A+ </t>
  </si>
  <si>
    <t>Menguasai materi seni tari dengan baik. Kehadiran sangat baik</t>
  </si>
  <si>
    <t xml:space="preserve"> baik dalam meragakan passing atas,bawah ,service bawah ,serta bertanggung jawab saat berlatih  </t>
  </si>
  <si>
    <t>Ananda SELVIA INDAH FITRIANI Baik dalam mengikuti kegiatan ekstrakurikuler Marching Band</t>
  </si>
  <si>
    <t>Ananda DAVINA AZAHRA Sangat baik dalam mengikuti kegiatan ekstrakurikuler Marching Band</t>
  </si>
  <si>
    <t>Sangat aktif dalam kegiatan kempramukaan, sikap kedisipilanan dan kerjasama yang sudah sangat baik</t>
  </si>
  <si>
    <t>Sri Rahayu, S.Pd., SE.</t>
  </si>
  <si>
    <t xml:space="preserve"> </t>
  </si>
  <si>
    <t>Ananda AFMALA INSAN QOIRUNISA Sangat baik dalam mengikuti kegiatan ekstrakurikuler Marching Band</t>
  </si>
  <si>
    <t>Ananda CHINTIA WIDYA PUTRI Sangat baik dalam mengikuti kegiatan ekstrakurikuler Marching Band</t>
  </si>
  <si>
    <t>Ananda IRLYN MAY ARDHIYANA Sangat baik dalam mengikuti kegiatan ekstrakurikuler Marching Band</t>
  </si>
  <si>
    <t>Ananda RHEIVA ELFA ROSSIDAH Baik dalam mengikuti kegiatan ekstrakurikuler Marching Band</t>
  </si>
  <si>
    <t>4/GENAP</t>
  </si>
  <si>
    <t>HASIL PENILAIAN TENGAH SEMESTER GENAP</t>
  </si>
  <si>
    <t>AKL</t>
  </si>
  <si>
    <t>XII AKL 1</t>
  </si>
  <si>
    <t>SURADI S.Pd.</t>
  </si>
  <si>
    <t>31 MARET 2023</t>
  </si>
  <si>
    <t>AFMALA INSAN QOIRUNISA</t>
  </si>
  <si>
    <t>Bella Febriyan</t>
  </si>
  <si>
    <t>CHINTIA WIDYA PUTRI</t>
  </si>
  <si>
    <t>DAVINA AZAHRA</t>
  </si>
  <si>
    <t>DELIA TRI ASTUTI</t>
  </si>
  <si>
    <t>ELVA AYU SAPUTRI</t>
  </si>
  <si>
    <t>Irlyn May Ardhiyana</t>
  </si>
  <si>
    <t>Milla Safira</t>
  </si>
  <si>
    <t>NATASYA EVI ARIFAH</t>
  </si>
  <si>
    <t>Nensyih Widyawati Maharani</t>
  </si>
  <si>
    <t>Olifah Hiasianjeng Prehatin</t>
  </si>
  <si>
    <t>Putri Wijayanti</t>
  </si>
  <si>
    <t>Rafli Ramadani</t>
  </si>
  <si>
    <t>Rheiva Elfa Rossidah</t>
  </si>
  <si>
    <t>Selvia Indah Fitriani</t>
  </si>
  <si>
    <t>TIA APRILIA</t>
  </si>
  <si>
    <t>Tri Yulianti</t>
  </si>
  <si>
    <t>Triya Wulandari</t>
  </si>
  <si>
    <t>VANESZA PUTRI PATRECIA</t>
  </si>
  <si>
    <t>Yanuar Diah Lestari</t>
  </si>
  <si>
    <t>0059023845</t>
  </si>
  <si>
    <t>0063121607</t>
  </si>
  <si>
    <t>0064862293</t>
  </si>
  <si>
    <t>0063299654</t>
  </si>
  <si>
    <t>0051684703</t>
  </si>
  <si>
    <t>0067175983</t>
  </si>
  <si>
    <t>0068161646</t>
  </si>
  <si>
    <t>0057801643</t>
  </si>
  <si>
    <t>0066680260</t>
  </si>
  <si>
    <t>0064476649</t>
  </si>
  <si>
    <t>0056102322</t>
  </si>
  <si>
    <t>0065546535</t>
  </si>
  <si>
    <t>0055462823</t>
  </si>
  <si>
    <t>0072838616</t>
  </si>
  <si>
    <t>0052393386</t>
  </si>
  <si>
    <t>0066060316</t>
  </si>
  <si>
    <t>0068674216</t>
  </si>
  <si>
    <t>0051300903</t>
  </si>
  <si>
    <t>0064416027</t>
  </si>
  <si>
    <t>0052554227</t>
  </si>
  <si>
    <t>Teknik Komputer dan Informatika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</si>
</sst>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23" x14ac:knownFonts="1">
    <font>
      <sz val="11"/>
      <color theme="1"/>
      <name val="Calibri"/>
      <family val="2"/>
      <scheme val="minor"/>
    </font>
    <font>
      <b/>
      <sz val="12"/>
      <color indexed="8"/>
      <name val="Times New Roman"/>
      <family val="1"/>
    </font>
    <font>
      <sz val="12"/>
      <color indexed="8"/>
      <name val="Times New Roman"/>
      <family val="1"/>
    </font>
    <font>
      <sz val="11"/>
      <color theme="1"/>
      <name val="Times New Roman"/>
      <family val="1"/>
    </font>
    <font>
      <b/>
      <sz val="11"/>
      <color theme="1"/>
      <name val="Times New Roman"/>
      <family val="1"/>
    </font>
    <font>
      <sz val="20"/>
      <color theme="1"/>
      <name val="Times New Roman"/>
      <family val="1"/>
    </font>
    <font>
      <b/>
      <sz val="16"/>
      <color theme="1"/>
      <name val="Times New Roman"/>
      <family val="1"/>
    </font>
    <font>
      <b/>
      <sz val="11"/>
      <color theme="1"/>
      <name val="Calibri"/>
      <family val="2"/>
      <scheme val="minor"/>
    </font>
    <font>
      <b/>
      <sz val="12"/>
      <name val="Times New Roman"/>
      <family val="1"/>
    </font>
    <font>
      <sz val="12"/>
      <name val="Times New Roman"/>
      <family val="1"/>
    </font>
    <font>
      <sz val="12"/>
      <color theme="1"/>
      <name val="Times New Roman"/>
      <family val="1"/>
    </font>
    <font>
      <b/>
      <sz val="12"/>
      <color theme="1"/>
      <name val="Times New Roman"/>
      <family val="1"/>
    </font>
    <font>
      <b/>
      <sz val="14"/>
      <color theme="1"/>
      <name val="Calibri"/>
      <family val="2"/>
      <scheme val="minor"/>
    </font>
    <font>
      <sz val="22"/>
      <color theme="1"/>
      <name val="Times New Roman"/>
      <family val="1"/>
    </font>
    <font>
      <b/>
      <sz val="14"/>
      <color theme="1"/>
      <name val="Times New Roman"/>
      <family val="1"/>
    </font>
    <font>
      <sz val="10"/>
      <name val="Arial"/>
      <family val="2"/>
    </font>
    <font>
      <sz val="11"/>
      <color indexed="8"/>
      <name val="Calibri"/>
      <family val="2"/>
      <charset val="1"/>
    </font>
    <font>
      <sz val="18"/>
      <color theme="1"/>
      <name val="Times New Roman"/>
      <family val="1"/>
    </font>
    <font>
      <sz val="28"/>
      <color theme="0"/>
      <name val="Times New Roman"/>
      <family val="1"/>
    </font>
    <font>
      <sz val="20"/>
      <name val="Times New Roman"/>
      <family val="1"/>
    </font>
    <font>
      <b/>
      <sz val="20"/>
      <name val="Times New Roman"/>
      <family val="1"/>
    </font>
    <font>
      <b/>
      <sz val="28"/>
      <color theme="1"/>
      <name val="Times New Roman"/>
      <family val="1"/>
    </font>
    <font>
      <sz val="10"/>
      <color theme="1"/>
      <name val="Times New Roman"/>
      <family val="1"/>
    </font>
  </fonts>
  <fills count="13">
    <fill>
      <patternFill patternType="none"/>
    </fill>
    <fill>
      <patternFill patternType="gray125"/>
    </fill>
    <fill>
      <patternFill patternType="solid">
        <fgColor theme="1"/>
        <bgColor indexed="64"/>
      </patternFill>
    </fill>
    <fill>
      <patternFill patternType="solid">
        <fgColor rgb="FF00B050"/>
        <bgColor indexed="64"/>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rgb="FFFFC000"/>
        <bgColor indexed="64"/>
      </patternFill>
    </fill>
    <fill>
      <patternFill patternType="solid">
        <fgColor theme="8"/>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1" tint="4.9989318521683403E-2"/>
        <bgColor indexed="64"/>
      </patternFill>
    </fill>
    <fill>
      <patternFill patternType="solid">
        <fgColor theme="0" tint="-0.14999847407452621"/>
        <bgColor indexed="64"/>
      </patternFill>
    </fill>
  </fills>
  <borders count="4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ck">
        <color indexed="64"/>
      </bottom>
      <diagonal/>
    </border>
    <border>
      <left/>
      <right/>
      <top style="thick">
        <color indexed="64"/>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s>
  <cellStyleXfs count="3">
    <xf numFmtId="0" fontId="0" fillId="0" borderId="0"/>
    <xf numFmtId="0" fontId="15" fillId="0" borderId="0"/>
    <xf numFmtId="0" fontId="16" fillId="0" borderId="0"/>
  </cellStyleXfs>
  <cellXfs count="342">
    <xf numFmtId="0" fontId="0" fillId="0" borderId="0" xfId="0"/>
    <xf numFmtId="0" fontId="2" fillId="0" borderId="0" xfId="0" applyFont="1"/>
    <xf numFmtId="0" fontId="2" fillId="0" borderId="9" xfId="0" applyFont="1" applyBorder="1"/>
    <xf numFmtId="0" fontId="1" fillId="0" borderId="0" xfId="0" applyFont="1"/>
    <xf numFmtId="0" fontId="1" fillId="0" borderId="0" xfId="0" applyFont="1" applyAlignment="1">
      <alignment horizontal="center"/>
    </xf>
    <xf numFmtId="0" fontId="3" fillId="2" borderId="0" xfId="0" applyFont="1" applyFill="1"/>
    <xf numFmtId="0" fontId="3" fillId="0" borderId="0" xfId="0" applyFont="1"/>
    <xf numFmtId="0" fontId="3" fillId="0" borderId="11" xfId="0" applyFont="1" applyBorder="1"/>
    <xf numFmtId="0" fontId="4" fillId="4" borderId="11" xfId="0" applyFont="1" applyFill="1" applyBorder="1" applyAlignment="1">
      <alignment horizontal="center" vertical="center"/>
    </xf>
    <xf numFmtId="0" fontId="3" fillId="0" borderId="11" xfId="0" applyFont="1" applyBorder="1" applyProtection="1">
      <protection locked="0"/>
    </xf>
    <xf numFmtId="0" fontId="3" fillId="0" borderId="11" xfId="0" quotePrefix="1" applyFont="1" applyBorder="1" applyProtection="1">
      <protection locked="0"/>
    </xf>
    <xf numFmtId="1" fontId="9" fillId="0" borderId="11" xfId="0" applyNumberFormat="1" applyFont="1" applyBorder="1" applyAlignment="1">
      <alignment horizontal="center" vertical="center" wrapText="1"/>
    </xf>
    <xf numFmtId="0" fontId="0" fillId="2" borderId="0" xfId="0" applyFill="1"/>
    <xf numFmtId="0" fontId="9" fillId="0" borderId="11" xfId="0" applyFont="1" applyBorder="1" applyAlignment="1">
      <alignment horizontal="center" vertical="center" wrapText="1"/>
    </xf>
    <xf numFmtId="0" fontId="9" fillId="0" borderId="11" xfId="0" applyFont="1" applyBorder="1" applyAlignment="1">
      <alignment vertical="center" wrapText="1"/>
    </xf>
    <xf numFmtId="0" fontId="8" fillId="0" borderId="11" xfId="0" applyFont="1" applyBorder="1" applyAlignment="1">
      <alignment horizontal="center" vertical="center" wrapText="1"/>
    </xf>
    <xf numFmtId="0" fontId="1" fillId="0" borderId="0" xfId="0" applyFont="1" applyAlignment="1">
      <alignment horizontal="center" wrapText="1"/>
    </xf>
    <xf numFmtId="0" fontId="2" fillId="0" borderId="0" xfId="0" applyFont="1" applyAlignment="1">
      <alignment horizontal="left"/>
    </xf>
    <xf numFmtId="0" fontId="2" fillId="0" borderId="0" xfId="0" applyFont="1" applyAlignment="1">
      <alignment horizontal="left" shrinkToFit="1"/>
    </xf>
    <xf numFmtId="0" fontId="7" fillId="0" borderId="0" xfId="0" applyFont="1" applyAlignment="1">
      <alignment horizontal="center"/>
    </xf>
    <xf numFmtId="0" fontId="0" fillId="0" borderId="0" xfId="0" applyProtection="1">
      <protection locked="0"/>
    </xf>
    <xf numFmtId="0" fontId="0" fillId="11" borderId="0" xfId="0" applyFill="1"/>
    <xf numFmtId="0" fontId="0" fillId="0" borderId="4" xfId="0" applyBorder="1"/>
    <xf numFmtId="0" fontId="0" fillId="0" borderId="5" xfId="0" applyBorder="1"/>
    <xf numFmtId="1" fontId="10" fillId="0" borderId="11" xfId="0" applyNumberFormat="1" applyFont="1" applyBorder="1" applyAlignment="1">
      <alignment horizontal="center"/>
    </xf>
    <xf numFmtId="0" fontId="0" fillId="0" borderId="6" xfId="0" applyBorder="1"/>
    <xf numFmtId="0" fontId="0" fillId="0" borderId="7" xfId="0" applyBorder="1"/>
    <xf numFmtId="0" fontId="0" fillId="0" borderId="8" xfId="0" applyBorder="1"/>
    <xf numFmtId="0" fontId="0" fillId="0" borderId="26" xfId="0" applyBorder="1" applyAlignment="1">
      <alignment horizontal="center"/>
    </xf>
    <xf numFmtId="0" fontId="0" fillId="0" borderId="27" xfId="0" applyBorder="1" applyAlignment="1">
      <alignment horizontal="center"/>
    </xf>
    <xf numFmtId="0" fontId="0" fillId="0" borderId="28" xfId="0" applyBorder="1" applyAlignment="1">
      <alignment horizontal="center"/>
    </xf>
    <xf numFmtId="0" fontId="0" fillId="0" borderId="21" xfId="0" applyBorder="1" applyAlignment="1">
      <alignment horizontal="center"/>
    </xf>
    <xf numFmtId="0" fontId="0" fillId="0" borderId="30" xfId="0" applyBorder="1" applyAlignment="1">
      <alignment horizontal="center"/>
    </xf>
    <xf numFmtId="0" fontId="0" fillId="0" borderId="11" xfId="0" applyBorder="1" applyAlignment="1">
      <alignment horizontal="center"/>
    </xf>
    <xf numFmtId="0" fontId="0" fillId="0" borderId="18" xfId="0" applyBorder="1" applyAlignment="1">
      <alignment horizontal="center"/>
    </xf>
    <xf numFmtId="0" fontId="0" fillId="0" borderId="4" xfId="0" applyBorder="1" applyProtection="1">
      <protection locked="0"/>
    </xf>
    <xf numFmtId="0" fontId="0" fillId="0" borderId="5" xfId="0" applyBorder="1" applyProtection="1">
      <protection locked="0"/>
    </xf>
    <xf numFmtId="0" fontId="0" fillId="0" borderId="6" xfId="0" applyBorder="1" applyProtection="1">
      <protection locked="0"/>
    </xf>
    <xf numFmtId="0" fontId="0" fillId="0" borderId="7" xfId="0" applyBorder="1" applyProtection="1">
      <protection locked="0"/>
    </xf>
    <xf numFmtId="0" fontId="0" fillId="0" borderId="8" xfId="0" applyBorder="1" applyProtection="1">
      <protection locked="0"/>
    </xf>
    <xf numFmtId="1" fontId="0" fillId="0" borderId="29" xfId="0" applyNumberFormat="1" applyBorder="1" applyAlignment="1" applyProtection="1">
      <alignment horizontal="center"/>
      <protection locked="0"/>
    </xf>
    <xf numFmtId="1" fontId="0" fillId="0" borderId="21" xfId="0" applyNumberFormat="1" applyBorder="1" applyAlignment="1" applyProtection="1">
      <alignment horizontal="center"/>
      <protection locked="0"/>
    </xf>
    <xf numFmtId="1" fontId="0" fillId="0" borderId="25" xfId="0" applyNumberFormat="1" applyBorder="1" applyAlignment="1" applyProtection="1">
      <alignment horizontal="center"/>
      <protection locked="0"/>
    </xf>
    <xf numFmtId="1" fontId="0" fillId="0" borderId="26" xfId="0" applyNumberFormat="1" applyBorder="1" applyAlignment="1" applyProtection="1">
      <alignment horizontal="center"/>
      <protection locked="0"/>
    </xf>
    <xf numFmtId="0" fontId="0" fillId="0" borderId="29" xfId="0" applyBorder="1" applyAlignment="1" applyProtection="1">
      <alignment horizontal="center"/>
      <protection locked="0"/>
    </xf>
    <xf numFmtId="0" fontId="0" fillId="0" borderId="21" xfId="0" applyBorder="1" applyAlignment="1" applyProtection="1">
      <alignment horizontal="center"/>
      <protection locked="0"/>
    </xf>
    <xf numFmtId="0" fontId="0" fillId="0" borderId="25" xfId="0" applyBorder="1" applyAlignment="1" applyProtection="1">
      <alignment horizontal="center"/>
      <protection locked="0"/>
    </xf>
    <xf numFmtId="0" fontId="0" fillId="0" borderId="11" xfId="0" applyBorder="1" applyAlignment="1" applyProtection="1">
      <alignment horizontal="center"/>
      <protection locked="0"/>
    </xf>
    <xf numFmtId="0" fontId="0" fillId="0" borderId="26" xfId="0" applyBorder="1" applyAlignment="1" applyProtection="1">
      <alignment horizontal="center"/>
      <protection locked="0"/>
    </xf>
    <xf numFmtId="0" fontId="0" fillId="0" borderId="27" xfId="0" applyBorder="1" applyAlignment="1" applyProtection="1">
      <alignment horizontal="center"/>
      <protection locked="0"/>
    </xf>
    <xf numFmtId="0" fontId="0" fillId="0" borderId="28" xfId="0" applyBorder="1" applyAlignment="1" applyProtection="1">
      <alignment horizontal="center"/>
      <protection locked="0"/>
    </xf>
    <xf numFmtId="0" fontId="0" fillId="0" borderId="30" xfId="0" applyBorder="1" applyAlignment="1" applyProtection="1">
      <alignment horizontal="center"/>
      <protection locked="0"/>
    </xf>
    <xf numFmtId="0" fontId="0" fillId="0" borderId="18" xfId="0" applyBorder="1" applyAlignment="1" applyProtection="1">
      <alignment horizontal="center"/>
      <protection locked="0"/>
    </xf>
    <xf numFmtId="0" fontId="2" fillId="0" borderId="11" xfId="0" applyFont="1" applyBorder="1" applyAlignment="1" applyProtection="1">
      <alignment horizontal="right" wrapText="1"/>
      <protection locked="0"/>
    </xf>
    <xf numFmtId="0" fontId="10" fillId="0" borderId="0" xfId="0" applyFont="1"/>
    <xf numFmtId="0" fontId="10" fillId="0" borderId="0" xfId="0" applyFont="1" applyAlignment="1">
      <alignment wrapText="1"/>
    </xf>
    <xf numFmtId="0" fontId="8" fillId="8" borderId="15" xfId="1" applyFont="1" applyFill="1" applyBorder="1" applyAlignment="1">
      <alignment vertical="center"/>
    </xf>
    <xf numFmtId="0" fontId="8" fillId="8" borderId="17" xfId="1" applyFont="1" applyFill="1" applyBorder="1" applyAlignment="1">
      <alignment vertical="center"/>
    </xf>
    <xf numFmtId="0" fontId="8" fillId="8" borderId="16" xfId="1" applyFont="1" applyFill="1" applyBorder="1" applyAlignment="1">
      <alignment vertical="center"/>
    </xf>
    <xf numFmtId="0" fontId="9" fillId="8" borderId="11" xfId="0" applyFont="1" applyFill="1" applyBorder="1" applyAlignment="1">
      <alignment horizontal="center" vertical="center" wrapText="1"/>
    </xf>
    <xf numFmtId="0" fontId="2" fillId="7" borderId="11" xfId="0" applyFont="1" applyFill="1" applyBorder="1" applyAlignment="1">
      <alignment horizontal="center" vertical="center"/>
    </xf>
    <xf numFmtId="0" fontId="2" fillId="10" borderId="11" xfId="0" applyFont="1" applyFill="1" applyBorder="1" applyAlignment="1">
      <alignment horizontal="center" vertical="center"/>
    </xf>
    <xf numFmtId="0" fontId="8" fillId="9" borderId="11" xfId="1" applyFont="1" applyFill="1" applyBorder="1" applyAlignment="1">
      <alignment horizontal="center" vertical="center" wrapText="1"/>
    </xf>
    <xf numFmtId="0" fontId="2" fillId="0" borderId="11" xfId="2" applyFont="1" applyBorder="1" applyAlignment="1">
      <alignment horizontal="center" vertical="center"/>
    </xf>
    <xf numFmtId="0" fontId="9" fillId="0" borderId="11" xfId="0" applyFont="1" applyBorder="1" applyAlignment="1">
      <alignment horizontal="left" vertical="top" shrinkToFit="1"/>
    </xf>
    <xf numFmtId="0" fontId="2" fillId="0" borderId="11" xfId="0" applyFont="1" applyBorder="1" applyAlignment="1">
      <alignment horizontal="left"/>
    </xf>
    <xf numFmtId="0" fontId="2" fillId="0" borderId="11" xfId="0" applyFont="1" applyBorder="1" applyAlignment="1">
      <alignment horizontal="right" wrapText="1"/>
    </xf>
    <xf numFmtId="0" fontId="2" fillId="7" borderId="11" xfId="0" applyFont="1" applyFill="1" applyBorder="1" applyAlignment="1">
      <alignment horizontal="center"/>
    </xf>
    <xf numFmtId="0" fontId="2" fillId="10" borderId="11" xfId="0" applyFont="1" applyFill="1" applyBorder="1" applyAlignment="1">
      <alignment horizontal="center"/>
    </xf>
    <xf numFmtId="0" fontId="9" fillId="0" borderId="11" xfId="0" applyFont="1" applyBorder="1" applyAlignment="1">
      <alignment horizontal="left" vertical="center" wrapText="1"/>
    </xf>
    <xf numFmtId="0" fontId="10" fillId="0" borderId="4" xfId="0" applyFont="1" applyBorder="1"/>
    <xf numFmtId="0" fontId="10" fillId="0" borderId="5" xfId="0" applyFont="1" applyBorder="1"/>
    <xf numFmtId="0" fontId="10" fillId="0" borderId="2" xfId="0" applyFont="1" applyBorder="1"/>
    <xf numFmtId="0" fontId="10" fillId="0" borderId="7" xfId="0" applyFont="1" applyBorder="1"/>
    <xf numFmtId="0" fontId="10" fillId="2" borderId="0" xfId="0" applyFont="1" applyFill="1"/>
    <xf numFmtId="0" fontId="11" fillId="2" borderId="0" xfId="0" applyFont="1" applyFill="1"/>
    <xf numFmtId="0" fontId="9" fillId="0" borderId="11" xfId="0" applyFont="1" applyBorder="1" applyAlignment="1" applyProtection="1">
      <alignment horizontal="center" vertical="center"/>
      <protection locked="0"/>
    </xf>
    <xf numFmtId="0" fontId="8" fillId="9" borderId="11" xfId="1" applyFont="1" applyFill="1" applyBorder="1" applyAlignment="1">
      <alignment vertical="center" wrapText="1"/>
    </xf>
    <xf numFmtId="0" fontId="10" fillId="11" borderId="0" xfId="0" applyFont="1" applyFill="1"/>
    <xf numFmtId="0" fontId="10" fillId="11" borderId="0" xfId="0" applyFont="1" applyFill="1" applyProtection="1">
      <protection locked="0"/>
    </xf>
    <xf numFmtId="0" fontId="9" fillId="8" borderId="11" xfId="0" applyFont="1" applyFill="1" applyBorder="1" applyAlignment="1">
      <alignment vertical="center" textRotation="90" wrapText="1"/>
    </xf>
    <xf numFmtId="0" fontId="9" fillId="6" borderId="11" xfId="0" applyFont="1" applyFill="1" applyBorder="1" applyAlignment="1">
      <alignment horizontal="center" vertical="center" wrapText="1"/>
    </xf>
    <xf numFmtId="0" fontId="10" fillId="2" borderId="0" xfId="0" applyFont="1" applyFill="1" applyAlignment="1">
      <alignment wrapText="1"/>
    </xf>
    <xf numFmtId="0" fontId="9" fillId="2" borderId="11" xfId="0" applyFont="1" applyFill="1" applyBorder="1" applyAlignment="1">
      <alignment vertical="center" textRotation="90" wrapText="1"/>
    </xf>
    <xf numFmtId="0" fontId="9" fillId="2" borderId="11" xfId="0" applyFont="1" applyFill="1" applyBorder="1" applyAlignment="1">
      <alignment horizontal="center" vertical="center" wrapText="1"/>
    </xf>
    <xf numFmtId="0" fontId="8" fillId="2" borderId="11" xfId="1" applyFont="1" applyFill="1" applyBorder="1" applyAlignment="1">
      <alignment horizontal="center" vertical="center" wrapText="1"/>
    </xf>
    <xf numFmtId="0" fontId="2" fillId="2" borderId="11" xfId="0" applyFont="1" applyFill="1" applyBorder="1" applyAlignment="1" applyProtection="1">
      <alignment horizontal="right" wrapText="1"/>
      <protection locked="0"/>
    </xf>
    <xf numFmtId="0" fontId="20" fillId="8" borderId="17" xfId="1" applyFont="1" applyFill="1" applyBorder="1" applyAlignment="1">
      <alignment vertical="center"/>
    </xf>
    <xf numFmtId="0" fontId="20" fillId="8" borderId="16" xfId="1" applyFont="1" applyFill="1" applyBorder="1" applyAlignment="1">
      <alignment vertical="center"/>
    </xf>
    <xf numFmtId="0" fontId="20" fillId="2" borderId="17" xfId="1" applyFont="1" applyFill="1" applyBorder="1" applyAlignment="1">
      <alignment vertical="center"/>
    </xf>
    <xf numFmtId="1" fontId="9" fillId="0" borderId="15" xfId="0" applyNumberFormat="1" applyFont="1" applyBorder="1" applyAlignment="1">
      <alignment horizontal="center" vertical="center" wrapText="1"/>
    </xf>
    <xf numFmtId="1" fontId="9" fillId="0" borderId="16" xfId="0" applyNumberFormat="1" applyFont="1" applyBorder="1" applyAlignment="1">
      <alignment horizontal="center" vertical="center" wrapText="1"/>
    </xf>
    <xf numFmtId="0" fontId="10" fillId="0" borderId="11" xfId="0" applyFont="1" applyBorder="1" applyAlignment="1">
      <alignment horizontal="center"/>
    </xf>
    <xf numFmtId="1" fontId="8" fillId="0" borderId="11" xfId="0" applyNumberFormat="1" applyFont="1" applyBorder="1" applyAlignment="1">
      <alignment horizontal="center" vertical="center" wrapText="1"/>
    </xf>
    <xf numFmtId="0" fontId="4" fillId="0" borderId="11" xfId="0" applyFont="1" applyBorder="1" applyAlignment="1">
      <alignment horizontal="center"/>
    </xf>
    <xf numFmtId="0" fontId="3" fillId="0" borderId="17" xfId="0" applyFont="1" applyBorder="1"/>
    <xf numFmtId="0" fontId="22" fillId="0" borderId="15" xfId="0" applyFont="1" applyBorder="1"/>
    <xf numFmtId="0" fontId="3" fillId="0" borderId="31" xfId="0" applyFont="1" applyBorder="1"/>
    <xf numFmtId="0" fontId="3" fillId="0" borderId="37" xfId="0" applyFont="1" applyBorder="1"/>
    <xf numFmtId="0" fontId="3" fillId="0" borderId="31" xfId="0" applyFont="1" applyBorder="1" applyAlignment="1">
      <alignment horizontal="center"/>
    </xf>
    <xf numFmtId="0" fontId="3" fillId="0" borderId="0" xfId="0" applyFont="1" applyAlignment="1">
      <alignment horizontal="center"/>
    </xf>
    <xf numFmtId="0" fontId="3" fillId="0" borderId="37" xfId="0" applyFont="1" applyBorder="1" applyAlignment="1">
      <alignment horizontal="center"/>
    </xf>
    <xf numFmtId="0" fontId="0" fillId="0" borderId="0" xfId="0" applyAlignment="1">
      <alignment horizontal="center"/>
    </xf>
    <xf numFmtId="0" fontId="0" fillId="0" borderId="0" xfId="0" applyAlignment="1" applyProtection="1">
      <alignment horizontal="center"/>
      <protection locked="0"/>
    </xf>
    <xf numFmtId="1" fontId="0" fillId="0" borderId="0" xfId="0" applyNumberFormat="1" applyAlignment="1" applyProtection="1">
      <alignment horizontal="center"/>
      <protection locked="0"/>
    </xf>
    <xf numFmtId="0" fontId="7" fillId="0" borderId="0" xfId="0" applyFont="1"/>
    <xf numFmtId="0" fontId="8" fillId="2" borderId="11" xfId="0" applyFont="1" applyFill="1" applyBorder="1" applyAlignment="1">
      <alignment vertical="center" textRotation="90" wrapText="1"/>
    </xf>
    <xf numFmtId="0" fontId="8" fillId="8" borderId="11" xfId="0" applyFont="1" applyFill="1" applyBorder="1" applyAlignment="1">
      <alignment horizontal="center" vertical="center"/>
    </xf>
    <xf numFmtId="0" fontId="8" fillId="8" borderId="11" xfId="0" applyFont="1" applyFill="1" applyBorder="1" applyAlignment="1">
      <alignment horizontal="center" vertical="center" wrapText="1"/>
    </xf>
    <xf numFmtId="0" fontId="3" fillId="0" borderId="16" xfId="0" applyFont="1" applyBorder="1" applyAlignment="1">
      <alignment horizontal="left" vertical="center"/>
    </xf>
    <xf numFmtId="2" fontId="0" fillId="0" borderId="11" xfId="0" applyNumberFormat="1" applyBorder="1" applyAlignment="1" applyProtection="1">
      <alignment horizontal="center"/>
      <protection locked="0"/>
    </xf>
    <xf numFmtId="2" fontId="0" fillId="0" borderId="27" xfId="0" applyNumberFormat="1" applyBorder="1" applyAlignment="1" applyProtection="1">
      <alignment horizontal="center"/>
      <protection locked="0"/>
    </xf>
    <xf numFmtId="164" fontId="0" fillId="0" borderId="26" xfId="0" applyNumberFormat="1" applyBorder="1" applyAlignment="1" applyProtection="1">
      <alignment horizontal="center"/>
      <protection locked="0"/>
    </xf>
    <xf numFmtId="164" fontId="0" fillId="0" borderId="22" xfId="0" applyNumberFormat="1" applyBorder="1" applyAlignment="1" applyProtection="1">
      <alignment horizontal="center"/>
      <protection locked="0"/>
    </xf>
    <xf numFmtId="1" fontId="0" fillId="0" borderId="23" xfId="0" applyNumberFormat="1" applyBorder="1" applyAlignment="1" applyProtection="1">
      <alignment horizontal="center"/>
      <protection locked="0"/>
    </xf>
    <xf numFmtId="0" fontId="0" fillId="0" borderId="23" xfId="0" applyBorder="1" applyAlignment="1">
      <alignment horizontal="center"/>
    </xf>
    <xf numFmtId="0" fontId="0" fillId="0" borderId="24" xfId="0" applyBorder="1" applyAlignment="1">
      <alignment horizontal="center"/>
    </xf>
    <xf numFmtId="164" fontId="0" fillId="0" borderId="25" xfId="0" applyNumberFormat="1" applyBorder="1" applyAlignment="1" applyProtection="1">
      <alignment horizontal="center"/>
      <protection locked="0"/>
    </xf>
    <xf numFmtId="0" fontId="0" fillId="0" borderId="39" xfId="0" applyBorder="1" applyAlignment="1">
      <alignment horizontal="center"/>
    </xf>
    <xf numFmtId="0" fontId="0" fillId="0" borderId="19" xfId="0" applyBorder="1" applyAlignment="1">
      <alignment horizontal="center"/>
    </xf>
    <xf numFmtId="0" fontId="0" fillId="0" borderId="40" xfId="0" applyBorder="1" applyAlignment="1">
      <alignment horizontal="center"/>
    </xf>
    <xf numFmtId="2" fontId="0" fillId="0" borderId="22" xfId="0" applyNumberFormat="1" applyBorder="1" applyAlignment="1" applyProtection="1">
      <alignment horizontal="center"/>
      <protection locked="0"/>
    </xf>
    <xf numFmtId="2" fontId="0" fillId="0" borderId="23" xfId="0" applyNumberFormat="1" applyBorder="1" applyAlignment="1" applyProtection="1">
      <alignment horizontal="center"/>
      <protection locked="0"/>
    </xf>
    <xf numFmtId="2" fontId="0" fillId="0" borderId="25" xfId="0" applyNumberFormat="1" applyBorder="1" applyAlignment="1" applyProtection="1">
      <alignment horizontal="center"/>
      <protection locked="0"/>
    </xf>
    <xf numFmtId="2" fontId="0" fillId="0" borderId="26" xfId="0" applyNumberFormat="1" applyBorder="1" applyAlignment="1" applyProtection="1">
      <alignment horizontal="center"/>
      <protection locked="0"/>
    </xf>
    <xf numFmtId="0" fontId="10" fillId="0" borderId="1" xfId="0" applyFont="1" applyBorder="1" applyAlignment="1">
      <alignment horizontal="center"/>
    </xf>
    <xf numFmtId="0" fontId="10" fillId="0" borderId="2" xfId="0" applyFont="1" applyBorder="1" applyAlignment="1">
      <alignment horizontal="center"/>
    </xf>
    <xf numFmtId="0" fontId="10" fillId="0" borderId="3" xfId="0" applyFont="1" applyBorder="1" applyAlignment="1">
      <alignment horizontal="center"/>
    </xf>
    <xf numFmtId="0" fontId="10" fillId="0" borderId="4" xfId="0" applyFont="1" applyBorder="1" applyAlignment="1">
      <alignment horizontal="center"/>
    </xf>
    <xf numFmtId="0" fontId="10" fillId="0" borderId="0" xfId="0" applyFont="1" applyAlignment="1">
      <alignment horizontal="center"/>
    </xf>
    <xf numFmtId="0" fontId="10" fillId="0" borderId="5" xfId="0" applyFont="1" applyBorder="1" applyAlignment="1">
      <alignment horizontal="center"/>
    </xf>
    <xf numFmtId="0" fontId="10" fillId="0" borderId="6" xfId="0" applyFont="1" applyBorder="1" applyAlignment="1">
      <alignment horizontal="center"/>
    </xf>
    <xf numFmtId="0" fontId="10" fillId="0" borderId="7" xfId="0" applyFont="1" applyBorder="1" applyAlignment="1">
      <alignment horizontal="center"/>
    </xf>
    <xf numFmtId="0" fontId="10" fillId="0" borderId="8" xfId="0" applyFont="1" applyBorder="1" applyAlignment="1">
      <alignment horizontal="center"/>
    </xf>
    <xf numFmtId="0" fontId="10" fillId="0" borderId="6" xfId="0" applyFont="1" applyBorder="1" applyAlignment="1">
      <alignment horizontal="left"/>
    </xf>
    <xf numFmtId="0" fontId="10" fillId="0" borderId="7" xfId="0" applyFont="1" applyBorder="1" applyAlignment="1">
      <alignment horizontal="left"/>
    </xf>
    <xf numFmtId="0" fontId="10" fillId="0" borderId="4" xfId="0" applyFont="1" applyBorder="1" applyAlignment="1">
      <alignment horizontal="left"/>
    </xf>
    <xf numFmtId="0" fontId="10" fillId="0" borderId="0" xfId="0" applyFont="1" applyAlignment="1">
      <alignment horizontal="left"/>
    </xf>
    <xf numFmtId="0" fontId="10" fillId="0" borderId="0" xfId="0" quotePrefix="1" applyFont="1" applyAlignment="1" applyProtection="1">
      <alignment horizontal="left"/>
      <protection locked="0"/>
    </xf>
    <xf numFmtId="0" fontId="10" fillId="0" borderId="0" xfId="0" applyFont="1" applyAlignment="1" applyProtection="1">
      <alignment horizontal="left"/>
      <protection locked="0"/>
    </xf>
    <xf numFmtId="0" fontId="10" fillId="0" borderId="5" xfId="0" applyFont="1" applyBorder="1" applyAlignment="1" applyProtection="1">
      <alignment horizontal="left"/>
      <protection locked="0"/>
    </xf>
    <xf numFmtId="0" fontId="10" fillId="0" borderId="7" xfId="0" quotePrefix="1" applyFont="1" applyBorder="1" applyAlignment="1" applyProtection="1">
      <alignment horizontal="left"/>
      <protection locked="0"/>
    </xf>
    <xf numFmtId="0" fontId="10" fillId="0" borderId="7" xfId="0" applyFont="1" applyBorder="1" applyAlignment="1" applyProtection="1">
      <alignment horizontal="left"/>
      <protection locked="0"/>
    </xf>
    <xf numFmtId="0" fontId="10" fillId="0" borderId="8" xfId="0" applyFont="1" applyBorder="1" applyAlignment="1" applyProtection="1">
      <alignment horizontal="left"/>
      <protection locked="0"/>
    </xf>
    <xf numFmtId="0" fontId="18" fillId="11" borderId="12" xfId="0" applyFont="1" applyFill="1" applyBorder="1" applyAlignment="1">
      <alignment horizontal="center"/>
    </xf>
    <xf numFmtId="0" fontId="18" fillId="11" borderId="13" xfId="0" applyFont="1" applyFill="1" applyBorder="1" applyAlignment="1">
      <alignment horizontal="center"/>
    </xf>
    <xf numFmtId="0" fontId="18" fillId="11" borderId="14" xfId="0" applyFont="1" applyFill="1" applyBorder="1" applyAlignment="1">
      <alignment horizontal="center"/>
    </xf>
    <xf numFmtId="0" fontId="10" fillId="0" borderId="2" xfId="0" applyFont="1" applyBorder="1" applyAlignment="1" applyProtection="1">
      <alignment horizontal="left"/>
      <protection locked="0"/>
    </xf>
    <xf numFmtId="0" fontId="10" fillId="0" borderId="3" xfId="0" applyFont="1" applyBorder="1" applyAlignment="1" applyProtection="1">
      <alignment horizontal="left"/>
      <protection locked="0"/>
    </xf>
    <xf numFmtId="0" fontId="10" fillId="0" borderId="1" xfId="0" applyFont="1" applyBorder="1" applyAlignment="1">
      <alignment horizontal="left"/>
    </xf>
    <xf numFmtId="0" fontId="10" fillId="0" borderId="2" xfId="0" applyFont="1" applyBorder="1" applyAlignment="1">
      <alignment horizontal="left"/>
    </xf>
    <xf numFmtId="0" fontId="3" fillId="0" borderId="0" xfId="0" applyFont="1" applyAlignment="1">
      <alignment horizontal="center"/>
    </xf>
    <xf numFmtId="0" fontId="3" fillId="0" borderId="15" xfId="0" applyFont="1" applyBorder="1"/>
    <xf numFmtId="0" fontId="3" fillId="0" borderId="16" xfId="0" applyFont="1" applyBorder="1"/>
    <xf numFmtId="0" fontId="6" fillId="3" borderId="12" xfId="0" applyFont="1" applyFill="1" applyBorder="1" applyAlignment="1">
      <alignment horizontal="center"/>
    </xf>
    <xf numFmtId="0" fontId="6" fillId="3" borderId="13" xfId="0" applyFont="1" applyFill="1" applyBorder="1" applyAlignment="1">
      <alignment horizontal="center"/>
    </xf>
    <xf numFmtId="0" fontId="6" fillId="3" borderId="14" xfId="0" applyFont="1" applyFill="1" applyBorder="1" applyAlignment="1">
      <alignment horizontal="center"/>
    </xf>
    <xf numFmtId="0" fontId="3" fillId="0" borderId="11" xfId="0" applyFont="1" applyBorder="1"/>
    <xf numFmtId="0" fontId="5" fillId="5" borderId="12" xfId="0" applyFont="1" applyFill="1" applyBorder="1" applyAlignment="1">
      <alignment horizontal="center"/>
    </xf>
    <xf numFmtId="0" fontId="5" fillId="5" borderId="13" xfId="0" applyFont="1" applyFill="1" applyBorder="1" applyAlignment="1">
      <alignment horizontal="center"/>
    </xf>
    <xf numFmtId="0" fontId="5" fillId="5" borderId="14" xfId="0" applyFont="1" applyFill="1" applyBorder="1" applyAlignment="1">
      <alignment horizontal="center"/>
    </xf>
    <xf numFmtId="0" fontId="3" fillId="2" borderId="0" xfId="0" applyFont="1" applyFill="1" applyAlignment="1">
      <alignment horizontal="center"/>
    </xf>
    <xf numFmtId="0" fontId="21" fillId="5" borderId="12" xfId="0" applyFont="1" applyFill="1" applyBorder="1" applyAlignment="1">
      <alignment horizontal="center"/>
    </xf>
    <xf numFmtId="0" fontId="21" fillId="5" borderId="13" xfId="0" applyFont="1" applyFill="1" applyBorder="1" applyAlignment="1">
      <alignment horizontal="center"/>
    </xf>
    <xf numFmtId="0" fontId="21" fillId="5" borderId="14" xfId="0" applyFont="1" applyFill="1" applyBorder="1" applyAlignment="1">
      <alignment horizontal="center"/>
    </xf>
    <xf numFmtId="0" fontId="8" fillId="8" borderId="19" xfId="1" applyFont="1" applyFill="1" applyBorder="1" applyAlignment="1">
      <alignment horizontal="center" vertical="center" wrapText="1"/>
    </xf>
    <xf numFmtId="0" fontId="8" fillId="8" borderId="20" xfId="1" applyFont="1" applyFill="1" applyBorder="1" applyAlignment="1">
      <alignment horizontal="center" vertical="center" wrapText="1"/>
    </xf>
    <xf numFmtId="0" fontId="8" fillId="8" borderId="21" xfId="1" applyFont="1" applyFill="1" applyBorder="1" applyAlignment="1">
      <alignment horizontal="center" vertical="center" wrapText="1"/>
    </xf>
    <xf numFmtId="0" fontId="2" fillId="7" borderId="19" xfId="0" applyFont="1" applyFill="1" applyBorder="1" applyAlignment="1">
      <alignment horizontal="center" vertical="center"/>
    </xf>
    <xf numFmtId="0" fontId="2" fillId="7" borderId="21" xfId="0" applyFont="1" applyFill="1" applyBorder="1" applyAlignment="1">
      <alignment horizontal="center" vertical="center"/>
    </xf>
    <xf numFmtId="0" fontId="2" fillId="10" borderId="19" xfId="0" applyFont="1" applyFill="1" applyBorder="1" applyAlignment="1">
      <alignment horizontal="center" vertical="center"/>
    </xf>
    <xf numFmtId="0" fontId="2" fillId="10" borderId="21" xfId="0" applyFont="1" applyFill="1" applyBorder="1" applyAlignment="1">
      <alignment horizontal="center" vertical="center"/>
    </xf>
    <xf numFmtId="0" fontId="20" fillId="8" borderId="15" xfId="1" applyFont="1" applyFill="1" applyBorder="1" applyAlignment="1">
      <alignment horizontal="center" vertical="center"/>
    </xf>
    <xf numFmtId="0" fontId="20" fillId="8" borderId="17" xfId="1" applyFont="1" applyFill="1" applyBorder="1" applyAlignment="1">
      <alignment horizontal="center" vertical="center"/>
    </xf>
    <xf numFmtId="0" fontId="19" fillId="8" borderId="15" xfId="0" applyFont="1" applyFill="1" applyBorder="1" applyAlignment="1">
      <alignment horizontal="center" vertical="center"/>
    </xf>
    <xf numFmtId="0" fontId="19" fillId="8" borderId="17" xfId="0" applyFont="1" applyFill="1" applyBorder="1" applyAlignment="1">
      <alignment horizontal="center" vertical="center"/>
    </xf>
    <xf numFmtId="0" fontId="19" fillId="8" borderId="16" xfId="0" applyFont="1" applyFill="1" applyBorder="1" applyAlignment="1">
      <alignment horizontal="center" vertical="center"/>
    </xf>
    <xf numFmtId="0" fontId="19" fillId="8" borderId="15" xfId="0" applyFont="1" applyFill="1" applyBorder="1" applyAlignment="1">
      <alignment horizontal="center" vertical="center" wrapText="1"/>
    </xf>
    <xf numFmtId="0" fontId="19" fillId="8" borderId="17" xfId="0" applyFont="1" applyFill="1" applyBorder="1" applyAlignment="1">
      <alignment horizontal="center" vertical="center" wrapText="1"/>
    </xf>
    <xf numFmtId="0" fontId="19" fillId="8" borderId="16" xfId="0" applyFont="1" applyFill="1" applyBorder="1" applyAlignment="1">
      <alignment horizontal="center" vertical="center" wrapText="1"/>
    </xf>
    <xf numFmtId="0" fontId="8" fillId="8" borderId="15" xfId="0" applyFont="1" applyFill="1" applyBorder="1" applyAlignment="1">
      <alignment horizontal="center" vertical="center" textRotation="90" wrapText="1"/>
    </xf>
    <xf numFmtId="0" fontId="8" fillId="8" borderId="17" xfId="0" applyFont="1" applyFill="1" applyBorder="1" applyAlignment="1">
      <alignment horizontal="center" vertical="center" textRotation="90" wrapText="1"/>
    </xf>
    <xf numFmtId="0" fontId="8" fillId="8" borderId="16" xfId="0" applyFont="1" applyFill="1" applyBorder="1" applyAlignment="1">
      <alignment horizontal="center" vertical="center" textRotation="90" wrapText="1"/>
    </xf>
    <xf numFmtId="0" fontId="9" fillId="0" borderId="11" xfId="0" applyFont="1" applyBorder="1" applyAlignment="1">
      <alignment horizontal="left" vertical="center"/>
    </xf>
    <xf numFmtId="0" fontId="14" fillId="4" borderId="12" xfId="0" applyFont="1" applyFill="1" applyBorder="1" applyAlignment="1">
      <alignment horizontal="center"/>
    </xf>
    <xf numFmtId="0" fontId="14" fillId="4" borderId="13" xfId="0" applyFont="1" applyFill="1" applyBorder="1" applyAlignment="1">
      <alignment horizontal="center"/>
    </xf>
    <xf numFmtId="0" fontId="14" fillId="4" borderId="14" xfId="0" applyFont="1" applyFill="1" applyBorder="1" applyAlignment="1">
      <alignment horizontal="center"/>
    </xf>
    <xf numFmtId="0" fontId="9" fillId="0" borderId="11" xfId="0" applyFont="1" applyBorder="1" applyAlignment="1">
      <alignment horizontal="left" vertical="center" wrapText="1"/>
    </xf>
    <xf numFmtId="0" fontId="8" fillId="0" borderId="11" xfId="0" applyFont="1" applyBorder="1" applyAlignment="1">
      <alignment horizontal="left" vertical="center"/>
    </xf>
    <xf numFmtId="0" fontId="9" fillId="0" borderId="11" xfId="0" applyFont="1" applyBorder="1" applyAlignment="1">
      <alignment vertical="center" wrapText="1"/>
    </xf>
    <xf numFmtId="0" fontId="8" fillId="0" borderId="11" xfId="0" applyFont="1" applyBorder="1" applyAlignment="1">
      <alignment horizontal="center" vertical="center" wrapText="1"/>
    </xf>
    <xf numFmtId="0" fontId="2" fillId="8" borderId="15" xfId="0" applyFont="1" applyFill="1" applyBorder="1" applyAlignment="1">
      <alignment horizontal="center" vertical="center" textRotation="90" wrapText="1"/>
    </xf>
    <xf numFmtId="0" fontId="2" fillId="8" borderId="17" xfId="0" applyFont="1" applyFill="1" applyBorder="1" applyAlignment="1">
      <alignment horizontal="center" vertical="center" textRotation="90" wrapText="1"/>
    </xf>
    <xf numFmtId="0" fontId="2" fillId="8" borderId="16" xfId="0" applyFont="1" applyFill="1" applyBorder="1" applyAlignment="1">
      <alignment horizontal="center" vertical="center" textRotation="90" wrapText="1"/>
    </xf>
    <xf numFmtId="0" fontId="9" fillId="8" borderId="15" xfId="0" applyFont="1" applyFill="1" applyBorder="1" applyAlignment="1">
      <alignment horizontal="center" vertical="center" textRotation="90" wrapText="1"/>
    </xf>
    <xf numFmtId="0" fontId="9" fillId="8" borderId="17" xfId="0" applyFont="1" applyFill="1" applyBorder="1" applyAlignment="1">
      <alignment horizontal="center" vertical="center" textRotation="90" wrapText="1"/>
    </xf>
    <xf numFmtId="0" fontId="9" fillId="8" borderId="16" xfId="0" applyFont="1" applyFill="1" applyBorder="1" applyAlignment="1">
      <alignment horizontal="center" vertical="center" textRotation="90" wrapText="1"/>
    </xf>
    <xf numFmtId="0" fontId="17" fillId="5" borderId="12" xfId="0" applyFont="1" applyFill="1" applyBorder="1" applyAlignment="1">
      <alignment horizontal="center"/>
    </xf>
    <xf numFmtId="0" fontId="17" fillId="5" borderId="13" xfId="0" applyFont="1" applyFill="1" applyBorder="1" applyAlignment="1">
      <alignment horizontal="center"/>
    </xf>
    <xf numFmtId="0" fontId="17" fillId="5" borderId="14" xfId="0" applyFont="1" applyFill="1" applyBorder="1" applyAlignment="1">
      <alignment horizontal="center"/>
    </xf>
    <xf numFmtId="15" fontId="9" fillId="8" borderId="15" xfId="0" applyNumberFormat="1" applyFont="1" applyFill="1" applyBorder="1" applyAlignment="1">
      <alignment horizontal="center" vertical="center" textRotation="90" wrapText="1"/>
    </xf>
    <xf numFmtId="15" fontId="9" fillId="8" borderId="17" xfId="0" applyNumberFormat="1" applyFont="1" applyFill="1" applyBorder="1" applyAlignment="1">
      <alignment horizontal="center" vertical="center" textRotation="90" wrapText="1"/>
    </xf>
    <xf numFmtId="15" fontId="9" fillId="8" borderId="16" xfId="0" applyNumberFormat="1" applyFont="1" applyFill="1" applyBorder="1" applyAlignment="1">
      <alignment horizontal="center" vertical="center" textRotation="90" wrapText="1"/>
    </xf>
    <xf numFmtId="0" fontId="2" fillId="0" borderId="0" xfId="0" applyFont="1" applyAlignment="1">
      <alignment horizontal="center"/>
    </xf>
    <xf numFmtId="0" fontId="1" fillId="0" borderId="0" xfId="0" applyFont="1" applyAlignment="1">
      <alignment horizontal="center"/>
    </xf>
    <xf numFmtId="0" fontId="9" fillId="6" borderId="15" xfId="0" applyFont="1" applyFill="1" applyBorder="1" applyAlignment="1">
      <alignment horizontal="center" vertical="center"/>
    </xf>
    <xf numFmtId="0" fontId="9" fillId="6" borderId="17" xfId="0" applyFont="1" applyFill="1" applyBorder="1" applyAlignment="1">
      <alignment horizontal="center" vertical="center"/>
    </xf>
    <xf numFmtId="0" fontId="9" fillId="6" borderId="16" xfId="0" applyFont="1" applyFill="1" applyBorder="1" applyAlignment="1">
      <alignment horizontal="center" vertical="center"/>
    </xf>
    <xf numFmtId="0" fontId="9" fillId="6" borderId="11" xfId="0" applyFont="1" applyFill="1" applyBorder="1" applyAlignment="1">
      <alignment horizontal="center" vertical="center" wrapText="1"/>
    </xf>
    <xf numFmtId="0" fontId="9" fillId="0" borderId="15" xfId="0" applyFont="1" applyBorder="1" applyAlignment="1">
      <alignment horizontal="center" vertical="center"/>
    </xf>
    <xf numFmtId="0" fontId="9" fillId="0" borderId="16" xfId="0" applyFont="1" applyBorder="1" applyAlignment="1">
      <alignment horizontal="center" vertical="center"/>
    </xf>
    <xf numFmtId="1" fontId="9" fillId="0" borderId="15" xfId="0" applyNumberFormat="1" applyFont="1" applyBorder="1" applyAlignment="1">
      <alignment horizontal="center" vertical="center" wrapText="1"/>
    </xf>
    <xf numFmtId="1" fontId="9" fillId="0" borderId="16" xfId="0" applyNumberFormat="1" applyFont="1" applyBorder="1" applyAlignment="1">
      <alignment horizontal="center" vertical="center" wrapText="1"/>
    </xf>
    <xf numFmtId="0" fontId="8" fillId="0" borderId="15" xfId="0" applyFont="1" applyBorder="1" applyAlignment="1">
      <alignment horizontal="center" vertical="center"/>
    </xf>
    <xf numFmtId="0" fontId="8" fillId="0" borderId="17" xfId="0" applyFont="1" applyBorder="1" applyAlignment="1">
      <alignment horizontal="center" vertical="center"/>
    </xf>
    <xf numFmtId="0" fontId="8" fillId="0" borderId="16" xfId="0" applyFont="1" applyBorder="1" applyAlignment="1">
      <alignment horizontal="center" vertical="center"/>
    </xf>
    <xf numFmtId="1" fontId="8" fillId="0" borderId="11" xfId="0" applyNumberFormat="1" applyFont="1" applyBorder="1" applyAlignment="1">
      <alignment horizontal="center" vertical="center" wrapText="1"/>
    </xf>
    <xf numFmtId="0" fontId="7" fillId="4" borderId="22" xfId="0" applyFont="1" applyFill="1" applyBorder="1" applyAlignment="1">
      <alignment horizontal="center"/>
    </xf>
    <xf numFmtId="0" fontId="0" fillId="4" borderId="23" xfId="0" applyFill="1" applyBorder="1" applyAlignment="1">
      <alignment horizontal="center"/>
    </xf>
    <xf numFmtId="0" fontId="0" fillId="4" borderId="24" xfId="0" applyFill="1" applyBorder="1" applyAlignment="1">
      <alignment horizontal="center"/>
    </xf>
    <xf numFmtId="0" fontId="7" fillId="4" borderId="23" xfId="0" applyFont="1" applyFill="1" applyBorder="1" applyAlignment="1">
      <alignment horizontal="center"/>
    </xf>
    <xf numFmtId="0" fontId="7" fillId="4" borderId="24" xfId="0" applyFont="1" applyFill="1" applyBorder="1" applyAlignment="1">
      <alignment horizontal="center"/>
    </xf>
    <xf numFmtId="0" fontId="8" fillId="0" borderId="15" xfId="0" applyFont="1" applyBorder="1" applyAlignment="1">
      <alignment horizontal="center" vertical="center" wrapText="1"/>
    </xf>
    <xf numFmtId="0" fontId="8" fillId="0" borderId="16" xfId="0" applyFont="1" applyBorder="1" applyAlignment="1">
      <alignment horizontal="center" vertical="center" wrapText="1"/>
    </xf>
    <xf numFmtId="0" fontId="2" fillId="0" borderId="0" xfId="0" applyFont="1" applyAlignment="1">
      <alignment horizontal="left"/>
    </xf>
    <xf numFmtId="0" fontId="2" fillId="0" borderId="0" xfId="0" applyFont="1" applyAlignment="1">
      <alignment horizontal="left" vertical="center"/>
    </xf>
    <xf numFmtId="0" fontId="1" fillId="0" borderId="0" xfId="0" applyFont="1" applyAlignment="1">
      <alignment horizontal="center" wrapText="1"/>
    </xf>
    <xf numFmtId="0" fontId="12" fillId="7" borderId="11" xfId="0" applyFont="1" applyFill="1" applyBorder="1" applyAlignment="1" applyProtection="1">
      <alignment horizontal="left" vertical="center" wrapText="1"/>
      <protection locked="0"/>
    </xf>
    <xf numFmtId="0" fontId="13" fillId="0" borderId="18" xfId="0" applyFont="1" applyBorder="1" applyAlignment="1" applyProtection="1">
      <alignment horizontal="center" vertical="center"/>
      <protection locked="0"/>
    </xf>
    <xf numFmtId="0" fontId="2" fillId="0" borderId="0" xfId="0" applyFont="1" applyAlignment="1">
      <alignment horizontal="left" shrinkToFit="1"/>
    </xf>
    <xf numFmtId="0" fontId="2" fillId="0" borderId="9" xfId="0" applyFont="1" applyBorder="1" applyAlignment="1">
      <alignment horizontal="center"/>
    </xf>
    <xf numFmtId="0" fontId="1" fillId="0" borderId="10" xfId="0" applyFont="1" applyBorder="1" applyAlignment="1">
      <alignment horizontal="center" wrapText="1"/>
    </xf>
    <xf numFmtId="0" fontId="1" fillId="0" borderId="10" xfId="0" applyFont="1" applyBorder="1" applyAlignment="1">
      <alignment horizontal="center"/>
    </xf>
    <xf numFmtId="0" fontId="11" fillId="4" borderId="1" xfId="0" applyFont="1" applyFill="1" applyBorder="1" applyAlignment="1" applyProtection="1">
      <alignment horizontal="center" vertical="center"/>
      <protection locked="0"/>
    </xf>
    <xf numFmtId="0" fontId="11" fillId="4" borderId="2" xfId="0" applyFont="1" applyFill="1" applyBorder="1" applyAlignment="1" applyProtection="1">
      <alignment horizontal="center" vertical="center"/>
      <protection locked="0"/>
    </xf>
    <xf numFmtId="0" fontId="11" fillId="4" borderId="3" xfId="0" applyFont="1" applyFill="1" applyBorder="1" applyAlignment="1" applyProtection="1">
      <alignment horizontal="center" vertical="center"/>
      <protection locked="0"/>
    </xf>
    <xf numFmtId="0" fontId="11" fillId="4" borderId="4" xfId="0" applyFont="1" applyFill="1" applyBorder="1" applyAlignment="1" applyProtection="1">
      <alignment horizontal="center" vertical="center"/>
      <protection locked="0"/>
    </xf>
    <xf numFmtId="0" fontId="11" fillId="4" borderId="0" xfId="0" applyFont="1" applyFill="1" applyAlignment="1" applyProtection="1">
      <alignment horizontal="center" vertical="center"/>
      <protection locked="0"/>
    </xf>
    <xf numFmtId="0" fontId="11" fillId="4" borderId="5" xfId="0" applyFont="1" applyFill="1" applyBorder="1" applyAlignment="1" applyProtection="1">
      <alignment horizontal="center" vertical="center"/>
      <protection locked="0"/>
    </xf>
    <xf numFmtId="0" fontId="8" fillId="12" borderId="11" xfId="0" applyFont="1" applyFill="1" applyBorder="1" applyAlignment="1">
      <alignment horizontal="center" vertical="center" wrapText="1"/>
    </xf>
    <xf numFmtId="0" fontId="8" fillId="12" borderId="15" xfId="0" applyFont="1" applyFill="1" applyBorder="1" applyAlignment="1">
      <alignment horizontal="center" vertical="center"/>
    </xf>
    <xf numFmtId="0" fontId="8" fillId="12" borderId="17" xfId="0" applyFont="1" applyFill="1" applyBorder="1" applyAlignment="1">
      <alignment horizontal="center" vertical="center"/>
    </xf>
    <xf numFmtId="0" fontId="8" fillId="12" borderId="16" xfId="0" applyFont="1" applyFill="1" applyBorder="1" applyAlignment="1">
      <alignment horizontal="center" vertical="center"/>
    </xf>
    <xf numFmtId="0" fontId="11" fillId="0" borderId="32" xfId="0" applyFont="1" applyBorder="1" applyAlignment="1">
      <alignment horizontal="left" vertical="top"/>
    </xf>
    <xf numFmtId="0" fontId="11" fillId="0" borderId="31" xfId="0" applyFont="1" applyBorder="1" applyAlignment="1">
      <alignment horizontal="left" vertical="top"/>
    </xf>
    <xf numFmtId="0" fontId="11" fillId="0" borderId="33" xfId="0" applyFont="1" applyBorder="1" applyAlignment="1">
      <alignment horizontal="left" vertical="top"/>
    </xf>
    <xf numFmtId="0" fontId="11" fillId="0" borderId="34" xfId="0" applyFont="1" applyBorder="1" applyAlignment="1">
      <alignment horizontal="left" vertical="top"/>
    </xf>
    <xf numFmtId="0" fontId="11" fillId="0" borderId="0" xfId="0" applyFont="1" applyAlignment="1">
      <alignment horizontal="left" vertical="top"/>
    </xf>
    <xf numFmtId="0" fontId="11" fillId="0" borderId="35" xfId="0" applyFont="1" applyBorder="1" applyAlignment="1">
      <alignment horizontal="left" vertical="top"/>
    </xf>
    <xf numFmtId="0" fontId="11" fillId="0" borderId="36" xfId="0" applyFont="1" applyBorder="1" applyAlignment="1">
      <alignment horizontal="left" vertical="top"/>
    </xf>
    <xf numFmtId="0" fontId="11" fillId="0" borderId="37" xfId="0" applyFont="1" applyBorder="1" applyAlignment="1">
      <alignment horizontal="left" vertical="top"/>
    </xf>
    <xf numFmtId="0" fontId="11" fillId="0" borderId="38" xfId="0" applyFont="1" applyBorder="1" applyAlignment="1">
      <alignment horizontal="left" vertical="top"/>
    </xf>
    <xf numFmtId="0" fontId="3" fillId="0" borderId="37" xfId="0" applyFont="1" applyBorder="1" applyAlignment="1">
      <alignment horizontal="left"/>
    </xf>
    <xf numFmtId="0" fontId="3" fillId="0" borderId="0" xfId="0" applyFont="1" applyAlignment="1">
      <alignment horizontal="left"/>
    </xf>
    <xf numFmtId="0" fontId="3" fillId="0" borderId="31" xfId="0" applyFont="1" applyBorder="1" applyAlignment="1">
      <alignment horizontal="left"/>
    </xf>
    <xf numFmtId="0" fontId="3" fillId="0" borderId="38" xfId="0" applyFont="1" applyBorder="1" applyAlignment="1">
      <alignment horizontal="left"/>
    </xf>
    <xf numFmtId="0" fontId="3" fillId="0" borderId="35" xfId="0" applyFont="1" applyBorder="1" applyAlignment="1">
      <alignment horizontal="left"/>
    </xf>
    <xf numFmtId="0" fontId="3" fillId="0" borderId="33" xfId="0" applyFont="1" applyBorder="1" applyAlignment="1">
      <alignment horizontal="left"/>
    </xf>
    <xf numFmtId="0" fontId="4" fillId="0" borderId="15" xfId="0" applyFont="1" applyBorder="1" applyAlignment="1">
      <alignment horizontal="left"/>
    </xf>
    <xf numFmtId="0" fontId="4" fillId="0" borderId="17" xfId="0" applyFont="1" applyBorder="1" applyAlignment="1">
      <alignment horizontal="left"/>
    </xf>
    <xf numFmtId="0" fontId="4" fillId="0" borderId="16" xfId="0" applyFont="1" applyBorder="1" applyAlignment="1">
      <alignment horizontal="left"/>
    </xf>
    <xf numFmtId="0" fontId="8" fillId="0" borderId="15" xfId="0" applyFont="1" applyBorder="1" applyAlignment="1">
      <alignment horizontal="left" vertical="center"/>
    </xf>
    <xf numFmtId="0" fontId="8" fillId="0" borderId="17" xfId="0" applyFont="1" applyBorder="1" applyAlignment="1">
      <alignment horizontal="left" vertical="center"/>
    </xf>
    <xf numFmtId="0" fontId="8" fillId="0" borderId="16" xfId="0" applyFont="1" applyBorder="1" applyAlignment="1">
      <alignment horizontal="left" vertical="center"/>
    </xf>
    <xf numFmtId="0" fontId="1" fillId="0" borderId="31" xfId="0" applyFont="1" applyBorder="1" applyAlignment="1">
      <alignment horizontal="left"/>
    </xf>
    <xf numFmtId="0" fontId="4" fillId="0" borderId="11" xfId="0" applyFont="1" applyBorder="1" applyAlignment="1">
      <alignment horizontal="center"/>
    </xf>
    <xf numFmtId="0" fontId="3" fillId="0" borderId="11" xfId="0" applyFont="1" applyBorder="1" applyAlignment="1">
      <alignment horizontal="left"/>
    </xf>
    <xf numFmtId="0" fontId="4" fillId="0" borderId="15" xfId="0" applyFont="1" applyBorder="1" applyAlignment="1">
      <alignment horizontal="center"/>
    </xf>
    <xf numFmtId="0" fontId="4" fillId="0" borderId="17" xfId="0" applyFont="1" applyBorder="1" applyAlignment="1">
      <alignment horizontal="center"/>
    </xf>
    <xf numFmtId="0" fontId="4" fillId="0" borderId="16" xfId="0" applyFont="1" applyBorder="1" applyAlignment="1">
      <alignment horizontal="center"/>
    </xf>
    <xf numFmtId="0" fontId="0" fillId="0" borderId="0" xfId="0" applyAlignment="1">
      <alignment horizontal="center"/>
    </xf>
    <xf numFmtId="0" fontId="11" fillId="0" borderId="32" xfId="0" applyFont="1" applyBorder="1" applyAlignment="1">
      <alignment horizontal="left"/>
    </xf>
    <xf numFmtId="0" fontId="11" fillId="0" borderId="31" xfId="0" applyFont="1" applyBorder="1" applyAlignment="1">
      <alignment horizontal="left"/>
    </xf>
    <xf numFmtId="0" fontId="11" fillId="0" borderId="33" xfId="0" applyFont="1" applyBorder="1" applyAlignment="1">
      <alignment horizontal="left"/>
    </xf>
    <xf numFmtId="0" fontId="3" fillId="0" borderId="34" xfId="0" applyFont="1" applyBorder="1" applyAlignment="1">
      <alignment horizontal="center"/>
    </xf>
    <xf numFmtId="0" fontId="3" fillId="0" borderId="35" xfId="0" applyFont="1" applyBorder="1" applyAlignment="1">
      <alignment horizontal="center"/>
    </xf>
    <xf numFmtId="0" fontId="3" fillId="0" borderId="36" xfId="0" applyFont="1" applyBorder="1" applyAlignment="1">
      <alignment horizontal="center"/>
    </xf>
    <xf numFmtId="0" fontId="3" fillId="0" borderId="37" xfId="0" applyFont="1" applyBorder="1" applyAlignment="1">
      <alignment horizontal="center"/>
    </xf>
    <xf numFmtId="0" fontId="3" fillId="0" borderId="38" xfId="0" applyFont="1" applyBorder="1" applyAlignment="1">
      <alignment horizontal="center"/>
    </xf>
    <xf numFmtId="0" fontId="11" fillId="0" borderId="15" xfId="0" applyFont="1" applyBorder="1" applyAlignment="1">
      <alignment horizontal="left"/>
    </xf>
    <xf numFmtId="0" fontId="11" fillId="0" borderId="17" xfId="0" applyFont="1" applyBorder="1" applyAlignment="1">
      <alignment horizontal="left"/>
    </xf>
    <xf numFmtId="0" fontId="11" fillId="0" borderId="16" xfId="0" applyFont="1" applyBorder="1" applyAlignment="1">
      <alignment horizontal="left"/>
    </xf>
    <xf numFmtId="1" fontId="8" fillId="0" borderId="15" xfId="0" applyNumberFormat="1" applyFont="1" applyBorder="1" applyAlignment="1">
      <alignment horizontal="center" vertical="center" wrapText="1"/>
    </xf>
    <xf numFmtId="1" fontId="8" fillId="0" borderId="16" xfId="0" applyNumberFormat="1" applyFont="1" applyBorder="1" applyAlignment="1">
      <alignment horizontal="center" vertical="center" wrapText="1"/>
    </xf>
    <xf numFmtId="0" fontId="9" fillId="0" borderId="11" xfId="0" applyFont="1" applyBorder="1" applyAlignment="1">
      <alignment horizontal="left" vertical="top" wrapText="1"/>
    </xf>
    <xf numFmtId="1" fontId="9" fillId="0" borderId="15" xfId="0" applyNumberFormat="1" applyFont="1" applyBorder="1" applyAlignment="1">
      <alignment horizontal="center" vertical="top" wrapText="1"/>
    </xf>
    <xf numFmtId="1" fontId="9" fillId="0" borderId="16" xfId="0" applyNumberFormat="1" applyFont="1" applyBorder="1" applyAlignment="1">
      <alignment horizontal="center" vertical="top" wrapText="1"/>
    </xf>
    <xf numFmtId="0" fontId="9" fillId="0" borderId="15" xfId="0" applyFont="1" applyBorder="1" applyAlignment="1">
      <alignment horizontal="left" vertical="top"/>
    </xf>
    <xf numFmtId="0" fontId="9" fillId="0" borderId="17" xfId="0" applyFont="1" applyBorder="1" applyAlignment="1">
      <alignment horizontal="left" vertical="top"/>
    </xf>
    <xf numFmtId="0" fontId="9" fillId="0" borderId="16" xfId="0" applyFont="1" applyBorder="1" applyAlignment="1">
      <alignment horizontal="left" vertical="top"/>
    </xf>
    <xf numFmtId="0" fontId="9" fillId="0" borderId="15" xfId="0" applyFont="1" applyBorder="1" applyAlignment="1">
      <alignment vertical="top" wrapText="1"/>
    </xf>
    <xf numFmtId="0" fontId="9" fillId="0" borderId="17" xfId="0" applyFont="1" applyBorder="1" applyAlignment="1">
      <alignment vertical="top" wrapText="1"/>
    </xf>
    <xf numFmtId="0" fontId="9" fillId="0" borderId="16" xfId="0" applyFont="1" applyBorder="1" applyAlignment="1">
      <alignment vertical="top" wrapText="1"/>
    </xf>
    <xf numFmtId="0" fontId="9" fillId="0" borderId="15" xfId="0" applyFont="1" applyBorder="1" applyAlignment="1">
      <alignment horizontal="left" vertical="top" wrapText="1"/>
    </xf>
    <xf numFmtId="0" fontId="9" fillId="0" borderId="17" xfId="0" applyFont="1" applyBorder="1" applyAlignment="1">
      <alignment horizontal="left" vertical="top" wrapText="1"/>
    </xf>
    <xf numFmtId="0" fontId="9" fillId="0" borderId="16" xfId="0" applyFont="1" applyBorder="1" applyAlignment="1">
      <alignment horizontal="left" vertical="top" wrapText="1"/>
    </xf>
    <xf numFmtId="0" fontId="9" fillId="0" borderId="15" xfId="0" applyFont="1" applyBorder="1" applyAlignment="1">
      <alignment horizontal="center" vertical="top"/>
    </xf>
    <xf numFmtId="0" fontId="9" fillId="0" borderId="17" xfId="0" applyFont="1" applyBorder="1" applyAlignment="1">
      <alignment horizontal="center" vertical="top"/>
    </xf>
    <xf numFmtId="0" fontId="9" fillId="0" borderId="16" xfId="0" applyFont="1" applyBorder="1" applyAlignment="1">
      <alignment horizontal="center" vertical="top"/>
    </xf>
    <xf numFmtId="0" fontId="9" fillId="0" borderId="15" xfId="0" applyFont="1" applyBorder="1" applyAlignment="1">
      <alignment horizontal="left" vertical="center" wrapText="1"/>
    </xf>
    <xf numFmtId="0" fontId="9" fillId="0" borderId="17" xfId="0" applyFont="1" applyBorder="1" applyAlignment="1">
      <alignment horizontal="left" vertical="center" wrapText="1"/>
    </xf>
    <xf numFmtId="0" fontId="9" fillId="0" borderId="16" xfId="0" applyFont="1" applyBorder="1" applyAlignment="1">
      <alignment horizontal="left" vertical="center" wrapText="1"/>
    </xf>
    <xf numFmtId="0" fontId="8" fillId="0" borderId="11" xfId="0" applyFont="1" applyBorder="1" applyAlignment="1">
      <alignment horizontal="left"/>
    </xf>
    <xf numFmtId="0" fontId="9" fillId="0" borderId="11" xfId="0" applyFont="1" applyBorder="1" applyAlignment="1">
      <alignment horizontal="center" vertical="center" wrapText="1"/>
    </xf>
    <xf numFmtId="0" fontId="9" fillId="0" borderId="17" xfId="0" applyFont="1" applyBorder="1" applyAlignment="1">
      <alignment horizontal="center" vertical="center"/>
    </xf>
    <xf numFmtId="0" fontId="8" fillId="0" borderId="32" xfId="0" applyFont="1" applyBorder="1" applyAlignment="1">
      <alignment horizontal="left" vertical="top"/>
    </xf>
    <xf numFmtId="0" fontId="8" fillId="0" borderId="31" xfId="0" applyFont="1" applyBorder="1" applyAlignment="1">
      <alignment horizontal="left" vertical="top"/>
    </xf>
    <xf numFmtId="0" fontId="8" fillId="0" borderId="33" xfId="0" applyFont="1" applyBorder="1" applyAlignment="1">
      <alignment horizontal="left" vertical="top"/>
    </xf>
    <xf numFmtId="1" fontId="10" fillId="0" borderId="15" xfId="0" applyNumberFormat="1" applyFont="1" applyBorder="1" applyAlignment="1">
      <alignment horizontal="center" vertical="top"/>
    </xf>
    <xf numFmtId="1" fontId="10" fillId="0" borderId="16" xfId="0" applyNumberFormat="1" applyFont="1" applyBorder="1" applyAlignment="1">
      <alignment horizontal="center" vertical="top"/>
    </xf>
    <xf numFmtId="1" fontId="10" fillId="0" borderId="15" xfId="0" applyNumberFormat="1" applyFont="1" applyBorder="1" applyAlignment="1">
      <alignment horizontal="left" vertical="top"/>
    </xf>
    <xf numFmtId="1" fontId="10" fillId="0" borderId="16" xfId="0" applyNumberFormat="1" applyFont="1" applyBorder="1" applyAlignment="1">
      <alignment horizontal="left" vertical="top"/>
    </xf>
    <xf numFmtId="0" fontId="9" fillId="0" borderId="34" xfId="0" applyFont="1" applyBorder="1" applyAlignment="1">
      <alignment horizontal="center" vertical="center" wrapText="1"/>
    </xf>
    <xf numFmtId="0" fontId="9" fillId="0" borderId="0" xfId="0" applyFont="1" applyAlignment="1">
      <alignment horizontal="center" vertical="center" wrapText="1"/>
    </xf>
    <xf numFmtId="0" fontId="9" fillId="0" borderId="35" xfId="0" applyFont="1" applyBorder="1" applyAlignment="1">
      <alignment horizontal="center" vertical="center" wrapText="1"/>
    </xf>
    <xf numFmtId="0" fontId="9" fillId="0" borderId="36" xfId="0" applyFont="1" applyBorder="1" applyAlignment="1">
      <alignment horizontal="center" vertical="center" wrapText="1"/>
    </xf>
    <xf numFmtId="0" fontId="9" fillId="0" borderId="37" xfId="0" applyFont="1" applyBorder="1" applyAlignment="1">
      <alignment horizontal="center" vertical="center" wrapText="1"/>
    </xf>
    <xf numFmtId="0" fontId="9" fillId="0" borderId="38" xfId="0" applyFont="1" applyBorder="1" applyAlignment="1">
      <alignment horizontal="center" vertical="center" wrapText="1"/>
    </xf>
    <xf numFmtId="0" fontId="10" fillId="0" borderId="11" xfId="0" applyFont="1" applyBorder="1" applyAlignment="1">
      <alignment horizontal="left"/>
    </xf>
    <xf numFmtId="0" fontId="9" fillId="0" borderId="17" xfId="0" applyFont="1" applyBorder="1" applyAlignment="1">
      <alignment horizontal="left" vertical="center"/>
    </xf>
    <xf numFmtId="0" fontId="7" fillId="4" borderId="22" xfId="0" applyFont="1" applyFill="1" applyBorder="1" applyAlignment="1" applyProtection="1">
      <alignment horizontal="center"/>
      <protection locked="0"/>
    </xf>
    <xf numFmtId="0" fontId="0" fillId="4" borderId="23" xfId="0" applyFill="1" applyBorder="1" applyAlignment="1" applyProtection="1">
      <alignment horizontal="center"/>
      <protection locked="0"/>
    </xf>
    <xf numFmtId="0" fontId="0" fillId="4" borderId="24" xfId="0" applyFill="1" applyBorder="1" applyAlignment="1" applyProtection="1">
      <alignment horizontal="center"/>
      <protection locked="0"/>
    </xf>
    <xf numFmtId="0" fontId="7" fillId="4" borderId="23" xfId="0" applyFont="1" applyFill="1" applyBorder="1" applyAlignment="1" applyProtection="1">
      <alignment horizontal="center"/>
      <protection locked="0"/>
    </xf>
    <xf numFmtId="0" fontId="7" fillId="4" borderId="24" xfId="0" applyFont="1" applyFill="1" applyBorder="1" applyAlignment="1" applyProtection="1">
      <alignment horizontal="center"/>
      <protection locked="0"/>
    </xf>
    <xf numFmtId="0" fontId="12" fillId="7" borderId="11" xfId="0" applyFont="1" applyFill="1" applyBorder="1" applyAlignment="1">
      <alignment horizontal="left" vertical="center" wrapText="1"/>
    </xf>
    <xf numFmtId="0" fontId="11" fillId="4" borderId="1" xfId="0" applyFont="1" applyFill="1" applyBorder="1" applyAlignment="1">
      <alignment horizontal="center" vertical="center"/>
    </xf>
    <xf numFmtId="0" fontId="11" fillId="4" borderId="2" xfId="0" applyFont="1" applyFill="1" applyBorder="1" applyAlignment="1">
      <alignment horizontal="center" vertical="center"/>
    </xf>
    <xf numFmtId="0" fontId="11" fillId="4" borderId="3" xfId="0" applyFont="1" applyFill="1" applyBorder="1" applyAlignment="1">
      <alignment horizontal="center" vertical="center"/>
    </xf>
    <xf numFmtId="0" fontId="11" fillId="4" borderId="4" xfId="0" applyFont="1" applyFill="1" applyBorder="1" applyAlignment="1">
      <alignment horizontal="center" vertical="center"/>
    </xf>
    <xf numFmtId="0" fontId="11" fillId="4" borderId="0" xfId="0" applyFont="1" applyFill="1" applyAlignment="1">
      <alignment horizontal="center" vertical="center"/>
    </xf>
    <xf numFmtId="0" fontId="11" fillId="4" borderId="5" xfId="0" applyFont="1" applyFill="1" applyBorder="1" applyAlignment="1">
      <alignment horizontal="center" vertical="center"/>
    </xf>
    <xf numFmtId="1" fontId="9" fillId="0" borderId="11" xfId="0" applyNumberFormat="1" applyFont="1" applyBorder="1" applyAlignment="1">
      <alignment horizontal="center" vertical="center" wrapText="1"/>
    </xf>
    <xf numFmtId="0" fontId="11" fillId="0" borderId="11" xfId="0" applyFont="1" applyBorder="1" applyAlignment="1">
      <alignment horizontal="left" vertical="center"/>
    </xf>
    <xf numFmtId="0" fontId="1" fillId="0" borderId="11" xfId="0" applyFont="1" applyBorder="1" applyAlignment="1">
      <alignment horizontal="left"/>
    </xf>
    <xf numFmtId="0" fontId="11" fillId="0" borderId="11" xfId="0" applyFont="1" applyBorder="1" applyAlignment="1">
      <alignment horizontal="left"/>
    </xf>
    <xf numFmtId="0" fontId="9" fillId="12" borderId="15" xfId="0" applyFont="1" applyFill="1" applyBorder="1" applyAlignment="1">
      <alignment horizontal="center" vertical="center"/>
    </xf>
    <xf numFmtId="0" fontId="9" fillId="12" borderId="17" xfId="0" applyFont="1" applyFill="1" applyBorder="1" applyAlignment="1">
      <alignment horizontal="center" vertical="center"/>
    </xf>
    <xf numFmtId="0" fontId="9" fillId="12" borderId="16" xfId="0" applyFont="1" applyFill="1" applyBorder="1" applyAlignment="1">
      <alignment horizontal="center" vertical="center"/>
    </xf>
    <xf numFmtId="0" fontId="9" fillId="12" borderId="11" xfId="0" applyFont="1" applyFill="1" applyBorder="1" applyAlignment="1">
      <alignment horizontal="center" vertical="center" wrapText="1"/>
    </xf>
    <xf numFmtId="1" fontId="10" fillId="0" borderId="15" xfId="0" applyNumberFormat="1" applyFont="1" applyBorder="1" applyAlignment="1">
      <alignment horizontal="center" vertical="center"/>
    </xf>
    <xf numFmtId="1" fontId="10" fillId="0" borderId="16" xfId="0" applyNumberFormat="1" applyFont="1" applyBorder="1" applyAlignment="1">
      <alignment horizontal="center" vertical="center"/>
    </xf>
  </cellXfs>
  <cellStyles count="3">
    <cellStyle name="Normal" xfId="0" builtinId="0"/>
    <cellStyle name="Normal 2" xfId="1" xr:uid="{00000000-0005-0000-0000-000001000000}"/>
    <cellStyle name="Normal 22" xfId="2" xr:uid="{00000000-0005-0000-0000-00000200000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Spin" dx="22" fmlaLink="$R$9" max="30000" min="1" page="10"/>
</file>

<file path=xl/ctrlProps/ctrlProp2.xml><?xml version="1.0" encoding="utf-8"?>
<formControlPr xmlns="http://schemas.microsoft.com/office/spreadsheetml/2009/9/main" objectType="Spin" dx="22" fmlaLink="$R$9" max="30000" min="1" page="10"/>
</file>

<file path=xl/ctrlProps/ctrlProp3.xml><?xml version="1.0" encoding="utf-8"?>
<formControlPr xmlns="http://schemas.microsoft.com/office/spreadsheetml/2009/9/main" objectType="Spin" dx="22" fmlaLink="$R$9" max="30000" min="1" page="10"/>
</file>

<file path=xl/ctrlProps/ctrlProp4.xml><?xml version="1.0" encoding="utf-8"?>
<formControlPr xmlns="http://schemas.microsoft.com/office/spreadsheetml/2009/9/main" objectType="Spin" dx="22" fmlaLink="$R$9" max="30000" min="1" page="10"/>
</file>

<file path=xl/ctrlProps/ctrlProp5.xml><?xml version="1.0" encoding="utf-8"?>
<formControlPr xmlns="http://schemas.microsoft.com/office/spreadsheetml/2009/9/main" objectType="Spin" dx="22" fmlaLink="$R$9" max="30000" min="1" page="10"/>
</file>

<file path=xl/ctrlProps/ctrlProp6.xml><?xml version="1.0" encoding="utf-8"?>
<formControlPr xmlns="http://schemas.microsoft.com/office/spreadsheetml/2009/9/main" objectType="Spin" dx="22" fmlaLink="$R$9" max="30000" min="1" page="10"/>
</file>

<file path=xl/ctrlProps/ctrlProp7.xml><?xml version="1.0" encoding="utf-8"?>
<formControlPr xmlns="http://schemas.microsoft.com/office/spreadsheetml/2009/9/main" objectType="Spin" dx="22" fmlaLink="$R$9" max="30000" min="1" page="10" val="13"/>
</file>

<file path=xl/ctrlProps/ctrlProp8.xml><?xml version="1.0" encoding="utf-8"?>
<formControlPr xmlns="http://schemas.microsoft.com/office/spreadsheetml/2009/9/main" objectType="Spin" dx="22" fmlaLink="$R$9" max="30000" min="1" page="10" val="11"/>
</file>

<file path=xl/ctrlProps/ctrlProp9.xml><?xml version="1.0" encoding="utf-8"?>
<formControlPr xmlns="http://schemas.microsoft.com/office/spreadsheetml/2009/9/main" objectType="Spin" dx="22" fmlaLink="$R$9" max="30000" min="1" page="10" val="11"/>
</file>

<file path=xl/ctrlProps/ctrlProp10.xml><?xml version="1.0" encoding="utf-8"?>
<formControlPr xmlns="http://schemas.microsoft.com/office/spreadsheetml/2009/9/main" objectType="Spin" dx="22" fmlaLink="$R$9" max="30000" min="1" page="10"/>
</file>

<file path=xl/ctrlProps/ctrlProp11.xml><?xml version="1.0" encoding="utf-8"?>
<formControlPr xmlns="http://schemas.microsoft.com/office/spreadsheetml/2009/9/main" objectType="Spin" dx="22" fmlaLink="$R$9" max="30000" min="1" page="10"/>
</file>

<file path=xl/ctrlProps/ctrlProp12.xml><?xml version="1.0" encoding="utf-8"?>
<formControlPr xmlns="http://schemas.microsoft.com/office/spreadsheetml/2009/9/main" objectType="Spin" dx="22" fmlaLink="$R$9" max="30000" min="1" page="10"/>
</file>

<file path=xl/ctrlProps/ctrlProp13.xml><?xml version="1.0" encoding="utf-8"?>
<formControlPr xmlns="http://schemas.microsoft.com/office/spreadsheetml/2009/9/main" objectType="Spin" dx="22" fmlaLink="$R$9" max="30000" min="1" page="10"/>
</file>

<file path=xl/ctrlProps/ctrlProp14.xml><?xml version="1.0" encoding="utf-8"?>
<formControlPr xmlns="http://schemas.microsoft.com/office/spreadsheetml/2009/9/main" objectType="Spin" dx="22" fmlaLink="$R$9" max="30000" min="1" page="10"/>
</file>

<file path=xl/ctrlProps/ctrlProp15.xml><?xml version="1.0" encoding="utf-8"?>
<formControlPr xmlns="http://schemas.microsoft.com/office/spreadsheetml/2009/9/main" objectType="Spin" dx="22" fmlaLink="$R$9" max="30000" min="1" page="10"/>
</file>

<file path=xl/ctrlProps/ctrlProp16.xml><?xml version="1.0" encoding="utf-8"?>
<formControlPr xmlns="http://schemas.microsoft.com/office/spreadsheetml/2009/9/main" objectType="Spin" dx="22" fmlaLink="$R$9" max="30000" min="1" page="10"/>
</file>

<file path=xl/ctrlProps/ctrlProp17.xml><?xml version="1.0" encoding="utf-8"?>
<formControlPr xmlns="http://schemas.microsoft.com/office/spreadsheetml/2009/9/main" objectType="Spin" dx="22" fmlaLink="$R$9" max="30000" min="1" page="10"/>
</file>

<file path=xl/ctrlProps/ctrlProp18.xml><?xml version="1.0" encoding="utf-8"?>
<formControlPr xmlns="http://schemas.microsoft.com/office/spreadsheetml/2009/9/main" objectType="Spin" dx="22" fmlaLink="$R$9" max="30000" min="1" page="10"/>
</file>

<file path=xl/ctrlProps/ctrlProp19.xml><?xml version="1.0" encoding="utf-8"?>
<formControlPr xmlns="http://schemas.microsoft.com/office/spreadsheetml/2009/9/main" objectType="Spin" dx="22" fmlaLink="$R$9" max="30000" min="1" page="10"/>
</file>

<file path=xl/ctrlProps/ctrlProp20.xml><?xml version="1.0" encoding="utf-8"?>
<formControlPr xmlns="http://schemas.microsoft.com/office/spreadsheetml/2009/9/main" objectType="Spin" dx="22" fmlaLink="$R$9" max="30000" min="1" page="10"/>
</file>

<file path=xl/drawings/_rels/drawing7.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3.png"/><Relationship Id="rId1" Type="http://schemas.openxmlformats.org/officeDocument/2006/relationships/image" Target="../media/image2.png"/></Relationships>
</file>

<file path=xl/drawings/_rels/drawing13.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3.png"/><Relationship Id="rId1" Type="http://schemas.openxmlformats.org/officeDocument/2006/relationships/image" Target="../media/image2.png"/></Relationships>
</file>

<file path=xl/drawings/_rels/drawing1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3.png"/><Relationship Id="rId1" Type="http://schemas.openxmlformats.org/officeDocument/2006/relationships/image" Target="../media/image2.png"/></Relationships>
</file>

<file path=xl/drawings/_rels/drawing18.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3.png"/><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3.png"/><Relationship Id="rId1" Type="http://schemas.openxmlformats.org/officeDocument/2006/relationships/image" Target="../media/image2.png"/></Relationships>
</file>

<file path=xl/drawings/_rels/drawing2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1.png"/><Relationship Id="rId1" Type="http://schemas.openxmlformats.org/officeDocument/2006/relationships/image" Target="../media/image2.png"/></Relationships>
</file>

<file path=xl/drawings/_rels/drawing2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3.png"/><Relationship Id="rId1" Type="http://schemas.openxmlformats.org/officeDocument/2006/relationships/image" Target="../media/image2.png"/></Relationships>
</file>

<file path=xl/drawings/_rels/drawing2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1.png"/><Relationship Id="rId1" Type="http://schemas.openxmlformats.org/officeDocument/2006/relationships/image" Target="../media/image2.png"/></Relationships>
</file>

<file path=xl/drawings/_rels/drawing29.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2.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3.png"/><Relationship Id="rId1" Type="http://schemas.openxmlformats.org/officeDocument/2006/relationships/image" Target="../media/image2.png"/></Relationships>
</file>

<file path=xl/drawings/_rels/drawing3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1.png"/><Relationship Id="rId1" Type="http://schemas.openxmlformats.org/officeDocument/2006/relationships/image" Target="../media/image2.png"/></Relationships>
</file>

<file path=xl/drawings/_rels/drawing3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314325</xdr:colOff>
      <xdr:row>11</xdr:row>
      <xdr:rowOff>9525</xdr:rowOff>
    </xdr:from>
    <xdr:to>
      <xdr:col>3</xdr:col>
      <xdr:colOff>590550</xdr:colOff>
      <xdr:row>14</xdr:row>
      <xdr:rowOff>114300</xdr:rowOff>
    </xdr:to>
    <xdr:sp macro="[0]!ID" textlink="">
      <xdr:nvSpPr>
        <xdr:cNvPr id="2" name="Rectangle: Rounded Corners 1">
          <a:extLst>
            <a:ext uri="{FF2B5EF4-FFF2-40B4-BE49-F238E27FC236}">
              <a16:creationId xmlns:a16="http://schemas.microsoft.com/office/drawing/2014/main" id="{00000000-0008-0000-0000-000002000000}"/>
            </a:ext>
          </a:extLst>
        </xdr:cNvPr>
        <xdr:cNvSpPr/>
      </xdr:nvSpPr>
      <xdr:spPr>
        <a:xfrm>
          <a:off x="495300" y="2286000"/>
          <a:ext cx="1495425" cy="70485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100" b="1">
              <a:solidFill>
                <a:schemeClr val="tx1"/>
              </a:solidFill>
            </a:rPr>
            <a:t>PROFIL</a:t>
          </a:r>
          <a:r>
            <a:rPr lang="en-US" sz="1100" b="1" baseline="0">
              <a:solidFill>
                <a:schemeClr val="tx1"/>
              </a:solidFill>
            </a:rPr>
            <a:t> </a:t>
          </a:r>
        </a:p>
        <a:p>
          <a:pPr algn="ctr"/>
          <a:r>
            <a:rPr lang="en-US" sz="1100" b="1" baseline="0">
              <a:solidFill>
                <a:schemeClr val="tx1"/>
              </a:solidFill>
            </a:rPr>
            <a:t>dan</a:t>
          </a:r>
        </a:p>
        <a:p>
          <a:pPr algn="ctr"/>
          <a:r>
            <a:rPr lang="en-US" sz="1100" b="1" baseline="0">
              <a:solidFill>
                <a:schemeClr val="tx1"/>
              </a:solidFill>
            </a:rPr>
            <a:t> IDENTITAS RAPORT</a:t>
          </a:r>
        </a:p>
      </xdr:txBody>
    </xdr:sp>
    <xdr:clientData/>
  </xdr:twoCellAnchor>
  <xdr:twoCellAnchor>
    <xdr:from>
      <xdr:col>4</xdr:col>
      <xdr:colOff>476250</xdr:colOff>
      <xdr:row>11</xdr:row>
      <xdr:rowOff>9525</xdr:rowOff>
    </xdr:from>
    <xdr:to>
      <xdr:col>7</xdr:col>
      <xdr:colOff>581025</xdr:colOff>
      <xdr:row>14</xdr:row>
      <xdr:rowOff>114300</xdr:rowOff>
    </xdr:to>
    <xdr:sp macro="[0]!Mapel" textlink="">
      <xdr:nvSpPr>
        <xdr:cNvPr id="4" name="Rectangle: Rounded Corners 3">
          <a:extLst>
            <a:ext uri="{FF2B5EF4-FFF2-40B4-BE49-F238E27FC236}">
              <a16:creationId xmlns:a16="http://schemas.microsoft.com/office/drawing/2014/main" id="{00000000-0008-0000-0000-000004000000}"/>
            </a:ext>
          </a:extLst>
        </xdr:cNvPr>
        <xdr:cNvSpPr/>
      </xdr:nvSpPr>
      <xdr:spPr>
        <a:xfrm>
          <a:off x="2486025" y="2286000"/>
          <a:ext cx="1495425" cy="70485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100" b="1" baseline="0">
              <a:solidFill>
                <a:schemeClr val="tx1"/>
              </a:solidFill>
            </a:rPr>
            <a:t>MATA PELAJARAN</a:t>
          </a:r>
        </a:p>
        <a:p>
          <a:pPr algn="ctr"/>
          <a:r>
            <a:rPr lang="en-US" sz="1100" b="1" baseline="0">
              <a:solidFill>
                <a:schemeClr val="tx1"/>
              </a:solidFill>
            </a:rPr>
            <a:t>&amp;</a:t>
          </a:r>
        </a:p>
        <a:p>
          <a:pPr algn="ctr"/>
          <a:r>
            <a:rPr lang="en-US" sz="1100" b="1" baseline="0">
              <a:solidFill>
                <a:schemeClr val="tx1"/>
              </a:solidFill>
            </a:rPr>
            <a:t>KKM</a:t>
          </a:r>
        </a:p>
      </xdr:txBody>
    </xdr:sp>
    <xdr:clientData/>
  </xdr:twoCellAnchor>
  <xdr:twoCellAnchor>
    <xdr:from>
      <xdr:col>8</xdr:col>
      <xdr:colOff>419100</xdr:colOff>
      <xdr:row>11</xdr:row>
      <xdr:rowOff>9525</xdr:rowOff>
    </xdr:from>
    <xdr:to>
      <xdr:col>10</xdr:col>
      <xdr:colOff>695325</xdr:colOff>
      <xdr:row>14</xdr:row>
      <xdr:rowOff>114300</xdr:rowOff>
    </xdr:to>
    <xdr:sp macro="[0]!Nominatif" textlink="">
      <xdr:nvSpPr>
        <xdr:cNvPr id="5" name="Rectangle: Rounded Corners 4">
          <a:extLst>
            <a:ext uri="{FF2B5EF4-FFF2-40B4-BE49-F238E27FC236}">
              <a16:creationId xmlns:a16="http://schemas.microsoft.com/office/drawing/2014/main" id="{00000000-0008-0000-0000-000005000000}"/>
            </a:ext>
          </a:extLst>
        </xdr:cNvPr>
        <xdr:cNvSpPr/>
      </xdr:nvSpPr>
      <xdr:spPr>
        <a:xfrm>
          <a:off x="4429125" y="2286000"/>
          <a:ext cx="1495425" cy="70485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100" baseline="0">
              <a:solidFill>
                <a:schemeClr val="tx1"/>
              </a:solidFill>
            </a:rPr>
            <a:t>NOMINATIF SISWA</a:t>
          </a:r>
        </a:p>
      </xdr:txBody>
    </xdr:sp>
    <xdr:clientData/>
  </xdr:twoCellAnchor>
  <xdr:twoCellAnchor>
    <xdr:from>
      <xdr:col>1</xdr:col>
      <xdr:colOff>57149</xdr:colOff>
      <xdr:row>29</xdr:row>
      <xdr:rowOff>38100</xdr:rowOff>
    </xdr:from>
    <xdr:to>
      <xdr:col>10</xdr:col>
      <xdr:colOff>962024</xdr:colOff>
      <xdr:row>32</xdr:row>
      <xdr:rowOff>57150</xdr:rowOff>
    </xdr:to>
    <xdr:sp macro="[0]!Raport" textlink="">
      <xdr:nvSpPr>
        <xdr:cNvPr id="6" name="Rectangle: Rounded Corners 5">
          <a:extLst>
            <a:ext uri="{FF2B5EF4-FFF2-40B4-BE49-F238E27FC236}">
              <a16:creationId xmlns:a16="http://schemas.microsoft.com/office/drawing/2014/main" id="{00000000-0008-0000-0000-000006000000}"/>
            </a:ext>
          </a:extLst>
        </xdr:cNvPr>
        <xdr:cNvSpPr/>
      </xdr:nvSpPr>
      <xdr:spPr>
        <a:xfrm>
          <a:off x="238124" y="5114925"/>
          <a:ext cx="5953125" cy="619125"/>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2800" baseline="0">
              <a:solidFill>
                <a:schemeClr val="tx1"/>
              </a:solidFill>
            </a:rPr>
            <a:t>BUKA RAPORT PAS</a:t>
          </a:r>
        </a:p>
      </xdr:txBody>
    </xdr:sp>
    <xdr:clientData/>
  </xdr:twoCellAnchor>
  <xdr:twoCellAnchor>
    <xdr:from>
      <xdr:col>1</xdr:col>
      <xdr:colOff>66675</xdr:colOff>
      <xdr:row>15</xdr:row>
      <xdr:rowOff>133350</xdr:rowOff>
    </xdr:from>
    <xdr:to>
      <xdr:col>10</xdr:col>
      <xdr:colOff>962025</xdr:colOff>
      <xdr:row>19</xdr:row>
      <xdr:rowOff>38100</xdr:rowOff>
    </xdr:to>
    <xdr:sp macro="[0]!Ledger" textlink="">
      <xdr:nvSpPr>
        <xdr:cNvPr id="7" name="Rectangle: Rounded Corners 6">
          <a:extLst>
            <a:ext uri="{FF2B5EF4-FFF2-40B4-BE49-F238E27FC236}">
              <a16:creationId xmlns:a16="http://schemas.microsoft.com/office/drawing/2014/main" id="{00000000-0008-0000-0000-000007000000}"/>
            </a:ext>
          </a:extLst>
        </xdr:cNvPr>
        <xdr:cNvSpPr/>
      </xdr:nvSpPr>
      <xdr:spPr>
        <a:xfrm>
          <a:off x="247650" y="3209925"/>
          <a:ext cx="5943600" cy="704850"/>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2800" baseline="0">
              <a:solidFill>
                <a:schemeClr val="tx1"/>
              </a:solidFill>
            </a:rPr>
            <a:t>INPUT DATA NILAI</a:t>
          </a:r>
        </a:p>
      </xdr:txBody>
    </xdr:sp>
    <xdr:clientData/>
  </xdr:twoCellAnchor>
  <xdr:twoCellAnchor>
    <xdr:from>
      <xdr:col>10</xdr:col>
      <xdr:colOff>600075</xdr:colOff>
      <xdr:row>1</xdr:row>
      <xdr:rowOff>38100</xdr:rowOff>
    </xdr:from>
    <xdr:to>
      <xdr:col>10</xdr:col>
      <xdr:colOff>971550</xdr:colOff>
      <xdr:row>1</xdr:row>
      <xdr:rowOff>409575</xdr:rowOff>
    </xdr:to>
    <xdr:sp macro="[0]!ShowSheets" textlink="">
      <xdr:nvSpPr>
        <xdr:cNvPr id="3" name="Oval 2">
          <a:extLst>
            <a:ext uri="{FF2B5EF4-FFF2-40B4-BE49-F238E27FC236}">
              <a16:creationId xmlns:a16="http://schemas.microsoft.com/office/drawing/2014/main" id="{00000000-0008-0000-0000-000003000000}"/>
            </a:ext>
          </a:extLst>
        </xdr:cNvPr>
        <xdr:cNvSpPr/>
      </xdr:nvSpPr>
      <xdr:spPr>
        <a:xfrm>
          <a:off x="5829300" y="161925"/>
          <a:ext cx="371475" cy="371475"/>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57150</xdr:colOff>
      <xdr:row>25</xdr:row>
      <xdr:rowOff>76200</xdr:rowOff>
    </xdr:from>
    <xdr:to>
      <xdr:col>10</xdr:col>
      <xdr:colOff>962025</xdr:colOff>
      <xdr:row>28</xdr:row>
      <xdr:rowOff>95250</xdr:rowOff>
    </xdr:to>
    <xdr:sp macro="[0]!RaportPTS" textlink="">
      <xdr:nvSpPr>
        <xdr:cNvPr id="8" name="Rectangle: Rounded Corners 7">
          <a:extLst>
            <a:ext uri="{FF2B5EF4-FFF2-40B4-BE49-F238E27FC236}">
              <a16:creationId xmlns:a16="http://schemas.microsoft.com/office/drawing/2014/main" id="{00000000-0008-0000-0000-000008000000}"/>
            </a:ext>
          </a:extLst>
        </xdr:cNvPr>
        <xdr:cNvSpPr/>
      </xdr:nvSpPr>
      <xdr:spPr>
        <a:xfrm>
          <a:off x="238125" y="5153025"/>
          <a:ext cx="5953125" cy="619125"/>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2800" baseline="0">
              <a:solidFill>
                <a:schemeClr val="tx1"/>
              </a:solidFill>
            </a:rPr>
            <a:t>BUKA RAPORT PTS</a:t>
          </a:r>
        </a:p>
      </xdr:txBody>
    </xdr:sp>
    <xdr:clientData/>
  </xdr:twoCellAnchor>
  <xdr:twoCellAnchor>
    <xdr:from>
      <xdr:col>1</xdr:col>
      <xdr:colOff>66675</xdr:colOff>
      <xdr:row>19</xdr:row>
      <xdr:rowOff>142875</xdr:rowOff>
    </xdr:from>
    <xdr:to>
      <xdr:col>10</xdr:col>
      <xdr:colOff>962025</xdr:colOff>
      <xdr:row>25</xdr:row>
      <xdr:rowOff>9525</xdr:rowOff>
    </xdr:to>
    <xdr:sp macro="[0]!BKnExtra" textlink="">
      <xdr:nvSpPr>
        <xdr:cNvPr id="9" name="Rectangle: Rounded Corners 8">
          <a:extLst>
            <a:ext uri="{FF2B5EF4-FFF2-40B4-BE49-F238E27FC236}">
              <a16:creationId xmlns:a16="http://schemas.microsoft.com/office/drawing/2014/main" id="{00000000-0008-0000-0000-000009000000}"/>
            </a:ext>
          </a:extLst>
        </xdr:cNvPr>
        <xdr:cNvSpPr/>
      </xdr:nvSpPr>
      <xdr:spPr>
        <a:xfrm>
          <a:off x="171450" y="4019550"/>
          <a:ext cx="5943600" cy="1066800"/>
        </a:xfrm>
        <a:prstGeom prst="round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2800" baseline="0">
              <a:solidFill>
                <a:schemeClr val="tx1"/>
              </a:solidFill>
            </a:rPr>
            <a:t>PENILAIAN BK, EKSTRAKURIKULER, PKL &amp; JUMLAH KETIDAKHADIRAN</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1323976</xdr:colOff>
      <xdr:row>0</xdr:row>
      <xdr:rowOff>114300</xdr:rowOff>
    </xdr:from>
    <xdr:to>
      <xdr:col>6</xdr:col>
      <xdr:colOff>2486026</xdr:colOff>
      <xdr:row>1</xdr:row>
      <xdr:rowOff>742950</xdr:rowOff>
    </xdr:to>
    <xdr:sp macro="[0]!Home" textlink="">
      <xdr:nvSpPr>
        <xdr:cNvPr id="2" name="Arrow: Left 1">
          <a:extLst>
            <a:ext uri="{FF2B5EF4-FFF2-40B4-BE49-F238E27FC236}">
              <a16:creationId xmlns:a16="http://schemas.microsoft.com/office/drawing/2014/main" id="{00000000-0008-0000-0100-000002000000}"/>
            </a:ext>
          </a:extLst>
        </xdr:cNvPr>
        <xdr:cNvSpPr/>
      </xdr:nvSpPr>
      <xdr:spPr>
        <a:xfrm>
          <a:off x="4886326" y="114300"/>
          <a:ext cx="1162050" cy="752475"/>
        </a:xfrm>
        <a:prstGeom prst="leftArrow">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800">
              <a:latin typeface="Times New Roman" panose="02020603050405020304" pitchFamily="18" charset="0"/>
              <a:cs typeface="Times New Roman" panose="02020603050405020304" pitchFamily="18" charset="0"/>
            </a:rPr>
            <a:t>HOME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323851</xdr:colOff>
      <xdr:row>1</xdr:row>
      <xdr:rowOff>9525</xdr:rowOff>
    </xdr:from>
    <xdr:to>
      <xdr:col>4</xdr:col>
      <xdr:colOff>1562101</xdr:colOff>
      <xdr:row>1</xdr:row>
      <xdr:rowOff>676275</xdr:rowOff>
    </xdr:to>
    <xdr:sp macro="[0]!Home" textlink="">
      <xdr:nvSpPr>
        <xdr:cNvPr id="2" name="Arrow: Left 1">
          <a:extLst>
            <a:ext uri="{FF2B5EF4-FFF2-40B4-BE49-F238E27FC236}">
              <a16:creationId xmlns:a16="http://schemas.microsoft.com/office/drawing/2014/main" id="{00000000-0008-0000-0200-000002000000}"/>
            </a:ext>
          </a:extLst>
        </xdr:cNvPr>
        <xdr:cNvSpPr/>
      </xdr:nvSpPr>
      <xdr:spPr>
        <a:xfrm>
          <a:off x="6381751" y="133350"/>
          <a:ext cx="1238250" cy="666750"/>
        </a:xfrm>
        <a:prstGeom prst="leftArrow">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800">
              <a:latin typeface="Times New Roman" panose="02020603050405020304" pitchFamily="18" charset="0"/>
              <a:cs typeface="Times New Roman" panose="02020603050405020304" pitchFamily="18" charset="0"/>
            </a:rPr>
            <a:t>HOME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191366</xdr:colOff>
      <xdr:row>1</xdr:row>
      <xdr:rowOff>71007</xdr:rowOff>
    </xdr:from>
    <xdr:to>
      <xdr:col>2</xdr:col>
      <xdr:colOff>1125682</xdr:colOff>
      <xdr:row>1</xdr:row>
      <xdr:rowOff>918731</xdr:rowOff>
    </xdr:to>
    <xdr:sp macro="[0]!Home" textlink="">
      <xdr:nvSpPr>
        <xdr:cNvPr id="2" name="Arrow: Left 1">
          <a:extLst>
            <a:ext uri="{FF2B5EF4-FFF2-40B4-BE49-F238E27FC236}">
              <a16:creationId xmlns:a16="http://schemas.microsoft.com/office/drawing/2014/main" id="{00000000-0008-0000-0300-000002000000}"/>
            </a:ext>
          </a:extLst>
        </xdr:cNvPr>
        <xdr:cNvSpPr/>
      </xdr:nvSpPr>
      <xdr:spPr>
        <a:xfrm>
          <a:off x="286616" y="166257"/>
          <a:ext cx="1362941" cy="847724"/>
        </a:xfrm>
        <a:prstGeom prst="leftArrow">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800">
              <a:latin typeface="Times New Roman" panose="02020603050405020304" pitchFamily="18" charset="0"/>
              <a:cs typeface="Times New Roman" panose="02020603050405020304" pitchFamily="18" charset="0"/>
            </a:rPr>
            <a:t>HOME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5</xdr:col>
      <xdr:colOff>2181225</xdr:colOff>
      <xdr:row>0</xdr:row>
      <xdr:rowOff>95250</xdr:rowOff>
    </xdr:from>
    <xdr:to>
      <xdr:col>6</xdr:col>
      <xdr:colOff>876300</xdr:colOff>
      <xdr:row>1</xdr:row>
      <xdr:rowOff>781050</xdr:rowOff>
    </xdr:to>
    <xdr:sp macro="[0]!Home" textlink="">
      <xdr:nvSpPr>
        <xdr:cNvPr id="2" name="Arrow: Left 1">
          <a:extLst>
            <a:ext uri="{FF2B5EF4-FFF2-40B4-BE49-F238E27FC236}">
              <a16:creationId xmlns:a16="http://schemas.microsoft.com/office/drawing/2014/main" id="{00000000-0008-0000-0400-000002000000}"/>
            </a:ext>
          </a:extLst>
        </xdr:cNvPr>
        <xdr:cNvSpPr/>
      </xdr:nvSpPr>
      <xdr:spPr>
        <a:xfrm>
          <a:off x="3886200" y="95250"/>
          <a:ext cx="1200150" cy="790575"/>
        </a:xfrm>
        <a:prstGeom prst="leftArrow">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800">
              <a:latin typeface="Times New Roman" panose="02020603050405020304" pitchFamily="18" charset="0"/>
              <a:cs typeface="Times New Roman" panose="02020603050405020304" pitchFamily="18" charset="0"/>
            </a:rPr>
            <a:t>HOME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191366</xdr:colOff>
      <xdr:row>1</xdr:row>
      <xdr:rowOff>71007</xdr:rowOff>
    </xdr:from>
    <xdr:to>
      <xdr:col>2</xdr:col>
      <xdr:colOff>1125682</xdr:colOff>
      <xdr:row>1</xdr:row>
      <xdr:rowOff>918731</xdr:rowOff>
    </xdr:to>
    <xdr:sp macro="[0]!Home" textlink="">
      <xdr:nvSpPr>
        <xdr:cNvPr id="3" name="Arrow: Left 2">
          <a:extLst>
            <a:ext uri="{FF2B5EF4-FFF2-40B4-BE49-F238E27FC236}">
              <a16:creationId xmlns:a16="http://schemas.microsoft.com/office/drawing/2014/main" id="{00000000-0008-0000-0500-000003000000}"/>
            </a:ext>
          </a:extLst>
        </xdr:cNvPr>
        <xdr:cNvSpPr/>
      </xdr:nvSpPr>
      <xdr:spPr>
        <a:xfrm>
          <a:off x="295275" y="174916"/>
          <a:ext cx="1367271" cy="847724"/>
        </a:xfrm>
        <a:prstGeom prst="leftArrow">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800">
              <a:latin typeface="Times New Roman" panose="02020603050405020304" pitchFamily="18" charset="0"/>
              <a:cs typeface="Times New Roman" panose="02020603050405020304" pitchFamily="18" charset="0"/>
            </a:rPr>
            <a:t>HOME</a:t>
          </a:r>
        </a:p>
      </xdr:txBody>
    </xdr:sp>
    <xdr:clientData/>
  </xdr:twoCellAnchor>
</xdr:wsDr>
</file>

<file path=xl/drawings/drawing7.xml><?xml version="1.0" encoding="utf-8"?>
<xdr:wsDr xmlns:xdr="http://schemas.openxmlformats.org/drawingml/2006/spreadsheetDrawing" xmlns:a="http://schemas.openxmlformats.org/drawingml/2006/main">
  <xdr:oneCellAnchor>
    <xdr:from>
      <xdr:col>1</xdr:col>
      <xdr:colOff>85725</xdr:colOff>
      <xdr:row>0</xdr:row>
      <xdr:rowOff>85726</xdr:rowOff>
    </xdr:from>
    <xdr:ext cx="1543050" cy="1531218"/>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190500" y="85726"/>
          <a:ext cx="1543050" cy="1531218"/>
        </a:xfrm>
        <a:prstGeom prst="rect">
          <a:avLst/>
        </a:prstGeom>
      </xdr:spPr>
    </xdr:pic>
    <xdr:clientData/>
  </xdr:oneCellAnchor>
  <xdr:twoCellAnchor editAs="oneCell">
    <xdr:from>
      <xdr:col>2</xdr:col>
      <xdr:colOff>263071</xdr:colOff>
      <xdr:row>47</xdr:row>
      <xdr:rowOff>54429</xdr:rowOff>
    </xdr:from>
    <xdr:to>
      <xdr:col>2</xdr:col>
      <xdr:colOff>263071</xdr:colOff>
      <xdr:row>50</xdr:row>
      <xdr:rowOff>3628</xdr:rowOff>
    </xdr:to>
    <xdr:pic>
      <xdr:nvPicPr>
        <xdr:cNvPr id="3" name="Picture 4">
          <a:extLst>
            <a:ext uri="{FF2B5EF4-FFF2-40B4-BE49-F238E27FC236}">
              <a16:creationId xmlns:a16="http://schemas.microsoft.com/office/drawing/2014/main" id="{00000000-0008-0000-0600-000003000000}"/>
            </a:ext>
          </a:extLst>
        </xdr:cNvPr>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9398454"/>
          <a:ext cx="0" cy="549274"/>
        </a:xfrm>
        <a:prstGeom prst="rect">
          <a:avLst/>
        </a:prstGeom>
        <a:noFill/>
        <a:ln>
          <a:noFill/>
        </a:ln>
      </xdr:spPr>
    </xdr:pic>
    <xdr:clientData/>
  </xdr:twoCellAnchor>
  <xdr:twoCellAnchor editAs="oneCell">
    <xdr:from>
      <xdr:col>1</xdr:col>
      <xdr:colOff>42863</xdr:colOff>
      <xdr:row>44</xdr:row>
      <xdr:rowOff>123825</xdr:rowOff>
    </xdr:from>
    <xdr:to>
      <xdr:col>1</xdr:col>
      <xdr:colOff>42863</xdr:colOff>
      <xdr:row>51</xdr:row>
      <xdr:rowOff>39119</xdr:rowOff>
    </xdr:to>
    <xdr:pic>
      <xdr:nvPicPr>
        <xdr:cNvPr id="4" name="Picture 6">
          <a:extLst>
            <a:ext uri="{FF2B5EF4-FFF2-40B4-BE49-F238E27FC236}">
              <a16:creationId xmlns:a16="http://schemas.microsoft.com/office/drawing/2014/main" id="{00000000-0008-0000-0600-000004000000}"/>
            </a:ext>
          </a:extLst>
        </xdr:cNvPr>
        <xdr:cNvPicPr>
          <a:picLocks/>
        </xdr:cNvPicPr>
      </xdr:nvPicPr>
      <xdr:blipFill>
        <a:blip xmlns:r="http://schemas.openxmlformats.org/officeDocument/2006/relationships" r:embed="rId3"/>
        <a:srcRect/>
        <a:stretch>
          <a:fillRect/>
        </a:stretch>
      </xdr:blipFill>
      <xdr:spPr bwMode="auto">
        <a:xfrm>
          <a:off x="147638" y="8858250"/>
          <a:ext cx="0" cy="1324994"/>
        </a:xfrm>
        <a:prstGeom prst="rect">
          <a:avLst/>
        </a:prstGeom>
        <a:noFill/>
        <a:ln w="9525">
          <a:noFill/>
          <a:miter lim="800000"/>
          <a:headEnd/>
          <a:tailEnd/>
        </a:ln>
      </xdr:spPr>
    </xdr:pic>
    <xdr:clientData/>
  </xdr:twoCellAnchor>
  <xdr:oneCellAnchor>
    <xdr:from>
      <xdr:col>1</xdr:col>
      <xdr:colOff>85725</xdr:colOff>
      <xdr:row>0</xdr:row>
      <xdr:rowOff>85726</xdr:rowOff>
    </xdr:from>
    <xdr:ext cx="1543050" cy="1531218"/>
    <xdr:pic>
      <xdr:nvPicPr>
        <xdr:cNvPr id="5" name="Picture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1"/>
        <a:stretch>
          <a:fillRect/>
        </a:stretch>
      </xdr:blipFill>
      <xdr:spPr>
        <a:xfrm>
          <a:off x="190500" y="85726"/>
          <a:ext cx="1543050" cy="1531218"/>
        </a:xfrm>
        <a:prstGeom prst="rect">
          <a:avLst/>
        </a:prstGeom>
      </xdr:spPr>
    </xdr:pic>
    <xdr:clientData/>
  </xdr:oneCellAnchor>
  <xdr:twoCellAnchor editAs="oneCell">
    <xdr:from>
      <xdr:col>1</xdr:col>
      <xdr:colOff>42863</xdr:colOff>
      <xdr:row>44</xdr:row>
      <xdr:rowOff>123825</xdr:rowOff>
    </xdr:from>
    <xdr:to>
      <xdr:col>1</xdr:col>
      <xdr:colOff>42863</xdr:colOff>
      <xdr:row>51</xdr:row>
      <xdr:rowOff>39119</xdr:rowOff>
    </xdr:to>
    <xdr:pic>
      <xdr:nvPicPr>
        <xdr:cNvPr id="6" name="Picture 6">
          <a:extLst>
            <a:ext uri="{FF2B5EF4-FFF2-40B4-BE49-F238E27FC236}">
              <a16:creationId xmlns:a16="http://schemas.microsoft.com/office/drawing/2014/main" id="{00000000-0008-0000-0600-000006000000}"/>
            </a:ext>
          </a:extLst>
        </xdr:cNvPr>
        <xdr:cNvPicPr>
          <a:picLocks/>
        </xdr:cNvPicPr>
      </xdr:nvPicPr>
      <xdr:blipFill>
        <a:blip xmlns:r="http://schemas.openxmlformats.org/officeDocument/2006/relationships" r:embed="rId3"/>
        <a:srcRect/>
        <a:stretch>
          <a:fillRect/>
        </a:stretch>
      </xdr:blipFill>
      <xdr:spPr bwMode="auto">
        <a:xfrm>
          <a:off x="147638" y="8858250"/>
          <a:ext cx="0" cy="1324994"/>
        </a:xfrm>
        <a:prstGeom prst="rect">
          <a:avLst/>
        </a:prstGeom>
        <a:noFill/>
        <a:ln w="9525">
          <a:noFill/>
          <a:miter lim="800000"/>
          <a:headEnd/>
          <a:tailEnd/>
        </a:ln>
      </xdr:spPr>
    </xdr:pic>
    <xdr:clientData/>
  </xdr:twoCellAnchor>
  <xdr:twoCellAnchor>
    <xdr:from>
      <xdr:col>13</xdr:col>
      <xdr:colOff>38100</xdr:colOff>
      <xdr:row>1</xdr:row>
      <xdr:rowOff>28575</xdr:rowOff>
    </xdr:from>
    <xdr:to>
      <xdr:col>15</xdr:col>
      <xdr:colOff>428625</xdr:colOff>
      <xdr:row>5</xdr:row>
      <xdr:rowOff>28575</xdr:rowOff>
    </xdr:to>
    <xdr:sp macro="[0]!Home" textlink="">
      <xdr:nvSpPr>
        <xdr:cNvPr id="7" name="Arrow: Left 6">
          <a:extLst>
            <a:ext uri="{FF2B5EF4-FFF2-40B4-BE49-F238E27FC236}">
              <a16:creationId xmlns:a16="http://schemas.microsoft.com/office/drawing/2014/main" id="{00000000-0008-0000-0600-000007000000}"/>
            </a:ext>
          </a:extLst>
        </xdr:cNvPr>
        <xdr:cNvSpPr/>
      </xdr:nvSpPr>
      <xdr:spPr>
        <a:xfrm>
          <a:off x="7543800" y="123825"/>
          <a:ext cx="1114425" cy="800100"/>
        </a:xfrm>
        <a:prstGeom prst="leftArrow">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800">
              <a:latin typeface="Times New Roman" panose="02020603050405020304" pitchFamily="18" charset="0"/>
              <a:cs typeface="Times New Roman" panose="02020603050405020304" pitchFamily="18" charset="0"/>
            </a:rPr>
            <a:t>HOME</a:t>
          </a:r>
        </a:p>
      </xdr:txBody>
    </xdr:sp>
    <xdr:clientData/>
  </xdr:twoCellAnchor>
  <xdr:twoCellAnchor editAs="oneCell">
    <xdr:from>
      <xdr:col>2</xdr:col>
      <xdr:colOff>262231</xdr:colOff>
      <xdr:row>47</xdr:row>
      <xdr:rowOff>27535</xdr:rowOff>
    </xdr:from>
    <xdr:to>
      <xdr:col>4</xdr:col>
      <xdr:colOff>1227431</xdr:colOff>
      <xdr:row>49</xdr:row>
      <xdr:rowOff>148184</xdr:rowOff>
    </xdr:to>
    <xdr:pic>
      <xdr:nvPicPr>
        <xdr:cNvPr id="8" name="Picture 4">
          <a:extLst>
            <a:ext uri="{FF2B5EF4-FFF2-40B4-BE49-F238E27FC236}">
              <a16:creationId xmlns:a16="http://schemas.microsoft.com/office/drawing/2014/main" id="{00000000-0008-0000-0600-000008000000}"/>
            </a:ext>
          </a:extLst>
        </xdr:cNvPr>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4181" y="9371560"/>
          <a:ext cx="2155825" cy="520699"/>
        </a:xfrm>
        <a:prstGeom prst="rect">
          <a:avLst/>
        </a:prstGeom>
        <a:noFill/>
        <a:ln>
          <a:noFill/>
        </a:ln>
      </xdr:spPr>
    </xdr:pic>
    <xdr:clientData/>
  </xdr:twoCellAnchor>
  <xdr:twoCellAnchor editAs="oneCell">
    <xdr:from>
      <xdr:col>1</xdr:col>
      <xdr:colOff>124385</xdr:colOff>
      <xdr:row>45</xdr:row>
      <xdr:rowOff>87967</xdr:rowOff>
    </xdr:from>
    <xdr:to>
      <xdr:col>3</xdr:col>
      <xdr:colOff>17827</xdr:colOff>
      <xdr:row>51</xdr:row>
      <xdr:rowOff>136611</xdr:rowOff>
    </xdr:to>
    <xdr:pic>
      <xdr:nvPicPr>
        <xdr:cNvPr id="9" name="Picture 6">
          <a:extLst>
            <a:ext uri="{FF2B5EF4-FFF2-40B4-BE49-F238E27FC236}">
              <a16:creationId xmlns:a16="http://schemas.microsoft.com/office/drawing/2014/main" id="{00000000-0008-0000-0600-000009000000}"/>
            </a:ext>
          </a:extLst>
        </xdr:cNvPr>
        <xdr:cNvPicPr>
          <a:picLocks/>
        </xdr:cNvPicPr>
      </xdr:nvPicPr>
      <xdr:blipFill>
        <a:blip xmlns:r="http://schemas.openxmlformats.org/officeDocument/2006/relationships" r:embed="rId3"/>
        <a:srcRect/>
        <a:stretch>
          <a:fillRect/>
        </a:stretch>
      </xdr:blipFill>
      <xdr:spPr bwMode="auto">
        <a:xfrm>
          <a:off x="229160" y="9022417"/>
          <a:ext cx="1265042" cy="1258319"/>
        </a:xfrm>
        <a:prstGeom prst="rect">
          <a:avLst/>
        </a:prstGeom>
        <a:noFill/>
        <a:ln w="9525">
          <a:noFill/>
          <a:miter lim="800000"/>
          <a:headEnd/>
          <a:tailEnd/>
        </a:ln>
      </xdr:spPr>
    </xdr:pic>
    <xdr:clientData/>
  </xdr:twoCellAnchor>
  <xdr:twoCellAnchor>
    <xdr:from>
      <xdr:col>14</xdr:col>
      <xdr:colOff>161925</xdr:colOff>
      <xdr:row>14</xdr:row>
      <xdr:rowOff>161925</xdr:rowOff>
    </xdr:from>
    <xdr:to>
      <xdr:col>15</xdr:col>
      <xdr:colOff>523875</xdr:colOff>
      <xdr:row>17</xdr:row>
      <xdr:rowOff>47625</xdr:rowOff>
    </xdr:to>
    <xdr:sp macro="[0]!Cetak" textlink="">
      <xdr:nvSpPr>
        <xdr:cNvPr id="11" name="Rectangle: Single Corner Snipped 10">
          <a:extLst>
            <a:ext uri="{FF2B5EF4-FFF2-40B4-BE49-F238E27FC236}">
              <a16:creationId xmlns:a16="http://schemas.microsoft.com/office/drawing/2014/main" id="{00000000-0008-0000-0600-00000B000000}"/>
            </a:ext>
          </a:extLst>
        </xdr:cNvPr>
        <xdr:cNvSpPr/>
      </xdr:nvSpPr>
      <xdr:spPr>
        <a:xfrm>
          <a:off x="7781925" y="2647950"/>
          <a:ext cx="971550" cy="476250"/>
        </a:xfrm>
        <a:prstGeom prst="snip1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600" b="1">
              <a:solidFill>
                <a:schemeClr val="tx1"/>
              </a:solidFill>
              <a:latin typeface="Times New Roman" panose="02020603050405020304" pitchFamily="18" charset="0"/>
              <a:cs typeface="Times New Roman" panose="02020603050405020304" pitchFamily="18" charset="0"/>
            </a:rPr>
            <a:t>CETAK</a:t>
          </a:r>
        </a:p>
      </xdr:txBody>
    </xdr:sp>
    <xdr:clientData/>
  </xdr:twoCellAnchor>
  <xdr:twoCellAnchor>
    <xdr:from>
      <xdr:col>16</xdr:col>
      <xdr:colOff>95250</xdr:colOff>
      <xdr:row>14</xdr:row>
      <xdr:rowOff>161925</xdr:rowOff>
    </xdr:from>
    <xdr:to>
      <xdr:col>17</xdr:col>
      <xdr:colOff>974910</xdr:colOff>
      <xdr:row>17</xdr:row>
      <xdr:rowOff>33618</xdr:rowOff>
    </xdr:to>
    <xdr:sp macro="[0]!PDF" textlink="">
      <xdr:nvSpPr>
        <xdr:cNvPr id="12" name="Rectangle: Single Corner Snipped 11">
          <a:extLst>
            <a:ext uri="{FF2B5EF4-FFF2-40B4-BE49-F238E27FC236}">
              <a16:creationId xmlns:a16="http://schemas.microsoft.com/office/drawing/2014/main" id="{00000000-0008-0000-0600-00000C000000}"/>
            </a:ext>
          </a:extLst>
        </xdr:cNvPr>
        <xdr:cNvSpPr/>
      </xdr:nvSpPr>
      <xdr:spPr>
        <a:xfrm>
          <a:off x="8934450" y="2647950"/>
          <a:ext cx="1041585" cy="462243"/>
        </a:xfrm>
        <a:prstGeom prst="snip1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600" b="1">
              <a:solidFill>
                <a:schemeClr val="tx1"/>
              </a:solidFill>
              <a:latin typeface="Times New Roman" panose="02020603050405020304" pitchFamily="18" charset="0"/>
              <a:cs typeface="Times New Roman" panose="02020603050405020304" pitchFamily="18" charset="0"/>
            </a:rPr>
            <a:t>PDF</a:t>
          </a:r>
        </a:p>
      </xdr:txBody>
    </xdr:sp>
    <xdr:clientData/>
  </xdr:twoCellAnchor>
  <xdr:twoCellAnchor>
    <xdr:from>
      <xdr:col>15</xdr:col>
      <xdr:colOff>66675</xdr:colOff>
      <xdr:row>17</xdr:row>
      <xdr:rowOff>228600</xdr:rowOff>
    </xdr:from>
    <xdr:to>
      <xdr:col>17</xdr:col>
      <xdr:colOff>200025</xdr:colOff>
      <xdr:row>20</xdr:row>
      <xdr:rowOff>66675</xdr:rowOff>
    </xdr:to>
    <xdr:sp macro="[0]!_xludf.SAVE" textlink="">
      <xdr:nvSpPr>
        <xdr:cNvPr id="13" name="Rectangle: Top Corners Snipped 12">
          <a:extLst>
            <a:ext uri="{FF2B5EF4-FFF2-40B4-BE49-F238E27FC236}">
              <a16:creationId xmlns:a16="http://schemas.microsoft.com/office/drawing/2014/main" id="{00000000-0008-0000-0600-00000D000000}"/>
            </a:ext>
          </a:extLst>
        </xdr:cNvPr>
        <xdr:cNvSpPr/>
      </xdr:nvSpPr>
      <xdr:spPr>
        <a:xfrm>
          <a:off x="8296275" y="3305175"/>
          <a:ext cx="904875" cy="638175"/>
        </a:xfrm>
        <a:prstGeom prst="snip2Same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ctr"/>
          <a:r>
            <a:rPr lang="en-US" sz="1200" b="1">
              <a:solidFill>
                <a:schemeClr val="tx1"/>
              </a:solidFill>
              <a:latin typeface="Times New Roman" panose="02020603050405020304" pitchFamily="18" charset="0"/>
              <a:cs typeface="Times New Roman" panose="02020603050405020304" pitchFamily="18" charset="0"/>
            </a:rPr>
            <a:t>SIMPAN DOKUMEN</a:t>
          </a:r>
        </a:p>
      </xdr:txBody>
    </xdr:sp>
    <xdr:clientData/>
  </xdr:twoCellAnchor>
  <mc:AlternateContent xmlns:mc="http://schemas.openxmlformats.org/markup-compatibility/2006">
    <mc:Choice xmlns:a14="http://schemas.microsoft.com/office/drawing/2010/main" Requires="a14">
      <xdr:twoCellAnchor>
        <xdr:from>
          <xdr:col>14</xdr:col>
          <xdr:colOff>28575</xdr:colOff>
          <xdr:row>8</xdr:row>
          <xdr:rowOff>0</xdr:rowOff>
        </xdr:from>
        <xdr:to>
          <xdr:col>14</xdr:col>
          <xdr:colOff>466725</xdr:colOff>
          <xdr:row>14</xdr:row>
          <xdr:rowOff>19050</xdr:rowOff>
        </xdr:to>
        <xdr:sp macro="" textlink="">
          <xdr:nvSpPr>
            <xdr:cNvPr id="28673" name="Spinner 1" hidden="1">
              <a:extLst>
                <a:ext uri="{63B3BB69-23CF-44E3-9099-C40C66FF867C}">
                  <a14:compatExt spid="_x0000_s28673"/>
                </a:ext>
                <a:ext uri="{FF2B5EF4-FFF2-40B4-BE49-F238E27FC236}">
                  <a16:creationId xmlns:a16="http://schemas.microsoft.com/office/drawing/2014/main" id="{00000000-0008-0000-0600-0000017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oneCellAnchor>
    <xdr:from>
      <xdr:col>1</xdr:col>
      <xdr:colOff>85725</xdr:colOff>
      <xdr:row>0</xdr:row>
      <xdr:rowOff>85726</xdr:rowOff>
    </xdr:from>
    <xdr:ext cx="1543050" cy="1531218"/>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190500" y="85726"/>
          <a:ext cx="1543050" cy="1531218"/>
        </a:xfrm>
        <a:prstGeom prst="rect">
          <a:avLst/>
        </a:prstGeom>
      </xdr:spPr>
    </xdr:pic>
    <xdr:clientData/>
  </xdr:oneCellAnchor>
  <xdr:twoCellAnchor editAs="oneCell">
    <xdr:from>
      <xdr:col>2</xdr:col>
      <xdr:colOff>263071</xdr:colOff>
      <xdr:row>64</xdr:row>
      <xdr:rowOff>54429</xdr:rowOff>
    </xdr:from>
    <xdr:to>
      <xdr:col>2</xdr:col>
      <xdr:colOff>263071</xdr:colOff>
      <xdr:row>67</xdr:row>
      <xdr:rowOff>3628</xdr:rowOff>
    </xdr:to>
    <xdr:pic>
      <xdr:nvPicPr>
        <xdr:cNvPr id="3" name="Picture 4">
          <a:extLst>
            <a:ext uri="{FF2B5EF4-FFF2-40B4-BE49-F238E27FC236}">
              <a16:creationId xmlns:a16="http://schemas.microsoft.com/office/drawing/2014/main" id="{00000000-0008-0000-0700-000003000000}"/>
            </a:ext>
          </a:extLst>
        </xdr:cNvPr>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9274629"/>
          <a:ext cx="2155825" cy="520700"/>
        </a:xfrm>
        <a:prstGeom prst="rect">
          <a:avLst/>
        </a:prstGeom>
        <a:noFill/>
        <a:ln>
          <a:noFill/>
        </a:ln>
      </xdr:spPr>
    </xdr:pic>
    <xdr:clientData/>
  </xdr:twoCellAnchor>
  <xdr:oneCellAnchor>
    <xdr:from>
      <xdr:col>1</xdr:col>
      <xdr:colOff>85725</xdr:colOff>
      <xdr:row>0</xdr:row>
      <xdr:rowOff>85726</xdr:rowOff>
    </xdr:from>
    <xdr:ext cx="1543050" cy="1531218"/>
    <xdr:pic>
      <xdr:nvPicPr>
        <xdr:cNvPr id="6" name="Picture 5">
          <a:extLst>
            <a:ext uri="{FF2B5EF4-FFF2-40B4-BE49-F238E27FC236}">
              <a16:creationId xmlns:a16="http://schemas.microsoft.com/office/drawing/2014/main" id="{00000000-0008-0000-0700-000006000000}"/>
            </a:ext>
          </a:extLst>
        </xdr:cNvPr>
        <xdr:cNvPicPr>
          <a:picLocks noChangeAspect="1"/>
        </xdr:cNvPicPr>
      </xdr:nvPicPr>
      <xdr:blipFill>
        <a:blip xmlns:r="http://schemas.openxmlformats.org/officeDocument/2006/relationships" r:embed="rId1"/>
        <a:stretch>
          <a:fillRect/>
        </a:stretch>
      </xdr:blipFill>
      <xdr:spPr>
        <a:xfrm>
          <a:off x="190500" y="85726"/>
          <a:ext cx="1543050" cy="1531218"/>
        </a:xfrm>
        <a:prstGeom prst="rect">
          <a:avLst/>
        </a:prstGeom>
      </xdr:spPr>
    </xdr:pic>
    <xdr:clientData/>
  </xdr:oneCellAnchor>
  <xdr:twoCellAnchor>
    <xdr:from>
      <xdr:col>13</xdr:col>
      <xdr:colOff>38100</xdr:colOff>
      <xdr:row>1</xdr:row>
      <xdr:rowOff>28575</xdr:rowOff>
    </xdr:from>
    <xdr:to>
      <xdr:col>15</xdr:col>
      <xdr:colOff>428625</xdr:colOff>
      <xdr:row>5</xdr:row>
      <xdr:rowOff>28575</xdr:rowOff>
    </xdr:to>
    <xdr:sp macro="[0]!Home" textlink="">
      <xdr:nvSpPr>
        <xdr:cNvPr id="9" name="Arrow: Left 8">
          <a:extLst>
            <a:ext uri="{FF2B5EF4-FFF2-40B4-BE49-F238E27FC236}">
              <a16:creationId xmlns:a16="http://schemas.microsoft.com/office/drawing/2014/main" id="{00000000-0008-0000-0700-000009000000}"/>
            </a:ext>
          </a:extLst>
        </xdr:cNvPr>
        <xdr:cNvSpPr/>
      </xdr:nvSpPr>
      <xdr:spPr>
        <a:xfrm>
          <a:off x="7829550" y="123825"/>
          <a:ext cx="1114425" cy="800100"/>
        </a:xfrm>
        <a:prstGeom prst="leftArrow">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800">
              <a:latin typeface="Times New Roman" panose="02020603050405020304" pitchFamily="18" charset="0"/>
              <a:cs typeface="Times New Roman" panose="02020603050405020304" pitchFamily="18" charset="0"/>
            </a:rPr>
            <a:t>HOME</a:t>
          </a:r>
        </a:p>
      </xdr:txBody>
    </xdr:sp>
    <xdr:clientData/>
  </xdr:twoCellAnchor>
  <xdr:twoCellAnchor>
    <xdr:from>
      <xdr:col>14</xdr:col>
      <xdr:colOff>161925</xdr:colOff>
      <xdr:row>14</xdr:row>
      <xdr:rowOff>161925</xdr:rowOff>
    </xdr:from>
    <xdr:to>
      <xdr:col>15</xdr:col>
      <xdr:colOff>523875</xdr:colOff>
      <xdr:row>18</xdr:row>
      <xdr:rowOff>47625</xdr:rowOff>
    </xdr:to>
    <xdr:sp macro="[0]!Cetak" textlink="">
      <xdr:nvSpPr>
        <xdr:cNvPr id="5" name="Rectangle: Single Corner Snipped 4">
          <a:extLst>
            <a:ext uri="{FF2B5EF4-FFF2-40B4-BE49-F238E27FC236}">
              <a16:creationId xmlns:a16="http://schemas.microsoft.com/office/drawing/2014/main" id="{00000000-0008-0000-0700-000005000000}"/>
            </a:ext>
          </a:extLst>
        </xdr:cNvPr>
        <xdr:cNvSpPr/>
      </xdr:nvSpPr>
      <xdr:spPr>
        <a:xfrm>
          <a:off x="8067675" y="2657475"/>
          <a:ext cx="971550" cy="476250"/>
        </a:xfrm>
        <a:prstGeom prst="snip1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600" b="1">
              <a:solidFill>
                <a:schemeClr val="tx1"/>
              </a:solidFill>
              <a:latin typeface="Times New Roman" panose="02020603050405020304" pitchFamily="18" charset="0"/>
              <a:cs typeface="Times New Roman" panose="02020603050405020304" pitchFamily="18" charset="0"/>
            </a:rPr>
            <a:t>CETAK</a:t>
          </a:r>
        </a:p>
      </xdr:txBody>
    </xdr:sp>
    <xdr:clientData/>
  </xdr:twoCellAnchor>
  <xdr:twoCellAnchor>
    <xdr:from>
      <xdr:col>16</xdr:col>
      <xdr:colOff>95250</xdr:colOff>
      <xdr:row>14</xdr:row>
      <xdr:rowOff>161925</xdr:rowOff>
    </xdr:from>
    <xdr:to>
      <xdr:col>17</xdr:col>
      <xdr:colOff>974910</xdr:colOff>
      <xdr:row>18</xdr:row>
      <xdr:rowOff>33618</xdr:rowOff>
    </xdr:to>
    <xdr:sp macro="[0]!PDF" textlink="">
      <xdr:nvSpPr>
        <xdr:cNvPr id="12" name="Rectangle: Single Corner Snipped 11">
          <a:extLst>
            <a:ext uri="{FF2B5EF4-FFF2-40B4-BE49-F238E27FC236}">
              <a16:creationId xmlns:a16="http://schemas.microsoft.com/office/drawing/2014/main" id="{00000000-0008-0000-0700-00000C000000}"/>
            </a:ext>
          </a:extLst>
        </xdr:cNvPr>
        <xdr:cNvSpPr/>
      </xdr:nvSpPr>
      <xdr:spPr>
        <a:xfrm>
          <a:off x="8925485" y="2672043"/>
          <a:ext cx="1036543" cy="465604"/>
        </a:xfrm>
        <a:prstGeom prst="snip1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600" b="1">
              <a:solidFill>
                <a:schemeClr val="tx1"/>
              </a:solidFill>
              <a:latin typeface="Times New Roman" panose="02020603050405020304" pitchFamily="18" charset="0"/>
              <a:cs typeface="Times New Roman" panose="02020603050405020304" pitchFamily="18" charset="0"/>
            </a:rPr>
            <a:t>PDF</a:t>
          </a:r>
        </a:p>
      </xdr:txBody>
    </xdr:sp>
    <xdr:clientData/>
  </xdr:twoCellAnchor>
  <xdr:twoCellAnchor>
    <xdr:from>
      <xdr:col>15</xdr:col>
      <xdr:colOff>66675</xdr:colOff>
      <xdr:row>18</xdr:row>
      <xdr:rowOff>228600</xdr:rowOff>
    </xdr:from>
    <xdr:to>
      <xdr:col>17</xdr:col>
      <xdr:colOff>200025</xdr:colOff>
      <xdr:row>21</xdr:row>
      <xdr:rowOff>66675</xdr:rowOff>
    </xdr:to>
    <xdr:sp macro="[0]!_xludf.SAVE" textlink="">
      <xdr:nvSpPr>
        <xdr:cNvPr id="13" name="Rectangle: Top Corners Snipped 12">
          <a:extLst>
            <a:ext uri="{FF2B5EF4-FFF2-40B4-BE49-F238E27FC236}">
              <a16:creationId xmlns:a16="http://schemas.microsoft.com/office/drawing/2014/main" id="{00000000-0008-0000-0700-00000D000000}"/>
            </a:ext>
          </a:extLst>
        </xdr:cNvPr>
        <xdr:cNvSpPr/>
      </xdr:nvSpPr>
      <xdr:spPr>
        <a:xfrm>
          <a:off x="8582025" y="3314700"/>
          <a:ext cx="1133475" cy="638175"/>
        </a:xfrm>
        <a:prstGeom prst="snip2Same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ctr"/>
          <a:r>
            <a:rPr lang="en-US" sz="1200" b="1">
              <a:solidFill>
                <a:schemeClr val="tx1"/>
              </a:solidFill>
              <a:latin typeface="Times New Roman" panose="02020603050405020304" pitchFamily="18" charset="0"/>
              <a:cs typeface="Times New Roman" panose="02020603050405020304" pitchFamily="18" charset="0"/>
            </a:rPr>
            <a:t>SIMPAN DOKUMEN</a:t>
          </a:r>
        </a:p>
      </xdr:txBody>
    </xdr:sp>
    <xdr:clientData/>
  </xdr:twoCellAnchor>
  <mc:AlternateContent xmlns:mc="http://schemas.openxmlformats.org/markup-compatibility/2006">
    <mc:Choice xmlns:a14="http://schemas.microsoft.com/office/drawing/2010/main" Requires="a14">
      <xdr:twoCellAnchor>
        <xdr:from>
          <xdr:col>14</xdr:col>
          <xdr:colOff>28575</xdr:colOff>
          <xdr:row>8</xdr:row>
          <xdr:rowOff>0</xdr:rowOff>
        </xdr:from>
        <xdr:to>
          <xdr:col>14</xdr:col>
          <xdr:colOff>466725</xdr:colOff>
          <xdr:row>14</xdr:row>
          <xdr:rowOff>19050</xdr:rowOff>
        </xdr:to>
        <xdr:sp macro="" textlink="">
          <xdr:nvSpPr>
            <xdr:cNvPr id="16385" name="Spinner 1" hidden="1">
              <a:extLst>
                <a:ext uri="{63B3BB69-23CF-44E3-9099-C40C66FF867C}">
                  <a14:compatExt spid="_x0000_s16385"/>
                </a:ext>
                <a:ext uri="{FF2B5EF4-FFF2-40B4-BE49-F238E27FC236}">
                  <a16:creationId xmlns:a16="http://schemas.microsoft.com/office/drawing/2014/main" id="{00000000-0008-0000-0700-0000014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oneCellAnchor>
    <xdr:from>
      <xdr:col>1</xdr:col>
      <xdr:colOff>85725</xdr:colOff>
      <xdr:row>0</xdr:row>
      <xdr:rowOff>85726</xdr:rowOff>
    </xdr:from>
    <xdr:ext cx="1543050" cy="1531218"/>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190500" y="85726"/>
          <a:ext cx="1543050" cy="1531218"/>
        </a:xfrm>
        <a:prstGeom prst="rect">
          <a:avLst/>
        </a:prstGeom>
      </xdr:spPr>
    </xdr:pic>
    <xdr:clientData/>
  </xdr:oneCellAnchor>
  <xdr:twoCellAnchor editAs="oneCell">
    <xdr:from>
      <xdr:col>2</xdr:col>
      <xdr:colOff>263071</xdr:colOff>
      <xdr:row>39</xdr:row>
      <xdr:rowOff>54429</xdr:rowOff>
    </xdr:from>
    <xdr:to>
      <xdr:col>2</xdr:col>
      <xdr:colOff>263071</xdr:colOff>
      <xdr:row>42</xdr:row>
      <xdr:rowOff>3629</xdr:rowOff>
    </xdr:to>
    <xdr:pic>
      <xdr:nvPicPr>
        <xdr:cNvPr id="3" name="Picture 4">
          <a:extLst>
            <a:ext uri="{FF2B5EF4-FFF2-40B4-BE49-F238E27FC236}">
              <a16:creationId xmlns:a16="http://schemas.microsoft.com/office/drawing/2014/main" id="{00000000-0008-0000-0800-000003000000}"/>
            </a:ext>
          </a:extLst>
        </xdr:cNvPr>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12913179"/>
          <a:ext cx="0" cy="549274"/>
        </a:xfrm>
        <a:prstGeom prst="rect">
          <a:avLst/>
        </a:prstGeom>
        <a:noFill/>
        <a:ln>
          <a:noFill/>
        </a:ln>
      </xdr:spPr>
    </xdr:pic>
    <xdr:clientData/>
  </xdr:twoCellAnchor>
  <xdr:oneCellAnchor>
    <xdr:from>
      <xdr:col>1</xdr:col>
      <xdr:colOff>85725</xdr:colOff>
      <xdr:row>0</xdr:row>
      <xdr:rowOff>85726</xdr:rowOff>
    </xdr:from>
    <xdr:ext cx="1543050" cy="1531218"/>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stretch>
          <a:fillRect/>
        </a:stretch>
      </xdr:blipFill>
      <xdr:spPr>
        <a:xfrm>
          <a:off x="190500" y="85726"/>
          <a:ext cx="1543050" cy="1531218"/>
        </a:xfrm>
        <a:prstGeom prst="rect">
          <a:avLst/>
        </a:prstGeom>
      </xdr:spPr>
    </xdr:pic>
    <xdr:clientData/>
  </xdr:oneCellAnchor>
  <xdr:twoCellAnchor>
    <xdr:from>
      <xdr:col>13</xdr:col>
      <xdr:colOff>38100</xdr:colOff>
      <xdr:row>1</xdr:row>
      <xdr:rowOff>28575</xdr:rowOff>
    </xdr:from>
    <xdr:to>
      <xdr:col>15</xdr:col>
      <xdr:colOff>428625</xdr:colOff>
      <xdr:row>5</xdr:row>
      <xdr:rowOff>28575</xdr:rowOff>
    </xdr:to>
    <xdr:sp macro="[0]!Home" textlink="">
      <xdr:nvSpPr>
        <xdr:cNvPr id="5" name="Arrow: Left 4">
          <a:extLst>
            <a:ext uri="{FF2B5EF4-FFF2-40B4-BE49-F238E27FC236}">
              <a16:creationId xmlns:a16="http://schemas.microsoft.com/office/drawing/2014/main" id="{00000000-0008-0000-0800-000005000000}"/>
            </a:ext>
          </a:extLst>
        </xdr:cNvPr>
        <xdr:cNvSpPr/>
      </xdr:nvSpPr>
      <xdr:spPr>
        <a:xfrm>
          <a:off x="7543800" y="123825"/>
          <a:ext cx="1114425" cy="800100"/>
        </a:xfrm>
        <a:prstGeom prst="leftArrow">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800">
              <a:latin typeface="Times New Roman" panose="02020603050405020304" pitchFamily="18" charset="0"/>
              <a:cs typeface="Times New Roman" panose="02020603050405020304" pitchFamily="18" charset="0"/>
            </a:rPr>
            <a:t>HOME</a:t>
          </a:r>
        </a:p>
      </xdr:txBody>
    </xdr:sp>
    <xdr:clientData/>
  </xdr:twoCellAnchor>
  <xdr:twoCellAnchor>
    <xdr:from>
      <xdr:col>14</xdr:col>
      <xdr:colOff>161925</xdr:colOff>
      <xdr:row>14</xdr:row>
      <xdr:rowOff>161925</xdr:rowOff>
    </xdr:from>
    <xdr:to>
      <xdr:col>15</xdr:col>
      <xdr:colOff>523875</xdr:colOff>
      <xdr:row>18</xdr:row>
      <xdr:rowOff>0</xdr:rowOff>
    </xdr:to>
    <xdr:sp macro="[0]!Cetak" textlink="">
      <xdr:nvSpPr>
        <xdr:cNvPr id="7" name="Rectangle: Single Corner Snipped 6">
          <a:extLst>
            <a:ext uri="{FF2B5EF4-FFF2-40B4-BE49-F238E27FC236}">
              <a16:creationId xmlns:a16="http://schemas.microsoft.com/office/drawing/2014/main" id="{00000000-0008-0000-0800-000007000000}"/>
            </a:ext>
          </a:extLst>
        </xdr:cNvPr>
        <xdr:cNvSpPr/>
      </xdr:nvSpPr>
      <xdr:spPr>
        <a:xfrm>
          <a:off x="7781925" y="2647950"/>
          <a:ext cx="971550" cy="666750"/>
        </a:xfrm>
        <a:prstGeom prst="snip1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600" b="1">
              <a:solidFill>
                <a:schemeClr val="tx1"/>
              </a:solidFill>
              <a:latin typeface="Times New Roman" panose="02020603050405020304" pitchFamily="18" charset="0"/>
              <a:cs typeface="Times New Roman" panose="02020603050405020304" pitchFamily="18" charset="0"/>
            </a:rPr>
            <a:t>CETAK</a:t>
          </a:r>
        </a:p>
      </xdr:txBody>
    </xdr:sp>
    <xdr:clientData/>
  </xdr:twoCellAnchor>
  <xdr:twoCellAnchor>
    <xdr:from>
      <xdr:col>16</xdr:col>
      <xdr:colOff>95250</xdr:colOff>
      <xdr:row>14</xdr:row>
      <xdr:rowOff>161925</xdr:rowOff>
    </xdr:from>
    <xdr:to>
      <xdr:col>17</xdr:col>
      <xdr:colOff>974910</xdr:colOff>
      <xdr:row>18</xdr:row>
      <xdr:rowOff>0</xdr:rowOff>
    </xdr:to>
    <xdr:sp macro="[0]!PDF" textlink="">
      <xdr:nvSpPr>
        <xdr:cNvPr id="8" name="Rectangle: Single Corner Snipped 7">
          <a:extLst>
            <a:ext uri="{FF2B5EF4-FFF2-40B4-BE49-F238E27FC236}">
              <a16:creationId xmlns:a16="http://schemas.microsoft.com/office/drawing/2014/main" id="{00000000-0008-0000-0800-000008000000}"/>
            </a:ext>
          </a:extLst>
        </xdr:cNvPr>
        <xdr:cNvSpPr/>
      </xdr:nvSpPr>
      <xdr:spPr>
        <a:xfrm>
          <a:off x="8934450" y="2647950"/>
          <a:ext cx="1041585" cy="652743"/>
        </a:xfrm>
        <a:prstGeom prst="snip1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600" b="1">
              <a:solidFill>
                <a:schemeClr val="tx1"/>
              </a:solidFill>
              <a:latin typeface="Times New Roman" panose="02020603050405020304" pitchFamily="18" charset="0"/>
              <a:cs typeface="Times New Roman" panose="02020603050405020304" pitchFamily="18" charset="0"/>
            </a:rPr>
            <a:t>PDF</a:t>
          </a:r>
        </a:p>
      </xdr:txBody>
    </xdr:sp>
    <xdr:clientData/>
  </xdr:twoCellAnchor>
  <xdr:twoCellAnchor>
    <xdr:from>
      <xdr:col>15</xdr:col>
      <xdr:colOff>178734</xdr:colOff>
      <xdr:row>18</xdr:row>
      <xdr:rowOff>201706</xdr:rowOff>
    </xdr:from>
    <xdr:to>
      <xdr:col>17</xdr:col>
      <xdr:colOff>312084</xdr:colOff>
      <xdr:row>19</xdr:row>
      <xdr:rowOff>268381</xdr:rowOff>
    </xdr:to>
    <xdr:sp macro="[0]!_xludf.SAVE" textlink="">
      <xdr:nvSpPr>
        <xdr:cNvPr id="9" name="Rectangle: Top Corners Snipped 8">
          <a:extLst>
            <a:ext uri="{FF2B5EF4-FFF2-40B4-BE49-F238E27FC236}">
              <a16:creationId xmlns:a16="http://schemas.microsoft.com/office/drawing/2014/main" id="{00000000-0008-0000-0800-000009000000}"/>
            </a:ext>
          </a:extLst>
        </xdr:cNvPr>
        <xdr:cNvSpPr/>
      </xdr:nvSpPr>
      <xdr:spPr>
        <a:xfrm>
          <a:off x="8459881" y="3507441"/>
          <a:ext cx="895350" cy="548528"/>
        </a:xfrm>
        <a:prstGeom prst="snip2Same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ctr"/>
          <a:r>
            <a:rPr lang="en-US" sz="1200" b="1">
              <a:solidFill>
                <a:schemeClr val="tx1"/>
              </a:solidFill>
              <a:latin typeface="Times New Roman" panose="02020603050405020304" pitchFamily="18" charset="0"/>
              <a:cs typeface="Times New Roman" panose="02020603050405020304" pitchFamily="18" charset="0"/>
            </a:rPr>
            <a:t>SIMPAN DOKUMEN</a:t>
          </a:r>
        </a:p>
      </xdr:txBody>
    </xdr:sp>
    <xdr:clientData/>
  </xdr:twoCellAnchor>
  <mc:AlternateContent xmlns:mc="http://schemas.openxmlformats.org/markup-compatibility/2006">
    <mc:Choice xmlns:a14="http://schemas.microsoft.com/office/drawing/2010/main" Requires="a14">
      <xdr:twoCellAnchor>
        <xdr:from>
          <xdr:col>14</xdr:col>
          <xdr:colOff>28575</xdr:colOff>
          <xdr:row>8</xdr:row>
          <xdr:rowOff>0</xdr:rowOff>
        </xdr:from>
        <xdr:to>
          <xdr:col>14</xdr:col>
          <xdr:colOff>466725</xdr:colOff>
          <xdr:row>14</xdr:row>
          <xdr:rowOff>19050</xdr:rowOff>
        </xdr:to>
        <xdr:sp macro="" textlink="">
          <xdr:nvSpPr>
            <xdr:cNvPr id="52225" name="Spinner 1" hidden="1">
              <a:extLst>
                <a:ext uri="{63B3BB69-23CF-44E3-9099-C40C66FF867C}">
                  <a14:compatExt spid="_x0000_s52225"/>
                </a:ext>
                <a:ext uri="{FF2B5EF4-FFF2-40B4-BE49-F238E27FC236}">
                  <a16:creationId xmlns:a16="http://schemas.microsoft.com/office/drawing/2014/main" id="{00000000-0008-0000-0800-000001C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10</xdr:col>
      <xdr:colOff>0</xdr:colOff>
      <xdr:row>1</xdr:row>
      <xdr:rowOff>0</xdr:rowOff>
    </xdr:from>
    <xdr:to>
      <xdr:col>12</xdr:col>
      <xdr:colOff>47625</xdr:colOff>
      <xdr:row>5</xdr:row>
      <xdr:rowOff>38100</xdr:rowOff>
    </xdr:to>
    <xdr:sp macro="[0]!Home" textlink="">
      <xdr:nvSpPr>
        <xdr:cNvPr id="2" name="Arrow: Left 1">
          <a:extLst>
            <a:ext uri="{FF2B5EF4-FFF2-40B4-BE49-F238E27FC236}">
              <a16:creationId xmlns:a16="http://schemas.microsoft.com/office/drawing/2014/main" id="{00000000-0008-0000-0900-000002000000}"/>
            </a:ext>
          </a:extLst>
        </xdr:cNvPr>
        <xdr:cNvSpPr/>
      </xdr:nvSpPr>
      <xdr:spPr>
        <a:xfrm>
          <a:off x="6096000" y="190500"/>
          <a:ext cx="1266825" cy="800100"/>
        </a:xfrm>
        <a:prstGeom prst="leftArrow">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800">
              <a:latin typeface="Times New Roman" panose="02020603050405020304" pitchFamily="18" charset="0"/>
              <a:cs typeface="Times New Roman" panose="02020603050405020304" pitchFamily="18" charset="0"/>
            </a:rPr>
            <a:t>HOME</a:t>
          </a:r>
        </a:p>
      </xdr:txBody>
    </xdr:sp>
    <xdr:clientData/>
  </xdr:twoCellAnchor>
  <xdr:twoCellAnchor>
    <xdr:from>
      <xdr:col>5</xdr:col>
      <xdr:colOff>2181225</xdr:colOff>
      <xdr:row>0</xdr:row>
      <xdr:rowOff>95250</xdr:rowOff>
    </xdr:from>
    <xdr:to>
      <xdr:col>6</xdr:col>
      <xdr:colOff>876300</xdr:colOff>
      <xdr:row>1</xdr:row>
      <xdr:rowOff>781050</xdr:rowOff>
    </xdr:to>
    <xdr:sp macro="[0]!Home" textlink="">
      <xdr:nvSpPr>
        <xdr:cNvPr id="4" name="Arrow: Left 3">
          <a:extLst>
            <a:ext uri="{FF2B5EF4-FFF2-40B4-BE49-F238E27FC236}">
              <a16:creationId xmlns:a16="http://schemas.microsoft.com/office/drawing/2014/main" id="{00000000-0008-0000-0900-000004000000}"/>
            </a:ext>
          </a:extLst>
        </xdr:cNvPr>
        <xdr:cNvSpPr/>
      </xdr:nvSpPr>
      <xdr:spPr>
        <a:xfrm>
          <a:off x="3886200" y="95250"/>
          <a:ext cx="1200150" cy="790575"/>
        </a:xfrm>
        <a:prstGeom prst="leftArrow">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800">
              <a:latin typeface="Times New Roman" panose="02020603050405020304" pitchFamily="18" charset="0"/>
              <a:cs typeface="Times New Roman" panose="02020603050405020304" pitchFamily="18" charset="0"/>
            </a:rPr>
            <a:t>HOME</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174047</xdr:colOff>
      <xdr:row>1</xdr:row>
      <xdr:rowOff>71007</xdr:rowOff>
    </xdr:from>
    <xdr:to>
      <xdr:col>2</xdr:col>
      <xdr:colOff>1541318</xdr:colOff>
      <xdr:row>1</xdr:row>
      <xdr:rowOff>918731</xdr:rowOff>
    </xdr:to>
    <xdr:sp macro="[0]!Home" textlink="">
      <xdr:nvSpPr>
        <xdr:cNvPr id="3" name="Arrow: Left 2">
          <a:extLst>
            <a:ext uri="{FF2B5EF4-FFF2-40B4-BE49-F238E27FC236}">
              <a16:creationId xmlns:a16="http://schemas.microsoft.com/office/drawing/2014/main" id="{00000000-0008-0000-0A00-000003000000}"/>
            </a:ext>
          </a:extLst>
        </xdr:cNvPr>
        <xdr:cNvSpPr/>
      </xdr:nvSpPr>
      <xdr:spPr>
        <a:xfrm>
          <a:off x="710911" y="174916"/>
          <a:ext cx="1367271" cy="847724"/>
        </a:xfrm>
        <a:prstGeom prst="leftArrow">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800">
              <a:latin typeface="Times New Roman" panose="02020603050405020304" pitchFamily="18" charset="0"/>
              <a:cs typeface="Times New Roman" panose="02020603050405020304" pitchFamily="18" charset="0"/>
            </a:rPr>
            <a:t>HOME</a:t>
          </a: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2</xdr:col>
      <xdr:colOff>263071</xdr:colOff>
      <xdr:row>47</xdr:row>
      <xdr:rowOff>54429</xdr:rowOff>
    </xdr:from>
    <xdr:to>
      <xdr:col>2</xdr:col>
      <xdr:colOff>263071</xdr:colOff>
      <xdr:row>50</xdr:row>
      <xdr:rowOff>3629</xdr:rowOff>
    </xdr:to>
    <xdr:pic>
      <xdr:nvPicPr>
        <xdr:cNvPr id="2" name="Picture 4">
          <a:extLst>
            <a:ext uri="{FF2B5EF4-FFF2-40B4-BE49-F238E27FC236}">
              <a16:creationId xmlns:a16="http://schemas.microsoft.com/office/drawing/2014/main" id="{00000000-0008-0000-0B00-000002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9188904"/>
          <a:ext cx="0" cy="549275"/>
        </a:xfrm>
        <a:prstGeom prst="rect">
          <a:avLst/>
        </a:prstGeom>
        <a:noFill/>
        <a:ln>
          <a:noFill/>
        </a:ln>
      </xdr:spPr>
    </xdr:pic>
    <xdr:clientData/>
  </xdr:twoCellAnchor>
  <xdr:twoCellAnchor editAs="oneCell">
    <xdr:from>
      <xdr:col>1</xdr:col>
      <xdr:colOff>42863</xdr:colOff>
      <xdr:row>44</xdr:row>
      <xdr:rowOff>123825</xdr:rowOff>
    </xdr:from>
    <xdr:to>
      <xdr:col>1</xdr:col>
      <xdr:colOff>42863</xdr:colOff>
      <xdr:row>51</xdr:row>
      <xdr:rowOff>40800</xdr:rowOff>
    </xdr:to>
    <xdr:pic>
      <xdr:nvPicPr>
        <xdr:cNvPr id="3" name="Picture 6">
          <a:extLst>
            <a:ext uri="{FF2B5EF4-FFF2-40B4-BE49-F238E27FC236}">
              <a16:creationId xmlns:a16="http://schemas.microsoft.com/office/drawing/2014/main" id="{00000000-0008-0000-0B00-000003000000}"/>
            </a:ext>
          </a:extLst>
        </xdr:cNvPr>
        <xdr:cNvPicPr>
          <a:picLocks/>
        </xdr:cNvPicPr>
      </xdr:nvPicPr>
      <xdr:blipFill>
        <a:blip xmlns:r="http://schemas.openxmlformats.org/officeDocument/2006/relationships" r:embed="rId2"/>
        <a:srcRect/>
        <a:stretch>
          <a:fillRect/>
        </a:stretch>
      </xdr:blipFill>
      <xdr:spPr bwMode="auto">
        <a:xfrm>
          <a:off x="147638" y="8658225"/>
          <a:ext cx="0" cy="1326675"/>
        </a:xfrm>
        <a:prstGeom prst="rect">
          <a:avLst/>
        </a:prstGeom>
        <a:noFill/>
        <a:ln w="9525">
          <a:noFill/>
          <a:miter lim="800000"/>
          <a:headEnd/>
          <a:tailEnd/>
        </a:ln>
      </xdr:spPr>
    </xdr:pic>
    <xdr:clientData/>
  </xdr:twoCellAnchor>
  <xdr:twoCellAnchor editAs="oneCell">
    <xdr:from>
      <xdr:col>2</xdr:col>
      <xdr:colOff>263071</xdr:colOff>
      <xdr:row>47</xdr:row>
      <xdr:rowOff>54429</xdr:rowOff>
    </xdr:from>
    <xdr:to>
      <xdr:col>2</xdr:col>
      <xdr:colOff>263071</xdr:colOff>
      <xdr:row>50</xdr:row>
      <xdr:rowOff>3629</xdr:rowOff>
    </xdr:to>
    <xdr:pic>
      <xdr:nvPicPr>
        <xdr:cNvPr id="4" name="Picture 4">
          <a:extLst>
            <a:ext uri="{FF2B5EF4-FFF2-40B4-BE49-F238E27FC236}">
              <a16:creationId xmlns:a16="http://schemas.microsoft.com/office/drawing/2014/main" id="{00000000-0008-0000-0B00-000004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9188904"/>
          <a:ext cx="0" cy="549275"/>
        </a:xfrm>
        <a:prstGeom prst="rect">
          <a:avLst/>
        </a:prstGeom>
        <a:noFill/>
        <a:ln>
          <a:noFill/>
        </a:ln>
      </xdr:spPr>
    </xdr:pic>
    <xdr:clientData/>
  </xdr:twoCellAnchor>
  <xdr:twoCellAnchor editAs="oneCell">
    <xdr:from>
      <xdr:col>1</xdr:col>
      <xdr:colOff>42863</xdr:colOff>
      <xdr:row>44</xdr:row>
      <xdr:rowOff>123825</xdr:rowOff>
    </xdr:from>
    <xdr:to>
      <xdr:col>1</xdr:col>
      <xdr:colOff>42863</xdr:colOff>
      <xdr:row>51</xdr:row>
      <xdr:rowOff>40800</xdr:rowOff>
    </xdr:to>
    <xdr:pic>
      <xdr:nvPicPr>
        <xdr:cNvPr id="5" name="Picture 6">
          <a:extLst>
            <a:ext uri="{FF2B5EF4-FFF2-40B4-BE49-F238E27FC236}">
              <a16:creationId xmlns:a16="http://schemas.microsoft.com/office/drawing/2014/main" id="{00000000-0008-0000-0B00-000005000000}"/>
            </a:ext>
          </a:extLst>
        </xdr:cNvPr>
        <xdr:cNvPicPr>
          <a:picLocks/>
        </xdr:cNvPicPr>
      </xdr:nvPicPr>
      <xdr:blipFill>
        <a:blip xmlns:r="http://schemas.openxmlformats.org/officeDocument/2006/relationships" r:embed="rId2"/>
        <a:srcRect/>
        <a:stretch>
          <a:fillRect/>
        </a:stretch>
      </xdr:blipFill>
      <xdr:spPr bwMode="auto">
        <a:xfrm>
          <a:off x="147638" y="8658225"/>
          <a:ext cx="0" cy="1326675"/>
        </a:xfrm>
        <a:prstGeom prst="rect">
          <a:avLst/>
        </a:prstGeom>
        <a:noFill/>
        <a:ln w="9525">
          <a:noFill/>
          <a:miter lim="800000"/>
          <a:headEnd/>
          <a:tailEnd/>
        </a:ln>
      </xdr:spPr>
    </xdr:pic>
    <xdr:clientData/>
  </xdr:twoCellAnchor>
  <xdr:twoCellAnchor editAs="oneCell">
    <xdr:from>
      <xdr:col>2</xdr:col>
      <xdr:colOff>263071</xdr:colOff>
      <xdr:row>46</xdr:row>
      <xdr:rowOff>54429</xdr:rowOff>
    </xdr:from>
    <xdr:to>
      <xdr:col>2</xdr:col>
      <xdr:colOff>263071</xdr:colOff>
      <xdr:row>48</xdr:row>
      <xdr:rowOff>194128</xdr:rowOff>
    </xdr:to>
    <xdr:pic>
      <xdr:nvPicPr>
        <xdr:cNvPr id="6" name="Picture 4">
          <a:extLst>
            <a:ext uri="{FF2B5EF4-FFF2-40B4-BE49-F238E27FC236}">
              <a16:creationId xmlns:a16="http://schemas.microsoft.com/office/drawing/2014/main" id="{00000000-0008-0000-0B00-000006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8988879"/>
          <a:ext cx="0" cy="549274"/>
        </a:xfrm>
        <a:prstGeom prst="rect">
          <a:avLst/>
        </a:prstGeom>
        <a:noFill/>
        <a:ln>
          <a:noFill/>
        </a:ln>
      </xdr:spPr>
    </xdr:pic>
    <xdr:clientData/>
  </xdr:twoCellAnchor>
  <xdr:twoCellAnchor editAs="oneCell">
    <xdr:from>
      <xdr:col>1</xdr:col>
      <xdr:colOff>42863</xdr:colOff>
      <xdr:row>43</xdr:row>
      <xdr:rowOff>123825</xdr:rowOff>
    </xdr:from>
    <xdr:to>
      <xdr:col>1</xdr:col>
      <xdr:colOff>42863</xdr:colOff>
      <xdr:row>50</xdr:row>
      <xdr:rowOff>40800</xdr:rowOff>
    </xdr:to>
    <xdr:pic>
      <xdr:nvPicPr>
        <xdr:cNvPr id="7" name="Picture 6">
          <a:extLst>
            <a:ext uri="{FF2B5EF4-FFF2-40B4-BE49-F238E27FC236}">
              <a16:creationId xmlns:a16="http://schemas.microsoft.com/office/drawing/2014/main" id="{00000000-0008-0000-0B00-000007000000}"/>
            </a:ext>
          </a:extLst>
        </xdr:cNvPr>
        <xdr:cNvPicPr>
          <a:picLocks/>
        </xdr:cNvPicPr>
      </xdr:nvPicPr>
      <xdr:blipFill>
        <a:blip xmlns:r="http://schemas.openxmlformats.org/officeDocument/2006/relationships" r:embed="rId2"/>
        <a:srcRect/>
        <a:stretch>
          <a:fillRect/>
        </a:stretch>
      </xdr:blipFill>
      <xdr:spPr bwMode="auto">
        <a:xfrm>
          <a:off x="147638" y="8458200"/>
          <a:ext cx="0" cy="1326675"/>
        </a:xfrm>
        <a:prstGeom prst="rect">
          <a:avLst/>
        </a:prstGeom>
        <a:noFill/>
        <a:ln w="9525">
          <a:noFill/>
          <a:miter lim="800000"/>
          <a:headEnd/>
          <a:tailEnd/>
        </a:ln>
      </xdr:spPr>
    </xdr:pic>
    <xdr:clientData/>
  </xdr:twoCellAnchor>
  <xdr:twoCellAnchor editAs="oneCell">
    <xdr:from>
      <xdr:col>1</xdr:col>
      <xdr:colOff>42863</xdr:colOff>
      <xdr:row>43</xdr:row>
      <xdr:rowOff>123825</xdr:rowOff>
    </xdr:from>
    <xdr:to>
      <xdr:col>1</xdr:col>
      <xdr:colOff>42863</xdr:colOff>
      <xdr:row>50</xdr:row>
      <xdr:rowOff>40800</xdr:rowOff>
    </xdr:to>
    <xdr:pic>
      <xdr:nvPicPr>
        <xdr:cNvPr id="8" name="Picture 6">
          <a:extLst>
            <a:ext uri="{FF2B5EF4-FFF2-40B4-BE49-F238E27FC236}">
              <a16:creationId xmlns:a16="http://schemas.microsoft.com/office/drawing/2014/main" id="{00000000-0008-0000-0B00-000008000000}"/>
            </a:ext>
          </a:extLst>
        </xdr:cNvPr>
        <xdr:cNvPicPr>
          <a:picLocks/>
        </xdr:cNvPicPr>
      </xdr:nvPicPr>
      <xdr:blipFill>
        <a:blip xmlns:r="http://schemas.openxmlformats.org/officeDocument/2006/relationships" r:embed="rId2"/>
        <a:srcRect/>
        <a:stretch>
          <a:fillRect/>
        </a:stretch>
      </xdr:blipFill>
      <xdr:spPr bwMode="auto">
        <a:xfrm>
          <a:off x="147638" y="8458200"/>
          <a:ext cx="0" cy="1326675"/>
        </a:xfrm>
        <a:prstGeom prst="rect">
          <a:avLst/>
        </a:prstGeom>
        <a:noFill/>
        <a:ln w="9525">
          <a:noFill/>
          <a:miter lim="800000"/>
          <a:headEnd/>
          <a:tailEnd/>
        </a:ln>
      </xdr:spPr>
    </xdr:pic>
    <xdr:clientData/>
  </xdr:twoCellAnchor>
  <xdr:twoCellAnchor editAs="oneCell">
    <xdr:from>
      <xdr:col>2</xdr:col>
      <xdr:colOff>263071</xdr:colOff>
      <xdr:row>46</xdr:row>
      <xdr:rowOff>54429</xdr:rowOff>
    </xdr:from>
    <xdr:to>
      <xdr:col>2</xdr:col>
      <xdr:colOff>263071</xdr:colOff>
      <xdr:row>48</xdr:row>
      <xdr:rowOff>194128</xdr:rowOff>
    </xdr:to>
    <xdr:pic>
      <xdr:nvPicPr>
        <xdr:cNvPr id="9" name="Picture 4">
          <a:extLst>
            <a:ext uri="{FF2B5EF4-FFF2-40B4-BE49-F238E27FC236}">
              <a16:creationId xmlns:a16="http://schemas.microsoft.com/office/drawing/2014/main" id="{00000000-0008-0000-0B00-000009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8988879"/>
          <a:ext cx="0" cy="549274"/>
        </a:xfrm>
        <a:prstGeom prst="rect">
          <a:avLst/>
        </a:prstGeom>
        <a:noFill/>
        <a:ln>
          <a:noFill/>
        </a:ln>
      </xdr:spPr>
    </xdr:pic>
    <xdr:clientData/>
  </xdr:twoCellAnchor>
  <xdr:twoCellAnchor editAs="oneCell">
    <xdr:from>
      <xdr:col>1</xdr:col>
      <xdr:colOff>42863</xdr:colOff>
      <xdr:row>43</xdr:row>
      <xdr:rowOff>123825</xdr:rowOff>
    </xdr:from>
    <xdr:to>
      <xdr:col>1</xdr:col>
      <xdr:colOff>42863</xdr:colOff>
      <xdr:row>50</xdr:row>
      <xdr:rowOff>40800</xdr:rowOff>
    </xdr:to>
    <xdr:pic>
      <xdr:nvPicPr>
        <xdr:cNvPr id="10" name="Picture 6">
          <a:extLst>
            <a:ext uri="{FF2B5EF4-FFF2-40B4-BE49-F238E27FC236}">
              <a16:creationId xmlns:a16="http://schemas.microsoft.com/office/drawing/2014/main" id="{00000000-0008-0000-0B00-00000A000000}"/>
            </a:ext>
          </a:extLst>
        </xdr:cNvPr>
        <xdr:cNvPicPr>
          <a:picLocks/>
        </xdr:cNvPicPr>
      </xdr:nvPicPr>
      <xdr:blipFill>
        <a:blip xmlns:r="http://schemas.openxmlformats.org/officeDocument/2006/relationships" r:embed="rId2"/>
        <a:srcRect/>
        <a:stretch>
          <a:fillRect/>
        </a:stretch>
      </xdr:blipFill>
      <xdr:spPr bwMode="auto">
        <a:xfrm>
          <a:off x="147638" y="8458200"/>
          <a:ext cx="0" cy="1326675"/>
        </a:xfrm>
        <a:prstGeom prst="rect">
          <a:avLst/>
        </a:prstGeom>
        <a:noFill/>
        <a:ln w="9525">
          <a:noFill/>
          <a:miter lim="800000"/>
          <a:headEnd/>
          <a:tailEnd/>
        </a:ln>
      </xdr:spPr>
    </xdr:pic>
    <xdr:clientData/>
  </xdr:twoCellAnchor>
  <xdr:twoCellAnchor editAs="oneCell">
    <xdr:from>
      <xdr:col>1</xdr:col>
      <xdr:colOff>42863</xdr:colOff>
      <xdr:row>43</xdr:row>
      <xdr:rowOff>123825</xdr:rowOff>
    </xdr:from>
    <xdr:to>
      <xdr:col>1</xdr:col>
      <xdr:colOff>42863</xdr:colOff>
      <xdr:row>50</xdr:row>
      <xdr:rowOff>40800</xdr:rowOff>
    </xdr:to>
    <xdr:pic>
      <xdr:nvPicPr>
        <xdr:cNvPr id="11" name="Picture 6">
          <a:extLst>
            <a:ext uri="{FF2B5EF4-FFF2-40B4-BE49-F238E27FC236}">
              <a16:creationId xmlns:a16="http://schemas.microsoft.com/office/drawing/2014/main" id="{00000000-0008-0000-0B00-00000B000000}"/>
            </a:ext>
          </a:extLst>
        </xdr:cNvPr>
        <xdr:cNvPicPr>
          <a:picLocks/>
        </xdr:cNvPicPr>
      </xdr:nvPicPr>
      <xdr:blipFill>
        <a:blip xmlns:r="http://schemas.openxmlformats.org/officeDocument/2006/relationships" r:embed="rId2"/>
        <a:srcRect/>
        <a:stretch>
          <a:fillRect/>
        </a:stretch>
      </xdr:blipFill>
      <xdr:spPr bwMode="auto">
        <a:xfrm>
          <a:off x="147638" y="8458200"/>
          <a:ext cx="0" cy="1326675"/>
        </a:xfrm>
        <a:prstGeom prst="rect">
          <a:avLst/>
        </a:prstGeom>
        <a:noFill/>
        <a:ln w="9525">
          <a:noFill/>
          <a:miter lim="800000"/>
          <a:headEnd/>
          <a:tailEnd/>
        </a:ln>
      </xdr:spPr>
    </xdr:pic>
    <xdr:clientData/>
  </xdr:twoCellAnchor>
  <xdr:twoCellAnchor editAs="oneCell">
    <xdr:from>
      <xdr:col>2</xdr:col>
      <xdr:colOff>263071</xdr:colOff>
      <xdr:row>46</xdr:row>
      <xdr:rowOff>54429</xdr:rowOff>
    </xdr:from>
    <xdr:to>
      <xdr:col>2</xdr:col>
      <xdr:colOff>263071</xdr:colOff>
      <xdr:row>48</xdr:row>
      <xdr:rowOff>194128</xdr:rowOff>
    </xdr:to>
    <xdr:pic>
      <xdr:nvPicPr>
        <xdr:cNvPr id="12" name="Picture 4">
          <a:extLst>
            <a:ext uri="{FF2B5EF4-FFF2-40B4-BE49-F238E27FC236}">
              <a16:creationId xmlns:a16="http://schemas.microsoft.com/office/drawing/2014/main" id="{00000000-0008-0000-0B00-00000C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8988879"/>
          <a:ext cx="0" cy="549274"/>
        </a:xfrm>
        <a:prstGeom prst="rect">
          <a:avLst/>
        </a:prstGeom>
        <a:noFill/>
        <a:ln>
          <a:noFill/>
        </a:ln>
      </xdr:spPr>
    </xdr:pic>
    <xdr:clientData/>
  </xdr:twoCellAnchor>
  <xdr:twoCellAnchor editAs="oneCell">
    <xdr:from>
      <xdr:col>1</xdr:col>
      <xdr:colOff>42863</xdr:colOff>
      <xdr:row>43</xdr:row>
      <xdr:rowOff>123825</xdr:rowOff>
    </xdr:from>
    <xdr:to>
      <xdr:col>1</xdr:col>
      <xdr:colOff>42863</xdr:colOff>
      <xdr:row>50</xdr:row>
      <xdr:rowOff>40800</xdr:rowOff>
    </xdr:to>
    <xdr:pic>
      <xdr:nvPicPr>
        <xdr:cNvPr id="13" name="Picture 6">
          <a:extLst>
            <a:ext uri="{FF2B5EF4-FFF2-40B4-BE49-F238E27FC236}">
              <a16:creationId xmlns:a16="http://schemas.microsoft.com/office/drawing/2014/main" id="{00000000-0008-0000-0B00-00000D000000}"/>
            </a:ext>
          </a:extLst>
        </xdr:cNvPr>
        <xdr:cNvPicPr>
          <a:picLocks/>
        </xdr:cNvPicPr>
      </xdr:nvPicPr>
      <xdr:blipFill>
        <a:blip xmlns:r="http://schemas.openxmlformats.org/officeDocument/2006/relationships" r:embed="rId2"/>
        <a:srcRect/>
        <a:stretch>
          <a:fillRect/>
        </a:stretch>
      </xdr:blipFill>
      <xdr:spPr bwMode="auto">
        <a:xfrm>
          <a:off x="147638" y="8458200"/>
          <a:ext cx="0" cy="1326675"/>
        </a:xfrm>
        <a:prstGeom prst="rect">
          <a:avLst/>
        </a:prstGeom>
        <a:noFill/>
        <a:ln w="9525">
          <a:noFill/>
          <a:miter lim="800000"/>
          <a:headEnd/>
          <a:tailEnd/>
        </a:ln>
      </xdr:spPr>
    </xdr:pic>
    <xdr:clientData/>
  </xdr:twoCellAnchor>
  <xdr:twoCellAnchor editAs="oneCell">
    <xdr:from>
      <xdr:col>1</xdr:col>
      <xdr:colOff>42863</xdr:colOff>
      <xdr:row>43</xdr:row>
      <xdr:rowOff>123825</xdr:rowOff>
    </xdr:from>
    <xdr:to>
      <xdr:col>1</xdr:col>
      <xdr:colOff>42863</xdr:colOff>
      <xdr:row>50</xdr:row>
      <xdr:rowOff>40800</xdr:rowOff>
    </xdr:to>
    <xdr:pic>
      <xdr:nvPicPr>
        <xdr:cNvPr id="14" name="Picture 6">
          <a:extLst>
            <a:ext uri="{FF2B5EF4-FFF2-40B4-BE49-F238E27FC236}">
              <a16:creationId xmlns:a16="http://schemas.microsoft.com/office/drawing/2014/main" id="{00000000-0008-0000-0B00-00000E000000}"/>
            </a:ext>
          </a:extLst>
        </xdr:cNvPr>
        <xdr:cNvPicPr>
          <a:picLocks/>
        </xdr:cNvPicPr>
      </xdr:nvPicPr>
      <xdr:blipFill>
        <a:blip xmlns:r="http://schemas.openxmlformats.org/officeDocument/2006/relationships" r:embed="rId2"/>
        <a:srcRect/>
        <a:stretch>
          <a:fillRect/>
        </a:stretch>
      </xdr:blipFill>
      <xdr:spPr bwMode="auto">
        <a:xfrm>
          <a:off x="147638" y="8458200"/>
          <a:ext cx="0" cy="1326675"/>
        </a:xfrm>
        <a:prstGeom prst="rect">
          <a:avLst/>
        </a:prstGeom>
        <a:noFill/>
        <a:ln w="9525">
          <a:noFill/>
          <a:miter lim="800000"/>
          <a:headEnd/>
          <a:tailEnd/>
        </a:ln>
      </xdr:spPr>
    </xdr:pic>
    <xdr:clientData/>
  </xdr:twoCellAnchor>
  <xdr:twoCellAnchor editAs="oneCell">
    <xdr:from>
      <xdr:col>2</xdr:col>
      <xdr:colOff>263071</xdr:colOff>
      <xdr:row>46</xdr:row>
      <xdr:rowOff>54429</xdr:rowOff>
    </xdr:from>
    <xdr:to>
      <xdr:col>2</xdr:col>
      <xdr:colOff>263071</xdr:colOff>
      <xdr:row>48</xdr:row>
      <xdr:rowOff>194128</xdr:rowOff>
    </xdr:to>
    <xdr:pic>
      <xdr:nvPicPr>
        <xdr:cNvPr id="15" name="Picture 4">
          <a:extLst>
            <a:ext uri="{FF2B5EF4-FFF2-40B4-BE49-F238E27FC236}">
              <a16:creationId xmlns:a16="http://schemas.microsoft.com/office/drawing/2014/main" id="{00000000-0008-0000-0B00-00000F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8988879"/>
          <a:ext cx="0" cy="549274"/>
        </a:xfrm>
        <a:prstGeom prst="rect">
          <a:avLst/>
        </a:prstGeom>
        <a:noFill/>
        <a:ln>
          <a:noFill/>
        </a:ln>
      </xdr:spPr>
    </xdr:pic>
    <xdr:clientData/>
  </xdr:twoCellAnchor>
  <xdr:twoCellAnchor editAs="oneCell">
    <xdr:from>
      <xdr:col>1</xdr:col>
      <xdr:colOff>42863</xdr:colOff>
      <xdr:row>43</xdr:row>
      <xdr:rowOff>123825</xdr:rowOff>
    </xdr:from>
    <xdr:to>
      <xdr:col>1</xdr:col>
      <xdr:colOff>42863</xdr:colOff>
      <xdr:row>50</xdr:row>
      <xdr:rowOff>40800</xdr:rowOff>
    </xdr:to>
    <xdr:pic>
      <xdr:nvPicPr>
        <xdr:cNvPr id="16" name="Picture 6">
          <a:extLst>
            <a:ext uri="{FF2B5EF4-FFF2-40B4-BE49-F238E27FC236}">
              <a16:creationId xmlns:a16="http://schemas.microsoft.com/office/drawing/2014/main" id="{00000000-0008-0000-0B00-000010000000}"/>
            </a:ext>
          </a:extLst>
        </xdr:cNvPr>
        <xdr:cNvPicPr>
          <a:picLocks/>
        </xdr:cNvPicPr>
      </xdr:nvPicPr>
      <xdr:blipFill>
        <a:blip xmlns:r="http://schemas.openxmlformats.org/officeDocument/2006/relationships" r:embed="rId2"/>
        <a:srcRect/>
        <a:stretch>
          <a:fillRect/>
        </a:stretch>
      </xdr:blipFill>
      <xdr:spPr bwMode="auto">
        <a:xfrm>
          <a:off x="147638" y="8458200"/>
          <a:ext cx="0" cy="1326675"/>
        </a:xfrm>
        <a:prstGeom prst="rect">
          <a:avLst/>
        </a:prstGeom>
        <a:noFill/>
        <a:ln w="9525">
          <a:noFill/>
          <a:miter lim="800000"/>
          <a:headEnd/>
          <a:tailEnd/>
        </a:ln>
      </xdr:spPr>
    </xdr:pic>
    <xdr:clientData/>
  </xdr:twoCellAnchor>
  <xdr:twoCellAnchor editAs="oneCell">
    <xdr:from>
      <xdr:col>1</xdr:col>
      <xdr:colOff>42863</xdr:colOff>
      <xdr:row>43</xdr:row>
      <xdr:rowOff>123825</xdr:rowOff>
    </xdr:from>
    <xdr:to>
      <xdr:col>1</xdr:col>
      <xdr:colOff>42863</xdr:colOff>
      <xdr:row>50</xdr:row>
      <xdr:rowOff>40800</xdr:rowOff>
    </xdr:to>
    <xdr:pic>
      <xdr:nvPicPr>
        <xdr:cNvPr id="17" name="Picture 6">
          <a:extLst>
            <a:ext uri="{FF2B5EF4-FFF2-40B4-BE49-F238E27FC236}">
              <a16:creationId xmlns:a16="http://schemas.microsoft.com/office/drawing/2014/main" id="{00000000-0008-0000-0B00-000011000000}"/>
            </a:ext>
          </a:extLst>
        </xdr:cNvPr>
        <xdr:cNvPicPr>
          <a:picLocks/>
        </xdr:cNvPicPr>
      </xdr:nvPicPr>
      <xdr:blipFill>
        <a:blip xmlns:r="http://schemas.openxmlformats.org/officeDocument/2006/relationships" r:embed="rId2"/>
        <a:srcRect/>
        <a:stretch>
          <a:fillRect/>
        </a:stretch>
      </xdr:blipFill>
      <xdr:spPr bwMode="auto">
        <a:xfrm>
          <a:off x="147638" y="8458200"/>
          <a:ext cx="0" cy="1326675"/>
        </a:xfrm>
        <a:prstGeom prst="rect">
          <a:avLst/>
        </a:prstGeom>
        <a:noFill/>
        <a:ln w="9525">
          <a:noFill/>
          <a:miter lim="800000"/>
          <a:headEnd/>
          <a:tailEnd/>
        </a:ln>
      </xdr:spPr>
    </xdr:pic>
    <xdr:clientData/>
  </xdr:twoCellAnchor>
  <xdr:oneCellAnchor>
    <xdr:from>
      <xdr:col>1</xdr:col>
      <xdr:colOff>85725</xdr:colOff>
      <xdr:row>0</xdr:row>
      <xdr:rowOff>85726</xdr:rowOff>
    </xdr:from>
    <xdr:ext cx="1543050" cy="1531218"/>
    <xdr:pic>
      <xdr:nvPicPr>
        <xdr:cNvPr id="18" name="Picture 17">
          <a:extLst>
            <a:ext uri="{FF2B5EF4-FFF2-40B4-BE49-F238E27FC236}">
              <a16:creationId xmlns:a16="http://schemas.microsoft.com/office/drawing/2014/main" id="{00000000-0008-0000-0B00-000012000000}"/>
            </a:ext>
          </a:extLst>
        </xdr:cNvPr>
        <xdr:cNvPicPr>
          <a:picLocks noChangeAspect="1"/>
        </xdr:cNvPicPr>
      </xdr:nvPicPr>
      <xdr:blipFill>
        <a:blip xmlns:r="http://schemas.openxmlformats.org/officeDocument/2006/relationships" r:embed="rId3"/>
        <a:stretch>
          <a:fillRect/>
        </a:stretch>
      </xdr:blipFill>
      <xdr:spPr>
        <a:xfrm>
          <a:off x="190500" y="85726"/>
          <a:ext cx="1543050" cy="1531218"/>
        </a:xfrm>
        <a:prstGeom prst="rect">
          <a:avLst/>
        </a:prstGeom>
      </xdr:spPr>
    </xdr:pic>
    <xdr:clientData/>
  </xdr:oneCellAnchor>
  <xdr:twoCellAnchor editAs="oneCell">
    <xdr:from>
      <xdr:col>2</xdr:col>
      <xdr:colOff>263071</xdr:colOff>
      <xdr:row>46</xdr:row>
      <xdr:rowOff>54429</xdr:rowOff>
    </xdr:from>
    <xdr:to>
      <xdr:col>2</xdr:col>
      <xdr:colOff>263071</xdr:colOff>
      <xdr:row>48</xdr:row>
      <xdr:rowOff>194128</xdr:rowOff>
    </xdr:to>
    <xdr:pic>
      <xdr:nvPicPr>
        <xdr:cNvPr id="19" name="Picture 4">
          <a:extLst>
            <a:ext uri="{FF2B5EF4-FFF2-40B4-BE49-F238E27FC236}">
              <a16:creationId xmlns:a16="http://schemas.microsoft.com/office/drawing/2014/main" id="{00000000-0008-0000-0B00-000013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8988879"/>
          <a:ext cx="0" cy="549274"/>
        </a:xfrm>
        <a:prstGeom prst="rect">
          <a:avLst/>
        </a:prstGeom>
        <a:noFill/>
        <a:ln>
          <a:noFill/>
        </a:ln>
      </xdr:spPr>
    </xdr:pic>
    <xdr:clientData/>
  </xdr:twoCellAnchor>
  <xdr:twoCellAnchor editAs="oneCell">
    <xdr:from>
      <xdr:col>1</xdr:col>
      <xdr:colOff>42863</xdr:colOff>
      <xdr:row>43</xdr:row>
      <xdr:rowOff>123825</xdr:rowOff>
    </xdr:from>
    <xdr:to>
      <xdr:col>1</xdr:col>
      <xdr:colOff>42863</xdr:colOff>
      <xdr:row>50</xdr:row>
      <xdr:rowOff>40800</xdr:rowOff>
    </xdr:to>
    <xdr:pic>
      <xdr:nvPicPr>
        <xdr:cNvPr id="20" name="Picture 6">
          <a:extLst>
            <a:ext uri="{FF2B5EF4-FFF2-40B4-BE49-F238E27FC236}">
              <a16:creationId xmlns:a16="http://schemas.microsoft.com/office/drawing/2014/main" id="{00000000-0008-0000-0B00-000014000000}"/>
            </a:ext>
          </a:extLst>
        </xdr:cNvPr>
        <xdr:cNvPicPr>
          <a:picLocks/>
        </xdr:cNvPicPr>
      </xdr:nvPicPr>
      <xdr:blipFill>
        <a:blip xmlns:r="http://schemas.openxmlformats.org/officeDocument/2006/relationships" r:embed="rId2"/>
        <a:srcRect/>
        <a:stretch>
          <a:fillRect/>
        </a:stretch>
      </xdr:blipFill>
      <xdr:spPr bwMode="auto">
        <a:xfrm>
          <a:off x="147638" y="8458200"/>
          <a:ext cx="0" cy="1326675"/>
        </a:xfrm>
        <a:prstGeom prst="rect">
          <a:avLst/>
        </a:prstGeom>
        <a:noFill/>
        <a:ln w="9525">
          <a:noFill/>
          <a:miter lim="800000"/>
          <a:headEnd/>
          <a:tailEnd/>
        </a:ln>
      </xdr:spPr>
    </xdr:pic>
    <xdr:clientData/>
  </xdr:twoCellAnchor>
  <xdr:oneCellAnchor>
    <xdr:from>
      <xdr:col>1</xdr:col>
      <xdr:colOff>85725</xdr:colOff>
      <xdr:row>0</xdr:row>
      <xdr:rowOff>85726</xdr:rowOff>
    </xdr:from>
    <xdr:ext cx="1543050" cy="1531218"/>
    <xdr:pic>
      <xdr:nvPicPr>
        <xdr:cNvPr id="21" name="Picture 20">
          <a:extLst>
            <a:ext uri="{FF2B5EF4-FFF2-40B4-BE49-F238E27FC236}">
              <a16:creationId xmlns:a16="http://schemas.microsoft.com/office/drawing/2014/main" id="{00000000-0008-0000-0B00-000015000000}"/>
            </a:ext>
          </a:extLst>
        </xdr:cNvPr>
        <xdr:cNvPicPr>
          <a:picLocks noChangeAspect="1"/>
        </xdr:cNvPicPr>
      </xdr:nvPicPr>
      <xdr:blipFill>
        <a:blip xmlns:r="http://schemas.openxmlformats.org/officeDocument/2006/relationships" r:embed="rId3"/>
        <a:stretch>
          <a:fillRect/>
        </a:stretch>
      </xdr:blipFill>
      <xdr:spPr>
        <a:xfrm>
          <a:off x="190500" y="85726"/>
          <a:ext cx="1543050" cy="1531218"/>
        </a:xfrm>
        <a:prstGeom prst="rect">
          <a:avLst/>
        </a:prstGeom>
      </xdr:spPr>
    </xdr:pic>
    <xdr:clientData/>
  </xdr:oneCellAnchor>
  <xdr:twoCellAnchor editAs="oneCell">
    <xdr:from>
      <xdr:col>1</xdr:col>
      <xdr:colOff>42863</xdr:colOff>
      <xdr:row>43</xdr:row>
      <xdr:rowOff>123825</xdr:rowOff>
    </xdr:from>
    <xdr:to>
      <xdr:col>1</xdr:col>
      <xdr:colOff>42863</xdr:colOff>
      <xdr:row>50</xdr:row>
      <xdr:rowOff>40800</xdr:rowOff>
    </xdr:to>
    <xdr:pic>
      <xdr:nvPicPr>
        <xdr:cNvPr id="22" name="Picture 6">
          <a:extLst>
            <a:ext uri="{FF2B5EF4-FFF2-40B4-BE49-F238E27FC236}">
              <a16:creationId xmlns:a16="http://schemas.microsoft.com/office/drawing/2014/main" id="{00000000-0008-0000-0B00-000016000000}"/>
            </a:ext>
          </a:extLst>
        </xdr:cNvPr>
        <xdr:cNvPicPr>
          <a:picLocks/>
        </xdr:cNvPicPr>
      </xdr:nvPicPr>
      <xdr:blipFill>
        <a:blip xmlns:r="http://schemas.openxmlformats.org/officeDocument/2006/relationships" r:embed="rId2"/>
        <a:srcRect/>
        <a:stretch>
          <a:fillRect/>
        </a:stretch>
      </xdr:blipFill>
      <xdr:spPr bwMode="auto">
        <a:xfrm>
          <a:off x="147638" y="8458200"/>
          <a:ext cx="0" cy="1326675"/>
        </a:xfrm>
        <a:prstGeom prst="rect">
          <a:avLst/>
        </a:prstGeom>
        <a:noFill/>
        <a:ln w="9525">
          <a:noFill/>
          <a:miter lim="800000"/>
          <a:headEnd/>
          <a:tailEnd/>
        </a:ln>
      </xdr:spPr>
    </xdr:pic>
    <xdr:clientData/>
  </xdr:twoCellAnchor>
  <xdr:twoCellAnchor>
    <xdr:from>
      <xdr:col>13</xdr:col>
      <xdr:colOff>38100</xdr:colOff>
      <xdr:row>1</xdr:row>
      <xdr:rowOff>28575</xdr:rowOff>
    </xdr:from>
    <xdr:to>
      <xdr:col>15</xdr:col>
      <xdr:colOff>428625</xdr:colOff>
      <xdr:row>5</xdr:row>
      <xdr:rowOff>28575</xdr:rowOff>
    </xdr:to>
    <xdr:sp macro="[0]!Home" textlink="">
      <xdr:nvSpPr>
        <xdr:cNvPr id="23" name="Arrow: Left 22">
          <a:extLst>
            <a:ext uri="{FF2B5EF4-FFF2-40B4-BE49-F238E27FC236}">
              <a16:creationId xmlns:a16="http://schemas.microsoft.com/office/drawing/2014/main" id="{00000000-0008-0000-0B00-000017000000}"/>
            </a:ext>
          </a:extLst>
        </xdr:cNvPr>
        <xdr:cNvSpPr/>
      </xdr:nvSpPr>
      <xdr:spPr>
        <a:xfrm>
          <a:off x="7629525" y="123825"/>
          <a:ext cx="1114425" cy="800100"/>
        </a:xfrm>
        <a:prstGeom prst="leftArrow">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800">
              <a:latin typeface="Times New Roman" panose="02020603050405020304" pitchFamily="18" charset="0"/>
              <a:cs typeface="Times New Roman" panose="02020603050405020304" pitchFamily="18" charset="0"/>
            </a:rPr>
            <a:t>HOME</a:t>
          </a:r>
        </a:p>
      </xdr:txBody>
    </xdr:sp>
    <xdr:clientData/>
  </xdr:twoCellAnchor>
  <xdr:twoCellAnchor editAs="oneCell">
    <xdr:from>
      <xdr:col>2</xdr:col>
      <xdr:colOff>172583</xdr:colOff>
      <xdr:row>46</xdr:row>
      <xdr:rowOff>16329</xdr:rowOff>
    </xdr:from>
    <xdr:to>
      <xdr:col>4</xdr:col>
      <xdr:colOff>1137783</xdr:colOff>
      <xdr:row>48</xdr:row>
      <xdr:rowOff>127453</xdr:rowOff>
    </xdr:to>
    <xdr:pic>
      <xdr:nvPicPr>
        <xdr:cNvPr id="24" name="Picture 4">
          <a:extLst>
            <a:ext uri="{FF2B5EF4-FFF2-40B4-BE49-F238E27FC236}">
              <a16:creationId xmlns:a16="http://schemas.microsoft.com/office/drawing/2014/main" id="{00000000-0008-0000-0B00-000018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534533" y="8950779"/>
          <a:ext cx="2155825" cy="520699"/>
        </a:xfrm>
        <a:prstGeom prst="rect">
          <a:avLst/>
        </a:prstGeom>
        <a:noFill/>
        <a:ln>
          <a:noFill/>
        </a:ln>
      </xdr:spPr>
    </xdr:pic>
    <xdr:clientData/>
  </xdr:twoCellAnchor>
  <xdr:twoCellAnchor editAs="oneCell">
    <xdr:from>
      <xdr:col>1</xdr:col>
      <xdr:colOff>57150</xdr:colOff>
      <xdr:row>44</xdr:row>
      <xdr:rowOff>9525</xdr:rowOff>
    </xdr:from>
    <xdr:to>
      <xdr:col>2</xdr:col>
      <xdr:colOff>1059975</xdr:colOff>
      <xdr:row>50</xdr:row>
      <xdr:rowOff>59850</xdr:rowOff>
    </xdr:to>
    <xdr:pic>
      <xdr:nvPicPr>
        <xdr:cNvPr id="25" name="Picture 6">
          <a:extLst>
            <a:ext uri="{FF2B5EF4-FFF2-40B4-BE49-F238E27FC236}">
              <a16:creationId xmlns:a16="http://schemas.microsoft.com/office/drawing/2014/main" id="{00000000-0008-0000-0B00-000019000000}"/>
            </a:ext>
          </a:extLst>
        </xdr:cNvPr>
        <xdr:cNvPicPr>
          <a:picLocks/>
        </xdr:cNvPicPr>
      </xdr:nvPicPr>
      <xdr:blipFill>
        <a:blip xmlns:r="http://schemas.openxmlformats.org/officeDocument/2006/relationships" r:embed="rId2"/>
        <a:srcRect/>
        <a:stretch>
          <a:fillRect/>
        </a:stretch>
      </xdr:blipFill>
      <xdr:spPr bwMode="auto">
        <a:xfrm>
          <a:off x="161925" y="8543925"/>
          <a:ext cx="1260000" cy="1260000"/>
        </a:xfrm>
        <a:prstGeom prst="rect">
          <a:avLst/>
        </a:prstGeom>
        <a:noFill/>
        <a:ln w="9525">
          <a:noFill/>
          <a:miter lim="800000"/>
          <a:headEnd/>
          <a:tailEnd/>
        </a:ln>
      </xdr:spPr>
    </xdr:pic>
    <xdr:clientData/>
  </xdr:twoCellAnchor>
  <xdr:twoCellAnchor>
    <xdr:from>
      <xdr:col>14</xdr:col>
      <xdr:colOff>161925</xdr:colOff>
      <xdr:row>14</xdr:row>
      <xdr:rowOff>161925</xdr:rowOff>
    </xdr:from>
    <xdr:to>
      <xdr:col>15</xdr:col>
      <xdr:colOff>523875</xdr:colOff>
      <xdr:row>17</xdr:row>
      <xdr:rowOff>47625</xdr:rowOff>
    </xdr:to>
    <xdr:sp macro="[0]!Cetak" textlink="">
      <xdr:nvSpPr>
        <xdr:cNvPr id="27" name="Rectangle: Single Corner Snipped 26">
          <a:extLst>
            <a:ext uri="{FF2B5EF4-FFF2-40B4-BE49-F238E27FC236}">
              <a16:creationId xmlns:a16="http://schemas.microsoft.com/office/drawing/2014/main" id="{00000000-0008-0000-0B00-00001B000000}"/>
            </a:ext>
          </a:extLst>
        </xdr:cNvPr>
        <xdr:cNvSpPr/>
      </xdr:nvSpPr>
      <xdr:spPr>
        <a:xfrm>
          <a:off x="7867650" y="2647950"/>
          <a:ext cx="971550" cy="476250"/>
        </a:xfrm>
        <a:prstGeom prst="snip1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600" b="1">
              <a:solidFill>
                <a:schemeClr val="tx1"/>
              </a:solidFill>
              <a:latin typeface="Times New Roman" panose="02020603050405020304" pitchFamily="18" charset="0"/>
              <a:cs typeface="Times New Roman" panose="02020603050405020304" pitchFamily="18" charset="0"/>
            </a:rPr>
            <a:t>CETAK</a:t>
          </a:r>
        </a:p>
      </xdr:txBody>
    </xdr:sp>
    <xdr:clientData/>
  </xdr:twoCellAnchor>
  <xdr:twoCellAnchor>
    <xdr:from>
      <xdr:col>16</xdr:col>
      <xdr:colOff>95250</xdr:colOff>
      <xdr:row>14</xdr:row>
      <xdr:rowOff>161924</xdr:rowOff>
    </xdr:from>
    <xdr:to>
      <xdr:col>17</xdr:col>
      <xdr:colOff>942974</xdr:colOff>
      <xdr:row>17</xdr:row>
      <xdr:rowOff>57149</xdr:rowOff>
    </xdr:to>
    <xdr:sp macro="[0]!PDF" textlink="">
      <xdr:nvSpPr>
        <xdr:cNvPr id="28" name="Rectangle: Single Corner Snipped 27">
          <a:extLst>
            <a:ext uri="{FF2B5EF4-FFF2-40B4-BE49-F238E27FC236}">
              <a16:creationId xmlns:a16="http://schemas.microsoft.com/office/drawing/2014/main" id="{00000000-0008-0000-0B00-00001C000000}"/>
            </a:ext>
          </a:extLst>
        </xdr:cNvPr>
        <xdr:cNvSpPr/>
      </xdr:nvSpPr>
      <xdr:spPr>
        <a:xfrm>
          <a:off x="9020175" y="2647949"/>
          <a:ext cx="1009649" cy="485775"/>
        </a:xfrm>
        <a:prstGeom prst="snip1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600" b="1">
              <a:solidFill>
                <a:schemeClr val="tx1"/>
              </a:solidFill>
              <a:latin typeface="Times New Roman" panose="02020603050405020304" pitchFamily="18" charset="0"/>
              <a:cs typeface="Times New Roman" panose="02020603050405020304" pitchFamily="18" charset="0"/>
            </a:rPr>
            <a:t>PDF</a:t>
          </a:r>
        </a:p>
      </xdr:txBody>
    </xdr:sp>
    <xdr:clientData/>
  </xdr:twoCellAnchor>
  <xdr:twoCellAnchor>
    <xdr:from>
      <xdr:col>15</xdr:col>
      <xdr:colOff>66675</xdr:colOff>
      <xdr:row>17</xdr:row>
      <xdr:rowOff>228600</xdr:rowOff>
    </xdr:from>
    <xdr:to>
      <xdr:col>17</xdr:col>
      <xdr:colOff>200025</xdr:colOff>
      <xdr:row>20</xdr:row>
      <xdr:rowOff>66675</xdr:rowOff>
    </xdr:to>
    <xdr:sp macro="[0]!_xludf.SAVE" textlink="">
      <xdr:nvSpPr>
        <xdr:cNvPr id="29" name="Rectangle: Top Corners Snipped 28">
          <a:extLst>
            <a:ext uri="{FF2B5EF4-FFF2-40B4-BE49-F238E27FC236}">
              <a16:creationId xmlns:a16="http://schemas.microsoft.com/office/drawing/2014/main" id="{00000000-0008-0000-0B00-00001D000000}"/>
            </a:ext>
          </a:extLst>
        </xdr:cNvPr>
        <xdr:cNvSpPr/>
      </xdr:nvSpPr>
      <xdr:spPr>
        <a:xfrm>
          <a:off x="8382000" y="3305175"/>
          <a:ext cx="904875" cy="638175"/>
        </a:xfrm>
        <a:prstGeom prst="snip2Same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ctr"/>
          <a:r>
            <a:rPr lang="en-US" sz="1200" b="1">
              <a:solidFill>
                <a:schemeClr val="tx1"/>
              </a:solidFill>
              <a:latin typeface="Times New Roman" panose="02020603050405020304" pitchFamily="18" charset="0"/>
              <a:cs typeface="Times New Roman" panose="02020603050405020304" pitchFamily="18" charset="0"/>
            </a:rPr>
            <a:t>SIMPAN DOKUMEN</a:t>
          </a:r>
        </a:p>
      </xdr:txBody>
    </xdr:sp>
    <xdr:clientData/>
  </xdr:twoCellAnchor>
  <mc:AlternateContent xmlns:mc="http://schemas.openxmlformats.org/markup-compatibility/2006">
    <mc:Choice xmlns:a14="http://schemas.microsoft.com/office/drawing/2010/main" Requires="a14">
      <xdr:twoCellAnchor>
        <xdr:from>
          <xdr:col>14</xdr:col>
          <xdr:colOff>28575</xdr:colOff>
          <xdr:row>8</xdr:row>
          <xdr:rowOff>0</xdr:rowOff>
        </xdr:from>
        <xdr:to>
          <xdr:col>14</xdr:col>
          <xdr:colOff>466725</xdr:colOff>
          <xdr:row>14</xdr:row>
          <xdr:rowOff>19050</xdr:rowOff>
        </xdr:to>
        <xdr:sp macro="" textlink="">
          <xdr:nvSpPr>
            <xdr:cNvPr id="23553" name="Spinner 1" hidden="1">
              <a:extLst>
                <a:ext uri="{63B3BB69-23CF-44E3-9099-C40C66FF867C}">
                  <a14:compatExt spid="_x0000_s23553"/>
                </a:ext>
                <a:ext uri="{FF2B5EF4-FFF2-40B4-BE49-F238E27FC236}">
                  <a16:creationId xmlns:a16="http://schemas.microsoft.com/office/drawing/2014/main" id="{00000000-0008-0000-0B00-0000015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2</xdr:col>
      <xdr:colOff>263071</xdr:colOff>
      <xdr:row>65</xdr:row>
      <xdr:rowOff>54429</xdr:rowOff>
    </xdr:from>
    <xdr:to>
      <xdr:col>2</xdr:col>
      <xdr:colOff>263071</xdr:colOff>
      <xdr:row>68</xdr:row>
      <xdr:rowOff>3629</xdr:rowOff>
    </xdr:to>
    <xdr:pic>
      <xdr:nvPicPr>
        <xdr:cNvPr id="9" name="Picture 4">
          <a:extLst>
            <a:ext uri="{FF2B5EF4-FFF2-40B4-BE49-F238E27FC236}">
              <a16:creationId xmlns:a16="http://schemas.microsoft.com/office/drawing/2014/main" id="{00000000-0008-0000-0C00-000009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9474654"/>
          <a:ext cx="0" cy="549275"/>
        </a:xfrm>
        <a:prstGeom prst="rect">
          <a:avLst/>
        </a:prstGeom>
        <a:noFill/>
        <a:ln>
          <a:noFill/>
        </a:ln>
      </xdr:spPr>
    </xdr:pic>
    <xdr:clientData/>
  </xdr:twoCellAnchor>
  <xdr:twoCellAnchor editAs="oneCell">
    <xdr:from>
      <xdr:col>1</xdr:col>
      <xdr:colOff>42863</xdr:colOff>
      <xdr:row>45</xdr:row>
      <xdr:rowOff>123825</xdr:rowOff>
    </xdr:from>
    <xdr:to>
      <xdr:col>1</xdr:col>
      <xdr:colOff>42863</xdr:colOff>
      <xdr:row>52</xdr:row>
      <xdr:rowOff>107475</xdr:rowOff>
    </xdr:to>
    <xdr:pic>
      <xdr:nvPicPr>
        <xdr:cNvPr id="11" name="Picture 6">
          <a:extLst>
            <a:ext uri="{FF2B5EF4-FFF2-40B4-BE49-F238E27FC236}">
              <a16:creationId xmlns:a16="http://schemas.microsoft.com/office/drawing/2014/main" id="{00000000-0008-0000-0C00-00000B000000}"/>
            </a:ext>
          </a:extLst>
        </xdr:cNvPr>
        <xdr:cNvPicPr>
          <a:picLocks/>
        </xdr:cNvPicPr>
      </xdr:nvPicPr>
      <xdr:blipFill>
        <a:blip xmlns:r="http://schemas.openxmlformats.org/officeDocument/2006/relationships" r:embed="rId2"/>
        <a:srcRect/>
        <a:stretch>
          <a:fillRect/>
        </a:stretch>
      </xdr:blipFill>
      <xdr:spPr bwMode="auto">
        <a:xfrm>
          <a:off x="147638" y="8943975"/>
          <a:ext cx="0" cy="1326675"/>
        </a:xfrm>
        <a:prstGeom prst="rect">
          <a:avLst/>
        </a:prstGeom>
        <a:noFill/>
        <a:ln w="9525">
          <a:noFill/>
          <a:miter lim="800000"/>
          <a:headEnd/>
          <a:tailEnd/>
        </a:ln>
      </xdr:spPr>
    </xdr:pic>
    <xdr:clientData/>
  </xdr:twoCellAnchor>
  <xdr:twoCellAnchor editAs="oneCell">
    <xdr:from>
      <xdr:col>2</xdr:col>
      <xdr:colOff>263071</xdr:colOff>
      <xdr:row>65</xdr:row>
      <xdr:rowOff>54429</xdr:rowOff>
    </xdr:from>
    <xdr:to>
      <xdr:col>2</xdr:col>
      <xdr:colOff>263071</xdr:colOff>
      <xdr:row>68</xdr:row>
      <xdr:rowOff>3629</xdr:rowOff>
    </xdr:to>
    <xdr:pic>
      <xdr:nvPicPr>
        <xdr:cNvPr id="13" name="Picture 4">
          <a:extLst>
            <a:ext uri="{FF2B5EF4-FFF2-40B4-BE49-F238E27FC236}">
              <a16:creationId xmlns:a16="http://schemas.microsoft.com/office/drawing/2014/main" id="{00000000-0008-0000-0C00-00000D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9474654"/>
          <a:ext cx="0" cy="549275"/>
        </a:xfrm>
        <a:prstGeom prst="rect">
          <a:avLst/>
        </a:prstGeom>
        <a:noFill/>
        <a:ln>
          <a:noFill/>
        </a:ln>
      </xdr:spPr>
    </xdr:pic>
    <xdr:clientData/>
  </xdr:twoCellAnchor>
  <xdr:twoCellAnchor editAs="oneCell">
    <xdr:from>
      <xdr:col>1</xdr:col>
      <xdr:colOff>42863</xdr:colOff>
      <xdr:row>45</xdr:row>
      <xdr:rowOff>123825</xdr:rowOff>
    </xdr:from>
    <xdr:to>
      <xdr:col>1</xdr:col>
      <xdr:colOff>42863</xdr:colOff>
      <xdr:row>52</xdr:row>
      <xdr:rowOff>107475</xdr:rowOff>
    </xdr:to>
    <xdr:pic>
      <xdr:nvPicPr>
        <xdr:cNvPr id="14" name="Picture 6">
          <a:extLst>
            <a:ext uri="{FF2B5EF4-FFF2-40B4-BE49-F238E27FC236}">
              <a16:creationId xmlns:a16="http://schemas.microsoft.com/office/drawing/2014/main" id="{00000000-0008-0000-0C00-00000E000000}"/>
            </a:ext>
          </a:extLst>
        </xdr:cNvPr>
        <xdr:cNvPicPr>
          <a:picLocks/>
        </xdr:cNvPicPr>
      </xdr:nvPicPr>
      <xdr:blipFill>
        <a:blip xmlns:r="http://schemas.openxmlformats.org/officeDocument/2006/relationships" r:embed="rId2"/>
        <a:srcRect/>
        <a:stretch>
          <a:fillRect/>
        </a:stretch>
      </xdr:blipFill>
      <xdr:spPr bwMode="auto">
        <a:xfrm>
          <a:off x="147638" y="8943975"/>
          <a:ext cx="0" cy="1326675"/>
        </a:xfrm>
        <a:prstGeom prst="rect">
          <a:avLst/>
        </a:prstGeom>
        <a:noFill/>
        <a:ln w="9525">
          <a:noFill/>
          <a:miter lim="800000"/>
          <a:headEnd/>
          <a:tailEnd/>
        </a:ln>
      </xdr:spPr>
    </xdr:pic>
    <xdr:clientData/>
  </xdr:twoCellAnchor>
  <xdr:twoCellAnchor editAs="oneCell">
    <xdr:from>
      <xdr:col>2</xdr:col>
      <xdr:colOff>263071</xdr:colOff>
      <xdr:row>64</xdr:row>
      <xdr:rowOff>54429</xdr:rowOff>
    </xdr:from>
    <xdr:to>
      <xdr:col>2</xdr:col>
      <xdr:colOff>263071</xdr:colOff>
      <xdr:row>67</xdr:row>
      <xdr:rowOff>3628</xdr:rowOff>
    </xdr:to>
    <xdr:pic>
      <xdr:nvPicPr>
        <xdr:cNvPr id="17" name="Picture 4">
          <a:extLst>
            <a:ext uri="{FF2B5EF4-FFF2-40B4-BE49-F238E27FC236}">
              <a16:creationId xmlns:a16="http://schemas.microsoft.com/office/drawing/2014/main" id="{00000000-0008-0000-0C00-000011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9322254"/>
          <a:ext cx="0" cy="549275"/>
        </a:xfrm>
        <a:prstGeom prst="rect">
          <a:avLst/>
        </a:prstGeom>
        <a:noFill/>
        <a:ln>
          <a:noFill/>
        </a:ln>
      </xdr:spPr>
    </xdr:pic>
    <xdr:clientData/>
  </xdr:twoCellAnchor>
  <xdr:twoCellAnchor editAs="oneCell">
    <xdr:from>
      <xdr:col>1</xdr:col>
      <xdr:colOff>42863</xdr:colOff>
      <xdr:row>61</xdr:row>
      <xdr:rowOff>123825</xdr:rowOff>
    </xdr:from>
    <xdr:to>
      <xdr:col>1</xdr:col>
      <xdr:colOff>42863</xdr:colOff>
      <xdr:row>68</xdr:row>
      <xdr:rowOff>50325</xdr:rowOff>
    </xdr:to>
    <xdr:pic>
      <xdr:nvPicPr>
        <xdr:cNvPr id="18" name="Picture 6">
          <a:extLst>
            <a:ext uri="{FF2B5EF4-FFF2-40B4-BE49-F238E27FC236}">
              <a16:creationId xmlns:a16="http://schemas.microsoft.com/office/drawing/2014/main" id="{00000000-0008-0000-0C00-000012000000}"/>
            </a:ext>
          </a:extLst>
        </xdr:cNvPr>
        <xdr:cNvPicPr>
          <a:picLocks/>
        </xdr:cNvPicPr>
      </xdr:nvPicPr>
      <xdr:blipFill>
        <a:blip xmlns:r="http://schemas.openxmlformats.org/officeDocument/2006/relationships" r:embed="rId2"/>
        <a:srcRect/>
        <a:stretch>
          <a:fillRect/>
        </a:stretch>
      </xdr:blipFill>
      <xdr:spPr bwMode="auto">
        <a:xfrm>
          <a:off x="147638" y="8791575"/>
          <a:ext cx="0" cy="1326675"/>
        </a:xfrm>
        <a:prstGeom prst="rect">
          <a:avLst/>
        </a:prstGeom>
        <a:noFill/>
        <a:ln w="9525">
          <a:noFill/>
          <a:miter lim="800000"/>
          <a:headEnd/>
          <a:tailEnd/>
        </a:ln>
      </xdr:spPr>
    </xdr:pic>
    <xdr:clientData/>
  </xdr:twoCellAnchor>
  <xdr:twoCellAnchor editAs="oneCell">
    <xdr:from>
      <xdr:col>1</xdr:col>
      <xdr:colOff>42863</xdr:colOff>
      <xdr:row>61</xdr:row>
      <xdr:rowOff>123825</xdr:rowOff>
    </xdr:from>
    <xdr:to>
      <xdr:col>1</xdr:col>
      <xdr:colOff>42863</xdr:colOff>
      <xdr:row>68</xdr:row>
      <xdr:rowOff>50325</xdr:rowOff>
    </xdr:to>
    <xdr:pic>
      <xdr:nvPicPr>
        <xdr:cNvPr id="20" name="Picture 6">
          <a:extLst>
            <a:ext uri="{FF2B5EF4-FFF2-40B4-BE49-F238E27FC236}">
              <a16:creationId xmlns:a16="http://schemas.microsoft.com/office/drawing/2014/main" id="{00000000-0008-0000-0C00-000014000000}"/>
            </a:ext>
          </a:extLst>
        </xdr:cNvPr>
        <xdr:cNvPicPr>
          <a:picLocks/>
        </xdr:cNvPicPr>
      </xdr:nvPicPr>
      <xdr:blipFill>
        <a:blip xmlns:r="http://schemas.openxmlformats.org/officeDocument/2006/relationships" r:embed="rId2"/>
        <a:srcRect/>
        <a:stretch>
          <a:fillRect/>
        </a:stretch>
      </xdr:blipFill>
      <xdr:spPr bwMode="auto">
        <a:xfrm>
          <a:off x="147638" y="8791575"/>
          <a:ext cx="0" cy="1326675"/>
        </a:xfrm>
        <a:prstGeom prst="rect">
          <a:avLst/>
        </a:prstGeom>
        <a:noFill/>
        <a:ln w="9525">
          <a:noFill/>
          <a:miter lim="800000"/>
          <a:headEnd/>
          <a:tailEnd/>
        </a:ln>
      </xdr:spPr>
    </xdr:pic>
    <xdr:clientData/>
  </xdr:twoCellAnchor>
  <xdr:twoCellAnchor editAs="oneCell">
    <xdr:from>
      <xdr:col>2</xdr:col>
      <xdr:colOff>263071</xdr:colOff>
      <xdr:row>64</xdr:row>
      <xdr:rowOff>54429</xdr:rowOff>
    </xdr:from>
    <xdr:to>
      <xdr:col>2</xdr:col>
      <xdr:colOff>263071</xdr:colOff>
      <xdr:row>67</xdr:row>
      <xdr:rowOff>3628</xdr:rowOff>
    </xdr:to>
    <xdr:pic>
      <xdr:nvPicPr>
        <xdr:cNvPr id="24" name="Picture 4">
          <a:extLst>
            <a:ext uri="{FF2B5EF4-FFF2-40B4-BE49-F238E27FC236}">
              <a16:creationId xmlns:a16="http://schemas.microsoft.com/office/drawing/2014/main" id="{00000000-0008-0000-0C00-000018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9341304"/>
          <a:ext cx="0" cy="549275"/>
        </a:xfrm>
        <a:prstGeom prst="rect">
          <a:avLst/>
        </a:prstGeom>
        <a:noFill/>
        <a:ln>
          <a:noFill/>
        </a:ln>
      </xdr:spPr>
    </xdr:pic>
    <xdr:clientData/>
  </xdr:twoCellAnchor>
  <xdr:twoCellAnchor editAs="oneCell">
    <xdr:from>
      <xdr:col>1</xdr:col>
      <xdr:colOff>42863</xdr:colOff>
      <xdr:row>61</xdr:row>
      <xdr:rowOff>123825</xdr:rowOff>
    </xdr:from>
    <xdr:to>
      <xdr:col>1</xdr:col>
      <xdr:colOff>42863</xdr:colOff>
      <xdr:row>68</xdr:row>
      <xdr:rowOff>50325</xdr:rowOff>
    </xdr:to>
    <xdr:pic>
      <xdr:nvPicPr>
        <xdr:cNvPr id="25" name="Picture 6">
          <a:extLst>
            <a:ext uri="{FF2B5EF4-FFF2-40B4-BE49-F238E27FC236}">
              <a16:creationId xmlns:a16="http://schemas.microsoft.com/office/drawing/2014/main" id="{00000000-0008-0000-0C00-000019000000}"/>
            </a:ext>
          </a:extLst>
        </xdr:cNvPr>
        <xdr:cNvPicPr>
          <a:picLocks/>
        </xdr:cNvPicPr>
      </xdr:nvPicPr>
      <xdr:blipFill>
        <a:blip xmlns:r="http://schemas.openxmlformats.org/officeDocument/2006/relationships" r:embed="rId2"/>
        <a:srcRect/>
        <a:stretch>
          <a:fillRect/>
        </a:stretch>
      </xdr:blipFill>
      <xdr:spPr bwMode="auto">
        <a:xfrm>
          <a:off x="147638" y="8810625"/>
          <a:ext cx="0" cy="1326675"/>
        </a:xfrm>
        <a:prstGeom prst="rect">
          <a:avLst/>
        </a:prstGeom>
        <a:noFill/>
        <a:ln w="9525">
          <a:noFill/>
          <a:miter lim="800000"/>
          <a:headEnd/>
          <a:tailEnd/>
        </a:ln>
      </xdr:spPr>
    </xdr:pic>
    <xdr:clientData/>
  </xdr:twoCellAnchor>
  <xdr:twoCellAnchor editAs="oneCell">
    <xdr:from>
      <xdr:col>1</xdr:col>
      <xdr:colOff>42863</xdr:colOff>
      <xdr:row>61</xdr:row>
      <xdr:rowOff>123825</xdr:rowOff>
    </xdr:from>
    <xdr:to>
      <xdr:col>1</xdr:col>
      <xdr:colOff>42863</xdr:colOff>
      <xdr:row>68</xdr:row>
      <xdr:rowOff>50325</xdr:rowOff>
    </xdr:to>
    <xdr:pic>
      <xdr:nvPicPr>
        <xdr:cNvPr id="27" name="Picture 6">
          <a:extLst>
            <a:ext uri="{FF2B5EF4-FFF2-40B4-BE49-F238E27FC236}">
              <a16:creationId xmlns:a16="http://schemas.microsoft.com/office/drawing/2014/main" id="{00000000-0008-0000-0C00-00001B000000}"/>
            </a:ext>
          </a:extLst>
        </xdr:cNvPr>
        <xdr:cNvPicPr>
          <a:picLocks/>
        </xdr:cNvPicPr>
      </xdr:nvPicPr>
      <xdr:blipFill>
        <a:blip xmlns:r="http://schemas.openxmlformats.org/officeDocument/2006/relationships" r:embed="rId2"/>
        <a:srcRect/>
        <a:stretch>
          <a:fillRect/>
        </a:stretch>
      </xdr:blipFill>
      <xdr:spPr bwMode="auto">
        <a:xfrm>
          <a:off x="147638" y="8810625"/>
          <a:ext cx="0" cy="1326675"/>
        </a:xfrm>
        <a:prstGeom prst="rect">
          <a:avLst/>
        </a:prstGeom>
        <a:noFill/>
        <a:ln w="9525">
          <a:noFill/>
          <a:miter lim="800000"/>
          <a:headEnd/>
          <a:tailEnd/>
        </a:ln>
      </xdr:spPr>
    </xdr:pic>
    <xdr:clientData/>
  </xdr:twoCellAnchor>
  <xdr:twoCellAnchor editAs="oneCell">
    <xdr:from>
      <xdr:col>2</xdr:col>
      <xdr:colOff>263071</xdr:colOff>
      <xdr:row>64</xdr:row>
      <xdr:rowOff>54429</xdr:rowOff>
    </xdr:from>
    <xdr:to>
      <xdr:col>2</xdr:col>
      <xdr:colOff>263071</xdr:colOff>
      <xdr:row>67</xdr:row>
      <xdr:rowOff>3628</xdr:rowOff>
    </xdr:to>
    <xdr:pic>
      <xdr:nvPicPr>
        <xdr:cNvPr id="35" name="Picture 4">
          <a:extLst>
            <a:ext uri="{FF2B5EF4-FFF2-40B4-BE49-F238E27FC236}">
              <a16:creationId xmlns:a16="http://schemas.microsoft.com/office/drawing/2014/main" id="{00000000-0008-0000-0C00-000023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9341304"/>
          <a:ext cx="0" cy="549275"/>
        </a:xfrm>
        <a:prstGeom prst="rect">
          <a:avLst/>
        </a:prstGeom>
        <a:noFill/>
        <a:ln>
          <a:noFill/>
        </a:ln>
      </xdr:spPr>
    </xdr:pic>
    <xdr:clientData/>
  </xdr:twoCellAnchor>
  <xdr:twoCellAnchor editAs="oneCell">
    <xdr:from>
      <xdr:col>1</xdr:col>
      <xdr:colOff>42863</xdr:colOff>
      <xdr:row>61</xdr:row>
      <xdr:rowOff>123825</xdr:rowOff>
    </xdr:from>
    <xdr:to>
      <xdr:col>1</xdr:col>
      <xdr:colOff>42863</xdr:colOff>
      <xdr:row>68</xdr:row>
      <xdr:rowOff>50325</xdr:rowOff>
    </xdr:to>
    <xdr:pic>
      <xdr:nvPicPr>
        <xdr:cNvPr id="36" name="Picture 6">
          <a:extLst>
            <a:ext uri="{FF2B5EF4-FFF2-40B4-BE49-F238E27FC236}">
              <a16:creationId xmlns:a16="http://schemas.microsoft.com/office/drawing/2014/main" id="{00000000-0008-0000-0C00-000024000000}"/>
            </a:ext>
          </a:extLst>
        </xdr:cNvPr>
        <xdr:cNvPicPr>
          <a:picLocks/>
        </xdr:cNvPicPr>
      </xdr:nvPicPr>
      <xdr:blipFill>
        <a:blip xmlns:r="http://schemas.openxmlformats.org/officeDocument/2006/relationships" r:embed="rId2"/>
        <a:srcRect/>
        <a:stretch>
          <a:fillRect/>
        </a:stretch>
      </xdr:blipFill>
      <xdr:spPr bwMode="auto">
        <a:xfrm>
          <a:off x="147638" y="8810625"/>
          <a:ext cx="0" cy="1326675"/>
        </a:xfrm>
        <a:prstGeom prst="rect">
          <a:avLst/>
        </a:prstGeom>
        <a:noFill/>
        <a:ln w="9525">
          <a:noFill/>
          <a:miter lim="800000"/>
          <a:headEnd/>
          <a:tailEnd/>
        </a:ln>
      </xdr:spPr>
    </xdr:pic>
    <xdr:clientData/>
  </xdr:twoCellAnchor>
  <xdr:twoCellAnchor editAs="oneCell">
    <xdr:from>
      <xdr:col>1</xdr:col>
      <xdr:colOff>42863</xdr:colOff>
      <xdr:row>61</xdr:row>
      <xdr:rowOff>123825</xdr:rowOff>
    </xdr:from>
    <xdr:to>
      <xdr:col>1</xdr:col>
      <xdr:colOff>42863</xdr:colOff>
      <xdr:row>68</xdr:row>
      <xdr:rowOff>50325</xdr:rowOff>
    </xdr:to>
    <xdr:pic>
      <xdr:nvPicPr>
        <xdr:cNvPr id="38" name="Picture 6">
          <a:extLst>
            <a:ext uri="{FF2B5EF4-FFF2-40B4-BE49-F238E27FC236}">
              <a16:creationId xmlns:a16="http://schemas.microsoft.com/office/drawing/2014/main" id="{00000000-0008-0000-0C00-000026000000}"/>
            </a:ext>
          </a:extLst>
        </xdr:cNvPr>
        <xdr:cNvPicPr>
          <a:picLocks/>
        </xdr:cNvPicPr>
      </xdr:nvPicPr>
      <xdr:blipFill>
        <a:blip xmlns:r="http://schemas.openxmlformats.org/officeDocument/2006/relationships" r:embed="rId2"/>
        <a:srcRect/>
        <a:stretch>
          <a:fillRect/>
        </a:stretch>
      </xdr:blipFill>
      <xdr:spPr bwMode="auto">
        <a:xfrm>
          <a:off x="147638" y="8810625"/>
          <a:ext cx="0" cy="1326675"/>
        </a:xfrm>
        <a:prstGeom prst="rect">
          <a:avLst/>
        </a:prstGeom>
        <a:noFill/>
        <a:ln w="9525">
          <a:noFill/>
          <a:miter lim="800000"/>
          <a:headEnd/>
          <a:tailEnd/>
        </a:ln>
      </xdr:spPr>
    </xdr:pic>
    <xdr:clientData/>
  </xdr:twoCellAnchor>
  <xdr:twoCellAnchor editAs="oneCell">
    <xdr:from>
      <xdr:col>2</xdr:col>
      <xdr:colOff>263071</xdr:colOff>
      <xdr:row>64</xdr:row>
      <xdr:rowOff>54429</xdr:rowOff>
    </xdr:from>
    <xdr:to>
      <xdr:col>2</xdr:col>
      <xdr:colOff>263071</xdr:colOff>
      <xdr:row>67</xdr:row>
      <xdr:rowOff>3628</xdr:rowOff>
    </xdr:to>
    <xdr:pic>
      <xdr:nvPicPr>
        <xdr:cNvPr id="46" name="Picture 4">
          <a:extLst>
            <a:ext uri="{FF2B5EF4-FFF2-40B4-BE49-F238E27FC236}">
              <a16:creationId xmlns:a16="http://schemas.microsoft.com/office/drawing/2014/main" id="{00000000-0008-0000-0C00-00002E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9341304"/>
          <a:ext cx="0" cy="549275"/>
        </a:xfrm>
        <a:prstGeom prst="rect">
          <a:avLst/>
        </a:prstGeom>
        <a:noFill/>
        <a:ln>
          <a:noFill/>
        </a:ln>
      </xdr:spPr>
    </xdr:pic>
    <xdr:clientData/>
  </xdr:twoCellAnchor>
  <xdr:twoCellAnchor editAs="oneCell">
    <xdr:from>
      <xdr:col>1</xdr:col>
      <xdr:colOff>42863</xdr:colOff>
      <xdr:row>61</xdr:row>
      <xdr:rowOff>123825</xdr:rowOff>
    </xdr:from>
    <xdr:to>
      <xdr:col>1</xdr:col>
      <xdr:colOff>42863</xdr:colOff>
      <xdr:row>68</xdr:row>
      <xdr:rowOff>50325</xdr:rowOff>
    </xdr:to>
    <xdr:pic>
      <xdr:nvPicPr>
        <xdr:cNvPr id="47" name="Picture 6">
          <a:extLst>
            <a:ext uri="{FF2B5EF4-FFF2-40B4-BE49-F238E27FC236}">
              <a16:creationId xmlns:a16="http://schemas.microsoft.com/office/drawing/2014/main" id="{00000000-0008-0000-0C00-00002F000000}"/>
            </a:ext>
          </a:extLst>
        </xdr:cNvPr>
        <xdr:cNvPicPr>
          <a:picLocks/>
        </xdr:cNvPicPr>
      </xdr:nvPicPr>
      <xdr:blipFill>
        <a:blip xmlns:r="http://schemas.openxmlformats.org/officeDocument/2006/relationships" r:embed="rId2"/>
        <a:srcRect/>
        <a:stretch>
          <a:fillRect/>
        </a:stretch>
      </xdr:blipFill>
      <xdr:spPr bwMode="auto">
        <a:xfrm>
          <a:off x="147638" y="8810625"/>
          <a:ext cx="0" cy="1326675"/>
        </a:xfrm>
        <a:prstGeom prst="rect">
          <a:avLst/>
        </a:prstGeom>
        <a:noFill/>
        <a:ln w="9525">
          <a:noFill/>
          <a:miter lim="800000"/>
          <a:headEnd/>
          <a:tailEnd/>
        </a:ln>
      </xdr:spPr>
    </xdr:pic>
    <xdr:clientData/>
  </xdr:twoCellAnchor>
  <xdr:twoCellAnchor editAs="oneCell">
    <xdr:from>
      <xdr:col>1</xdr:col>
      <xdr:colOff>42863</xdr:colOff>
      <xdr:row>61</xdr:row>
      <xdr:rowOff>123825</xdr:rowOff>
    </xdr:from>
    <xdr:to>
      <xdr:col>1</xdr:col>
      <xdr:colOff>42863</xdr:colOff>
      <xdr:row>68</xdr:row>
      <xdr:rowOff>50325</xdr:rowOff>
    </xdr:to>
    <xdr:pic>
      <xdr:nvPicPr>
        <xdr:cNvPr id="49" name="Picture 6">
          <a:extLst>
            <a:ext uri="{FF2B5EF4-FFF2-40B4-BE49-F238E27FC236}">
              <a16:creationId xmlns:a16="http://schemas.microsoft.com/office/drawing/2014/main" id="{00000000-0008-0000-0C00-000031000000}"/>
            </a:ext>
          </a:extLst>
        </xdr:cNvPr>
        <xdr:cNvPicPr>
          <a:picLocks/>
        </xdr:cNvPicPr>
      </xdr:nvPicPr>
      <xdr:blipFill>
        <a:blip xmlns:r="http://schemas.openxmlformats.org/officeDocument/2006/relationships" r:embed="rId2"/>
        <a:srcRect/>
        <a:stretch>
          <a:fillRect/>
        </a:stretch>
      </xdr:blipFill>
      <xdr:spPr bwMode="auto">
        <a:xfrm>
          <a:off x="147638" y="8810625"/>
          <a:ext cx="0" cy="1326675"/>
        </a:xfrm>
        <a:prstGeom prst="rect">
          <a:avLst/>
        </a:prstGeom>
        <a:noFill/>
        <a:ln w="9525">
          <a:noFill/>
          <a:miter lim="800000"/>
          <a:headEnd/>
          <a:tailEnd/>
        </a:ln>
      </xdr:spPr>
    </xdr:pic>
    <xdr:clientData/>
  </xdr:twoCellAnchor>
  <xdr:oneCellAnchor>
    <xdr:from>
      <xdr:col>1</xdr:col>
      <xdr:colOff>85725</xdr:colOff>
      <xdr:row>0</xdr:row>
      <xdr:rowOff>85726</xdr:rowOff>
    </xdr:from>
    <xdr:ext cx="1543050" cy="1531218"/>
    <xdr:pic>
      <xdr:nvPicPr>
        <xdr:cNvPr id="56" name="Picture 55">
          <a:extLst>
            <a:ext uri="{FF2B5EF4-FFF2-40B4-BE49-F238E27FC236}">
              <a16:creationId xmlns:a16="http://schemas.microsoft.com/office/drawing/2014/main" id="{00000000-0008-0000-0C00-000038000000}"/>
            </a:ext>
          </a:extLst>
        </xdr:cNvPr>
        <xdr:cNvPicPr>
          <a:picLocks noChangeAspect="1"/>
        </xdr:cNvPicPr>
      </xdr:nvPicPr>
      <xdr:blipFill>
        <a:blip xmlns:r="http://schemas.openxmlformats.org/officeDocument/2006/relationships" r:embed="rId3"/>
        <a:stretch>
          <a:fillRect/>
        </a:stretch>
      </xdr:blipFill>
      <xdr:spPr>
        <a:xfrm>
          <a:off x="190500" y="85726"/>
          <a:ext cx="1543050" cy="1531218"/>
        </a:xfrm>
        <a:prstGeom prst="rect">
          <a:avLst/>
        </a:prstGeom>
      </xdr:spPr>
    </xdr:pic>
    <xdr:clientData/>
  </xdr:oneCellAnchor>
  <xdr:twoCellAnchor editAs="oneCell">
    <xdr:from>
      <xdr:col>2</xdr:col>
      <xdr:colOff>263071</xdr:colOff>
      <xdr:row>64</xdr:row>
      <xdr:rowOff>54429</xdr:rowOff>
    </xdr:from>
    <xdr:to>
      <xdr:col>2</xdr:col>
      <xdr:colOff>263071</xdr:colOff>
      <xdr:row>67</xdr:row>
      <xdr:rowOff>3628</xdr:rowOff>
    </xdr:to>
    <xdr:pic>
      <xdr:nvPicPr>
        <xdr:cNvPr id="57" name="Picture 4">
          <a:extLst>
            <a:ext uri="{FF2B5EF4-FFF2-40B4-BE49-F238E27FC236}">
              <a16:creationId xmlns:a16="http://schemas.microsoft.com/office/drawing/2014/main" id="{00000000-0008-0000-0C00-000039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9341304"/>
          <a:ext cx="0" cy="549275"/>
        </a:xfrm>
        <a:prstGeom prst="rect">
          <a:avLst/>
        </a:prstGeom>
        <a:noFill/>
        <a:ln>
          <a:noFill/>
        </a:ln>
      </xdr:spPr>
    </xdr:pic>
    <xdr:clientData/>
  </xdr:twoCellAnchor>
  <xdr:twoCellAnchor editAs="oneCell">
    <xdr:from>
      <xdr:col>1</xdr:col>
      <xdr:colOff>42863</xdr:colOff>
      <xdr:row>61</xdr:row>
      <xdr:rowOff>123825</xdr:rowOff>
    </xdr:from>
    <xdr:to>
      <xdr:col>1</xdr:col>
      <xdr:colOff>42863</xdr:colOff>
      <xdr:row>68</xdr:row>
      <xdr:rowOff>50325</xdr:rowOff>
    </xdr:to>
    <xdr:pic>
      <xdr:nvPicPr>
        <xdr:cNvPr id="58" name="Picture 6">
          <a:extLst>
            <a:ext uri="{FF2B5EF4-FFF2-40B4-BE49-F238E27FC236}">
              <a16:creationId xmlns:a16="http://schemas.microsoft.com/office/drawing/2014/main" id="{00000000-0008-0000-0C00-00003A000000}"/>
            </a:ext>
          </a:extLst>
        </xdr:cNvPr>
        <xdr:cNvPicPr>
          <a:picLocks/>
        </xdr:cNvPicPr>
      </xdr:nvPicPr>
      <xdr:blipFill>
        <a:blip xmlns:r="http://schemas.openxmlformats.org/officeDocument/2006/relationships" r:embed="rId2"/>
        <a:srcRect/>
        <a:stretch>
          <a:fillRect/>
        </a:stretch>
      </xdr:blipFill>
      <xdr:spPr bwMode="auto">
        <a:xfrm>
          <a:off x="147638" y="8810625"/>
          <a:ext cx="0" cy="1326675"/>
        </a:xfrm>
        <a:prstGeom prst="rect">
          <a:avLst/>
        </a:prstGeom>
        <a:noFill/>
        <a:ln w="9525">
          <a:noFill/>
          <a:miter lim="800000"/>
          <a:headEnd/>
          <a:tailEnd/>
        </a:ln>
      </xdr:spPr>
    </xdr:pic>
    <xdr:clientData/>
  </xdr:twoCellAnchor>
  <xdr:oneCellAnchor>
    <xdr:from>
      <xdr:col>1</xdr:col>
      <xdr:colOff>85725</xdr:colOff>
      <xdr:row>0</xdr:row>
      <xdr:rowOff>85726</xdr:rowOff>
    </xdr:from>
    <xdr:ext cx="1543050" cy="1531218"/>
    <xdr:pic>
      <xdr:nvPicPr>
        <xdr:cNvPr id="59" name="Picture 58">
          <a:extLst>
            <a:ext uri="{FF2B5EF4-FFF2-40B4-BE49-F238E27FC236}">
              <a16:creationId xmlns:a16="http://schemas.microsoft.com/office/drawing/2014/main" id="{00000000-0008-0000-0C00-00003B000000}"/>
            </a:ext>
          </a:extLst>
        </xdr:cNvPr>
        <xdr:cNvPicPr>
          <a:picLocks noChangeAspect="1"/>
        </xdr:cNvPicPr>
      </xdr:nvPicPr>
      <xdr:blipFill>
        <a:blip xmlns:r="http://schemas.openxmlformats.org/officeDocument/2006/relationships" r:embed="rId3"/>
        <a:stretch>
          <a:fillRect/>
        </a:stretch>
      </xdr:blipFill>
      <xdr:spPr>
        <a:xfrm>
          <a:off x="190500" y="85726"/>
          <a:ext cx="1543050" cy="1531218"/>
        </a:xfrm>
        <a:prstGeom prst="rect">
          <a:avLst/>
        </a:prstGeom>
      </xdr:spPr>
    </xdr:pic>
    <xdr:clientData/>
  </xdr:oneCellAnchor>
  <xdr:twoCellAnchor editAs="oneCell">
    <xdr:from>
      <xdr:col>1</xdr:col>
      <xdr:colOff>42863</xdr:colOff>
      <xdr:row>61</xdr:row>
      <xdr:rowOff>123825</xdr:rowOff>
    </xdr:from>
    <xdr:to>
      <xdr:col>1</xdr:col>
      <xdr:colOff>42863</xdr:colOff>
      <xdr:row>68</xdr:row>
      <xdr:rowOff>50325</xdr:rowOff>
    </xdr:to>
    <xdr:pic>
      <xdr:nvPicPr>
        <xdr:cNvPr id="60" name="Picture 6">
          <a:extLst>
            <a:ext uri="{FF2B5EF4-FFF2-40B4-BE49-F238E27FC236}">
              <a16:creationId xmlns:a16="http://schemas.microsoft.com/office/drawing/2014/main" id="{00000000-0008-0000-0C00-00003C000000}"/>
            </a:ext>
          </a:extLst>
        </xdr:cNvPr>
        <xdr:cNvPicPr>
          <a:picLocks/>
        </xdr:cNvPicPr>
      </xdr:nvPicPr>
      <xdr:blipFill>
        <a:blip xmlns:r="http://schemas.openxmlformats.org/officeDocument/2006/relationships" r:embed="rId2"/>
        <a:srcRect/>
        <a:stretch>
          <a:fillRect/>
        </a:stretch>
      </xdr:blipFill>
      <xdr:spPr bwMode="auto">
        <a:xfrm>
          <a:off x="147638" y="8810625"/>
          <a:ext cx="0" cy="1326675"/>
        </a:xfrm>
        <a:prstGeom prst="rect">
          <a:avLst/>
        </a:prstGeom>
        <a:noFill/>
        <a:ln w="9525">
          <a:noFill/>
          <a:miter lim="800000"/>
          <a:headEnd/>
          <a:tailEnd/>
        </a:ln>
      </xdr:spPr>
    </xdr:pic>
    <xdr:clientData/>
  </xdr:twoCellAnchor>
  <xdr:twoCellAnchor>
    <xdr:from>
      <xdr:col>13</xdr:col>
      <xdr:colOff>38100</xdr:colOff>
      <xdr:row>1</xdr:row>
      <xdr:rowOff>28575</xdr:rowOff>
    </xdr:from>
    <xdr:to>
      <xdr:col>15</xdr:col>
      <xdr:colOff>428625</xdr:colOff>
      <xdr:row>5</xdr:row>
      <xdr:rowOff>28575</xdr:rowOff>
    </xdr:to>
    <xdr:sp macro="[0]!Home" textlink="">
      <xdr:nvSpPr>
        <xdr:cNvPr id="61" name="Arrow: Left 60">
          <a:extLst>
            <a:ext uri="{FF2B5EF4-FFF2-40B4-BE49-F238E27FC236}">
              <a16:creationId xmlns:a16="http://schemas.microsoft.com/office/drawing/2014/main" id="{00000000-0008-0000-0C00-00003D000000}"/>
            </a:ext>
          </a:extLst>
        </xdr:cNvPr>
        <xdr:cNvSpPr/>
      </xdr:nvSpPr>
      <xdr:spPr>
        <a:xfrm>
          <a:off x="7515225" y="123825"/>
          <a:ext cx="1114425" cy="800100"/>
        </a:xfrm>
        <a:prstGeom prst="leftArrow">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800">
              <a:latin typeface="Times New Roman" panose="02020603050405020304" pitchFamily="18" charset="0"/>
              <a:cs typeface="Times New Roman" panose="02020603050405020304" pitchFamily="18" charset="0"/>
            </a:rPr>
            <a:t>HOME</a:t>
          </a:r>
        </a:p>
      </xdr:txBody>
    </xdr:sp>
    <xdr:clientData/>
  </xdr:twoCellAnchor>
  <xdr:twoCellAnchor>
    <xdr:from>
      <xdr:col>14</xdr:col>
      <xdr:colOff>161925</xdr:colOff>
      <xdr:row>14</xdr:row>
      <xdr:rowOff>161925</xdr:rowOff>
    </xdr:from>
    <xdr:to>
      <xdr:col>15</xdr:col>
      <xdr:colOff>523875</xdr:colOff>
      <xdr:row>18</xdr:row>
      <xdr:rowOff>47625</xdr:rowOff>
    </xdr:to>
    <xdr:sp macro="[0]!Cetak" textlink="">
      <xdr:nvSpPr>
        <xdr:cNvPr id="64" name="Rectangle: Single Corner Snipped 63">
          <a:extLst>
            <a:ext uri="{FF2B5EF4-FFF2-40B4-BE49-F238E27FC236}">
              <a16:creationId xmlns:a16="http://schemas.microsoft.com/office/drawing/2014/main" id="{00000000-0008-0000-0C00-000040000000}"/>
            </a:ext>
          </a:extLst>
        </xdr:cNvPr>
        <xdr:cNvSpPr/>
      </xdr:nvSpPr>
      <xdr:spPr>
        <a:xfrm>
          <a:off x="7753350" y="2647950"/>
          <a:ext cx="971550" cy="476250"/>
        </a:xfrm>
        <a:prstGeom prst="snip1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600" b="1">
              <a:solidFill>
                <a:schemeClr val="tx1"/>
              </a:solidFill>
              <a:latin typeface="Times New Roman" panose="02020603050405020304" pitchFamily="18" charset="0"/>
              <a:cs typeface="Times New Roman" panose="02020603050405020304" pitchFamily="18" charset="0"/>
            </a:rPr>
            <a:t>CETAK</a:t>
          </a:r>
        </a:p>
      </xdr:txBody>
    </xdr:sp>
    <xdr:clientData/>
  </xdr:twoCellAnchor>
  <xdr:twoCellAnchor>
    <xdr:from>
      <xdr:col>16</xdr:col>
      <xdr:colOff>95250</xdr:colOff>
      <xdr:row>14</xdr:row>
      <xdr:rowOff>161924</xdr:rowOff>
    </xdr:from>
    <xdr:to>
      <xdr:col>17</xdr:col>
      <xdr:colOff>942974</xdr:colOff>
      <xdr:row>18</xdr:row>
      <xdr:rowOff>57149</xdr:rowOff>
    </xdr:to>
    <xdr:sp macro="[0]!PDF" textlink="">
      <xdr:nvSpPr>
        <xdr:cNvPr id="65" name="Rectangle: Single Corner Snipped 64">
          <a:extLst>
            <a:ext uri="{FF2B5EF4-FFF2-40B4-BE49-F238E27FC236}">
              <a16:creationId xmlns:a16="http://schemas.microsoft.com/office/drawing/2014/main" id="{00000000-0008-0000-0C00-000041000000}"/>
            </a:ext>
          </a:extLst>
        </xdr:cNvPr>
        <xdr:cNvSpPr/>
      </xdr:nvSpPr>
      <xdr:spPr>
        <a:xfrm>
          <a:off x="9020175" y="2647949"/>
          <a:ext cx="1009649" cy="485775"/>
        </a:xfrm>
        <a:prstGeom prst="snip1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600" b="1">
              <a:solidFill>
                <a:schemeClr val="tx1"/>
              </a:solidFill>
              <a:latin typeface="Times New Roman" panose="02020603050405020304" pitchFamily="18" charset="0"/>
              <a:cs typeface="Times New Roman" panose="02020603050405020304" pitchFamily="18" charset="0"/>
            </a:rPr>
            <a:t>PDF</a:t>
          </a:r>
        </a:p>
      </xdr:txBody>
    </xdr:sp>
    <xdr:clientData/>
  </xdr:twoCellAnchor>
  <xdr:twoCellAnchor>
    <xdr:from>
      <xdr:col>15</xdr:col>
      <xdr:colOff>66675</xdr:colOff>
      <xdr:row>18</xdr:row>
      <xdr:rowOff>228600</xdr:rowOff>
    </xdr:from>
    <xdr:to>
      <xdr:col>17</xdr:col>
      <xdr:colOff>200025</xdr:colOff>
      <xdr:row>21</xdr:row>
      <xdr:rowOff>66675</xdr:rowOff>
    </xdr:to>
    <xdr:sp macro="[0]!_xludf.SAVE" textlink="">
      <xdr:nvSpPr>
        <xdr:cNvPr id="66" name="Rectangle: Top Corners Snipped 65">
          <a:extLst>
            <a:ext uri="{FF2B5EF4-FFF2-40B4-BE49-F238E27FC236}">
              <a16:creationId xmlns:a16="http://schemas.microsoft.com/office/drawing/2014/main" id="{00000000-0008-0000-0C00-000042000000}"/>
            </a:ext>
          </a:extLst>
        </xdr:cNvPr>
        <xdr:cNvSpPr/>
      </xdr:nvSpPr>
      <xdr:spPr>
        <a:xfrm>
          <a:off x="8267700" y="3305175"/>
          <a:ext cx="1133475" cy="638175"/>
        </a:xfrm>
        <a:prstGeom prst="snip2Same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ctr"/>
          <a:r>
            <a:rPr lang="en-US" sz="1200" b="1">
              <a:solidFill>
                <a:schemeClr val="tx1"/>
              </a:solidFill>
              <a:latin typeface="Times New Roman" panose="02020603050405020304" pitchFamily="18" charset="0"/>
              <a:cs typeface="Times New Roman" panose="02020603050405020304" pitchFamily="18" charset="0"/>
            </a:rPr>
            <a:t>SIMPAN DOKUMEN</a:t>
          </a:r>
        </a:p>
      </xdr:txBody>
    </xdr:sp>
    <xdr:clientData/>
  </xdr:twoCellAnchor>
  <xdr:twoCellAnchor editAs="oneCell">
    <xdr:from>
      <xdr:col>2</xdr:col>
      <xdr:colOff>263071</xdr:colOff>
      <xdr:row>63</xdr:row>
      <xdr:rowOff>54429</xdr:rowOff>
    </xdr:from>
    <xdr:to>
      <xdr:col>2</xdr:col>
      <xdr:colOff>263071</xdr:colOff>
      <xdr:row>66</xdr:row>
      <xdr:rowOff>3628</xdr:rowOff>
    </xdr:to>
    <xdr:pic>
      <xdr:nvPicPr>
        <xdr:cNvPr id="30" name="Picture 4">
          <a:extLst>
            <a:ext uri="{FF2B5EF4-FFF2-40B4-BE49-F238E27FC236}">
              <a16:creationId xmlns:a16="http://schemas.microsoft.com/office/drawing/2014/main" id="{00000000-0008-0000-0C00-00001E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12913179"/>
          <a:ext cx="0" cy="549274"/>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xdr:from>
          <xdr:col>14</xdr:col>
          <xdr:colOff>28575</xdr:colOff>
          <xdr:row>8</xdr:row>
          <xdr:rowOff>0</xdr:rowOff>
        </xdr:from>
        <xdr:to>
          <xdr:col>14</xdr:col>
          <xdr:colOff>466725</xdr:colOff>
          <xdr:row>14</xdr:row>
          <xdr:rowOff>19050</xdr:rowOff>
        </xdr:to>
        <xdr:sp macro="" textlink="">
          <xdr:nvSpPr>
            <xdr:cNvPr id="17412" name="Spinner 4" hidden="1">
              <a:extLst>
                <a:ext uri="{63B3BB69-23CF-44E3-9099-C40C66FF867C}">
                  <a14:compatExt spid="_x0000_s17412"/>
                </a:ext>
                <a:ext uri="{FF2B5EF4-FFF2-40B4-BE49-F238E27FC236}">
                  <a16:creationId xmlns:a16="http://schemas.microsoft.com/office/drawing/2014/main" id="{00000000-0008-0000-0C00-0000044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oneCellAnchor>
    <xdr:from>
      <xdr:col>1</xdr:col>
      <xdr:colOff>85725</xdr:colOff>
      <xdr:row>0</xdr:row>
      <xdr:rowOff>85726</xdr:rowOff>
    </xdr:from>
    <xdr:ext cx="1543050" cy="1531218"/>
    <xdr:pic>
      <xdr:nvPicPr>
        <xdr:cNvPr id="2" name="Picture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stretch>
          <a:fillRect/>
        </a:stretch>
      </xdr:blipFill>
      <xdr:spPr>
        <a:xfrm>
          <a:off x="190500" y="85726"/>
          <a:ext cx="1543050" cy="1531218"/>
        </a:xfrm>
        <a:prstGeom prst="rect">
          <a:avLst/>
        </a:prstGeom>
      </xdr:spPr>
    </xdr:pic>
    <xdr:clientData/>
  </xdr:oneCellAnchor>
  <xdr:twoCellAnchor editAs="oneCell">
    <xdr:from>
      <xdr:col>2</xdr:col>
      <xdr:colOff>263071</xdr:colOff>
      <xdr:row>39</xdr:row>
      <xdr:rowOff>54429</xdr:rowOff>
    </xdr:from>
    <xdr:to>
      <xdr:col>2</xdr:col>
      <xdr:colOff>263071</xdr:colOff>
      <xdr:row>42</xdr:row>
      <xdr:rowOff>3629</xdr:rowOff>
    </xdr:to>
    <xdr:pic>
      <xdr:nvPicPr>
        <xdr:cNvPr id="3" name="Picture 4">
          <a:extLst>
            <a:ext uri="{FF2B5EF4-FFF2-40B4-BE49-F238E27FC236}">
              <a16:creationId xmlns:a16="http://schemas.microsoft.com/office/drawing/2014/main" id="{00000000-0008-0000-0D00-000003000000}"/>
            </a:ext>
          </a:extLst>
        </xdr:cNvPr>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82171" y="12827454"/>
          <a:ext cx="0" cy="549275"/>
        </a:xfrm>
        <a:prstGeom prst="rect">
          <a:avLst/>
        </a:prstGeom>
        <a:noFill/>
        <a:ln>
          <a:noFill/>
        </a:ln>
      </xdr:spPr>
    </xdr:pic>
    <xdr:clientData/>
  </xdr:twoCellAnchor>
  <xdr:oneCellAnchor>
    <xdr:from>
      <xdr:col>1</xdr:col>
      <xdr:colOff>85725</xdr:colOff>
      <xdr:row>0</xdr:row>
      <xdr:rowOff>85726</xdr:rowOff>
    </xdr:from>
    <xdr:ext cx="1543050" cy="1531218"/>
    <xdr:pic>
      <xdr:nvPicPr>
        <xdr:cNvPr id="4" name="Picture 3">
          <a:extLst>
            <a:ext uri="{FF2B5EF4-FFF2-40B4-BE49-F238E27FC236}">
              <a16:creationId xmlns:a16="http://schemas.microsoft.com/office/drawing/2014/main" id="{00000000-0008-0000-0D00-000004000000}"/>
            </a:ext>
          </a:extLst>
        </xdr:cNvPr>
        <xdr:cNvPicPr>
          <a:picLocks noChangeAspect="1"/>
        </xdr:cNvPicPr>
      </xdr:nvPicPr>
      <xdr:blipFill>
        <a:blip xmlns:r="http://schemas.openxmlformats.org/officeDocument/2006/relationships" r:embed="rId1"/>
        <a:stretch>
          <a:fillRect/>
        </a:stretch>
      </xdr:blipFill>
      <xdr:spPr>
        <a:xfrm>
          <a:off x="190500" y="85726"/>
          <a:ext cx="1543050" cy="1531218"/>
        </a:xfrm>
        <a:prstGeom prst="rect">
          <a:avLst/>
        </a:prstGeom>
      </xdr:spPr>
    </xdr:pic>
    <xdr:clientData/>
  </xdr:oneCellAnchor>
  <xdr:twoCellAnchor>
    <xdr:from>
      <xdr:col>13</xdr:col>
      <xdr:colOff>38100</xdr:colOff>
      <xdr:row>1</xdr:row>
      <xdr:rowOff>28575</xdr:rowOff>
    </xdr:from>
    <xdr:to>
      <xdr:col>15</xdr:col>
      <xdr:colOff>428625</xdr:colOff>
      <xdr:row>5</xdr:row>
      <xdr:rowOff>28575</xdr:rowOff>
    </xdr:to>
    <xdr:sp macro="[0]!Home" textlink="">
      <xdr:nvSpPr>
        <xdr:cNvPr id="5" name="Arrow: Left 4">
          <a:extLst>
            <a:ext uri="{FF2B5EF4-FFF2-40B4-BE49-F238E27FC236}">
              <a16:creationId xmlns:a16="http://schemas.microsoft.com/office/drawing/2014/main" id="{00000000-0008-0000-0D00-000005000000}"/>
            </a:ext>
          </a:extLst>
        </xdr:cNvPr>
        <xdr:cNvSpPr/>
      </xdr:nvSpPr>
      <xdr:spPr>
        <a:xfrm>
          <a:off x="7648575" y="123825"/>
          <a:ext cx="1114425" cy="800100"/>
        </a:xfrm>
        <a:prstGeom prst="leftArrow">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800">
              <a:latin typeface="Times New Roman" panose="02020603050405020304" pitchFamily="18" charset="0"/>
              <a:cs typeface="Times New Roman" panose="02020603050405020304" pitchFamily="18" charset="0"/>
            </a:rPr>
            <a:t>HOME</a:t>
          </a:r>
        </a:p>
      </xdr:txBody>
    </xdr:sp>
    <xdr:clientData/>
  </xdr:twoCellAnchor>
  <xdr:twoCellAnchor>
    <xdr:from>
      <xdr:col>14</xdr:col>
      <xdr:colOff>161925</xdr:colOff>
      <xdr:row>14</xdr:row>
      <xdr:rowOff>161925</xdr:rowOff>
    </xdr:from>
    <xdr:to>
      <xdr:col>15</xdr:col>
      <xdr:colOff>523875</xdr:colOff>
      <xdr:row>18</xdr:row>
      <xdr:rowOff>0</xdr:rowOff>
    </xdr:to>
    <xdr:sp macro="[0]!Cetak" textlink="">
      <xdr:nvSpPr>
        <xdr:cNvPr id="7" name="Rectangle: Single Corner Snipped 6">
          <a:extLst>
            <a:ext uri="{FF2B5EF4-FFF2-40B4-BE49-F238E27FC236}">
              <a16:creationId xmlns:a16="http://schemas.microsoft.com/office/drawing/2014/main" id="{00000000-0008-0000-0D00-000007000000}"/>
            </a:ext>
          </a:extLst>
        </xdr:cNvPr>
        <xdr:cNvSpPr/>
      </xdr:nvSpPr>
      <xdr:spPr>
        <a:xfrm>
          <a:off x="7886700" y="2647950"/>
          <a:ext cx="971550" cy="923925"/>
        </a:xfrm>
        <a:prstGeom prst="snip1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600" b="1">
              <a:solidFill>
                <a:schemeClr val="tx1"/>
              </a:solidFill>
              <a:latin typeface="Times New Roman" panose="02020603050405020304" pitchFamily="18" charset="0"/>
              <a:cs typeface="Times New Roman" panose="02020603050405020304" pitchFamily="18" charset="0"/>
            </a:rPr>
            <a:t>CETAK</a:t>
          </a:r>
        </a:p>
      </xdr:txBody>
    </xdr:sp>
    <xdr:clientData/>
  </xdr:twoCellAnchor>
  <xdr:twoCellAnchor>
    <xdr:from>
      <xdr:col>16</xdr:col>
      <xdr:colOff>95250</xdr:colOff>
      <xdr:row>14</xdr:row>
      <xdr:rowOff>161925</xdr:rowOff>
    </xdr:from>
    <xdr:to>
      <xdr:col>17</xdr:col>
      <xdr:colOff>974910</xdr:colOff>
      <xdr:row>18</xdr:row>
      <xdr:rowOff>0</xdr:rowOff>
    </xdr:to>
    <xdr:sp macro="[0]!PDF" textlink="">
      <xdr:nvSpPr>
        <xdr:cNvPr id="8" name="Rectangle: Single Corner Snipped 7">
          <a:extLst>
            <a:ext uri="{FF2B5EF4-FFF2-40B4-BE49-F238E27FC236}">
              <a16:creationId xmlns:a16="http://schemas.microsoft.com/office/drawing/2014/main" id="{00000000-0008-0000-0D00-000008000000}"/>
            </a:ext>
          </a:extLst>
        </xdr:cNvPr>
        <xdr:cNvSpPr/>
      </xdr:nvSpPr>
      <xdr:spPr>
        <a:xfrm>
          <a:off x="9039225" y="2647950"/>
          <a:ext cx="1041585" cy="923925"/>
        </a:xfrm>
        <a:prstGeom prst="snip1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600" b="1">
              <a:solidFill>
                <a:schemeClr val="tx1"/>
              </a:solidFill>
              <a:latin typeface="Times New Roman" panose="02020603050405020304" pitchFamily="18" charset="0"/>
              <a:cs typeface="Times New Roman" panose="02020603050405020304" pitchFamily="18" charset="0"/>
            </a:rPr>
            <a:t>PDF</a:t>
          </a:r>
        </a:p>
      </xdr:txBody>
    </xdr:sp>
    <xdr:clientData/>
  </xdr:twoCellAnchor>
  <xdr:twoCellAnchor>
    <xdr:from>
      <xdr:col>15</xdr:col>
      <xdr:colOff>178734</xdr:colOff>
      <xdr:row>18</xdr:row>
      <xdr:rowOff>201706</xdr:rowOff>
    </xdr:from>
    <xdr:to>
      <xdr:col>17</xdr:col>
      <xdr:colOff>312084</xdr:colOff>
      <xdr:row>19</xdr:row>
      <xdr:rowOff>268381</xdr:rowOff>
    </xdr:to>
    <xdr:sp macro="[0]!_xludf.SAVE" textlink="">
      <xdr:nvSpPr>
        <xdr:cNvPr id="9" name="Rectangle: Top Corners Snipped 8">
          <a:extLst>
            <a:ext uri="{FF2B5EF4-FFF2-40B4-BE49-F238E27FC236}">
              <a16:creationId xmlns:a16="http://schemas.microsoft.com/office/drawing/2014/main" id="{00000000-0008-0000-0D00-000009000000}"/>
            </a:ext>
          </a:extLst>
        </xdr:cNvPr>
        <xdr:cNvSpPr/>
      </xdr:nvSpPr>
      <xdr:spPr>
        <a:xfrm>
          <a:off x="8513109" y="3773581"/>
          <a:ext cx="904875" cy="542925"/>
        </a:xfrm>
        <a:prstGeom prst="snip2Same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ctr"/>
          <a:r>
            <a:rPr lang="en-US" sz="1200" b="1">
              <a:solidFill>
                <a:schemeClr val="tx1"/>
              </a:solidFill>
              <a:latin typeface="Times New Roman" panose="02020603050405020304" pitchFamily="18" charset="0"/>
              <a:cs typeface="Times New Roman" panose="02020603050405020304" pitchFamily="18" charset="0"/>
            </a:rPr>
            <a:t>SIMPAN DOKUMEN</a:t>
          </a:r>
        </a:p>
      </xdr:txBody>
    </xdr:sp>
    <xdr:clientData/>
  </xdr:twoCellAnchor>
  <mc:AlternateContent xmlns:mc="http://schemas.openxmlformats.org/markup-compatibility/2006">
    <mc:Choice xmlns:a14="http://schemas.microsoft.com/office/drawing/2010/main" Requires="a14">
      <xdr:twoCellAnchor>
        <xdr:from>
          <xdr:col>14</xdr:col>
          <xdr:colOff>28575</xdr:colOff>
          <xdr:row>8</xdr:row>
          <xdr:rowOff>0</xdr:rowOff>
        </xdr:from>
        <xdr:to>
          <xdr:col>14</xdr:col>
          <xdr:colOff>466725</xdr:colOff>
          <xdr:row>14</xdr:row>
          <xdr:rowOff>19050</xdr:rowOff>
        </xdr:to>
        <xdr:sp macro="" textlink="">
          <xdr:nvSpPr>
            <xdr:cNvPr id="80897" name="Spinner 1" hidden="1">
              <a:extLst>
                <a:ext uri="{63B3BB69-23CF-44E3-9099-C40C66FF867C}">
                  <a14:compatExt spid="_x0000_s80897"/>
                </a:ext>
                <a:ext uri="{FF2B5EF4-FFF2-40B4-BE49-F238E27FC236}">
                  <a16:creationId xmlns:a16="http://schemas.microsoft.com/office/drawing/2014/main" id="{00000000-0008-0000-0D00-0000013C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10</xdr:col>
      <xdr:colOff>0</xdr:colOff>
      <xdr:row>1</xdr:row>
      <xdr:rowOff>0</xdr:rowOff>
    </xdr:from>
    <xdr:to>
      <xdr:col>12</xdr:col>
      <xdr:colOff>47625</xdr:colOff>
      <xdr:row>5</xdr:row>
      <xdr:rowOff>38100</xdr:rowOff>
    </xdr:to>
    <xdr:sp macro="[0]!Home" textlink="">
      <xdr:nvSpPr>
        <xdr:cNvPr id="2" name="Arrow: Left 1">
          <a:extLst>
            <a:ext uri="{FF2B5EF4-FFF2-40B4-BE49-F238E27FC236}">
              <a16:creationId xmlns:a16="http://schemas.microsoft.com/office/drawing/2014/main" id="{00000000-0008-0000-0E00-000002000000}"/>
            </a:ext>
          </a:extLst>
        </xdr:cNvPr>
        <xdr:cNvSpPr/>
      </xdr:nvSpPr>
      <xdr:spPr>
        <a:xfrm>
          <a:off x="6096000" y="190500"/>
          <a:ext cx="1266825" cy="800100"/>
        </a:xfrm>
        <a:prstGeom prst="leftArrow">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800">
              <a:latin typeface="Times New Roman" panose="02020603050405020304" pitchFamily="18" charset="0"/>
              <a:cs typeface="Times New Roman" panose="02020603050405020304" pitchFamily="18" charset="0"/>
            </a:rPr>
            <a:t>HOME</a:t>
          </a:r>
        </a:p>
      </xdr:txBody>
    </xdr:sp>
    <xdr:clientData/>
  </xdr:twoCellAnchor>
  <xdr:twoCellAnchor>
    <xdr:from>
      <xdr:col>5</xdr:col>
      <xdr:colOff>2181225</xdr:colOff>
      <xdr:row>0</xdr:row>
      <xdr:rowOff>95250</xdr:rowOff>
    </xdr:from>
    <xdr:to>
      <xdr:col>6</xdr:col>
      <xdr:colOff>876300</xdr:colOff>
      <xdr:row>1</xdr:row>
      <xdr:rowOff>781050</xdr:rowOff>
    </xdr:to>
    <xdr:sp macro="[0]!Home" textlink="">
      <xdr:nvSpPr>
        <xdr:cNvPr id="3" name="Arrow: Left 2">
          <a:extLst>
            <a:ext uri="{FF2B5EF4-FFF2-40B4-BE49-F238E27FC236}">
              <a16:creationId xmlns:a16="http://schemas.microsoft.com/office/drawing/2014/main" id="{00000000-0008-0000-0E00-000003000000}"/>
            </a:ext>
          </a:extLst>
        </xdr:cNvPr>
        <xdr:cNvSpPr/>
      </xdr:nvSpPr>
      <xdr:spPr>
        <a:xfrm>
          <a:off x="3886200" y="95250"/>
          <a:ext cx="1200150" cy="790575"/>
        </a:xfrm>
        <a:prstGeom prst="leftArrow">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800">
              <a:latin typeface="Times New Roman" panose="02020603050405020304" pitchFamily="18" charset="0"/>
              <a:cs typeface="Times New Roman" panose="02020603050405020304" pitchFamily="18" charset="0"/>
            </a:rPr>
            <a:t>HOME</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2</xdr:col>
      <xdr:colOff>52820</xdr:colOff>
      <xdr:row>1</xdr:row>
      <xdr:rowOff>88325</xdr:rowOff>
    </xdr:from>
    <xdr:to>
      <xdr:col>2</xdr:col>
      <xdr:colOff>1420091</xdr:colOff>
      <xdr:row>1</xdr:row>
      <xdr:rowOff>936049</xdr:rowOff>
    </xdr:to>
    <xdr:sp macro="[0]!Home" textlink="">
      <xdr:nvSpPr>
        <xdr:cNvPr id="3" name="Arrow: Left 2">
          <a:extLst>
            <a:ext uri="{FF2B5EF4-FFF2-40B4-BE49-F238E27FC236}">
              <a16:creationId xmlns:a16="http://schemas.microsoft.com/office/drawing/2014/main" id="{00000000-0008-0000-0F00-000003000000}"/>
            </a:ext>
          </a:extLst>
        </xdr:cNvPr>
        <xdr:cNvSpPr/>
      </xdr:nvSpPr>
      <xdr:spPr>
        <a:xfrm>
          <a:off x="589684" y="192234"/>
          <a:ext cx="1367271" cy="847724"/>
        </a:xfrm>
        <a:prstGeom prst="leftArrow">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800">
              <a:latin typeface="Times New Roman" panose="02020603050405020304" pitchFamily="18" charset="0"/>
              <a:cs typeface="Times New Roman" panose="02020603050405020304" pitchFamily="18" charset="0"/>
            </a:rPr>
            <a:t>HOME</a:t>
          </a:r>
        </a:p>
      </xdr:txBody>
    </xdr:sp>
    <xdr:clientData/>
  </xdr:twoCellAnchor>
</xdr:wsDr>
</file>

<file path=xl/drawings/drawing17.xml><?xml version="1.0" encoding="utf-8"?>
<xdr:wsDr xmlns:xdr="http://schemas.openxmlformats.org/drawingml/2006/spreadsheetDrawing" xmlns:a="http://schemas.openxmlformats.org/drawingml/2006/main">
  <xdr:twoCellAnchor editAs="oneCell">
    <xdr:from>
      <xdr:col>2</xdr:col>
      <xdr:colOff>263071</xdr:colOff>
      <xdr:row>43</xdr:row>
      <xdr:rowOff>54429</xdr:rowOff>
    </xdr:from>
    <xdr:to>
      <xdr:col>2</xdr:col>
      <xdr:colOff>263071</xdr:colOff>
      <xdr:row>46</xdr:row>
      <xdr:rowOff>3630</xdr:rowOff>
    </xdr:to>
    <xdr:pic>
      <xdr:nvPicPr>
        <xdr:cNvPr id="2" name="Picture 4">
          <a:extLst>
            <a:ext uri="{FF2B5EF4-FFF2-40B4-BE49-F238E27FC236}">
              <a16:creationId xmlns:a16="http://schemas.microsoft.com/office/drawing/2014/main" id="{00000000-0008-0000-1000-000002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8588829"/>
          <a:ext cx="0" cy="549276"/>
        </a:xfrm>
        <a:prstGeom prst="rect">
          <a:avLst/>
        </a:prstGeom>
        <a:noFill/>
        <a:ln>
          <a:noFill/>
        </a:ln>
      </xdr:spPr>
    </xdr:pic>
    <xdr:clientData/>
  </xdr:twoCellAnchor>
  <xdr:twoCellAnchor editAs="oneCell">
    <xdr:from>
      <xdr:col>1</xdr:col>
      <xdr:colOff>42863</xdr:colOff>
      <xdr:row>40</xdr:row>
      <xdr:rowOff>123825</xdr:rowOff>
    </xdr:from>
    <xdr:to>
      <xdr:col>1</xdr:col>
      <xdr:colOff>42863</xdr:colOff>
      <xdr:row>47</xdr:row>
      <xdr:rowOff>39120</xdr:rowOff>
    </xdr:to>
    <xdr:pic>
      <xdr:nvPicPr>
        <xdr:cNvPr id="3" name="Picture 6">
          <a:extLst>
            <a:ext uri="{FF2B5EF4-FFF2-40B4-BE49-F238E27FC236}">
              <a16:creationId xmlns:a16="http://schemas.microsoft.com/office/drawing/2014/main" id="{00000000-0008-0000-1000-000003000000}"/>
            </a:ext>
          </a:extLst>
        </xdr:cNvPr>
        <xdr:cNvPicPr>
          <a:picLocks/>
        </xdr:cNvPicPr>
      </xdr:nvPicPr>
      <xdr:blipFill>
        <a:blip xmlns:r="http://schemas.openxmlformats.org/officeDocument/2006/relationships" r:embed="rId2"/>
        <a:srcRect/>
        <a:stretch>
          <a:fillRect/>
        </a:stretch>
      </xdr:blipFill>
      <xdr:spPr bwMode="auto">
        <a:xfrm>
          <a:off x="147638" y="8058150"/>
          <a:ext cx="0" cy="1324995"/>
        </a:xfrm>
        <a:prstGeom prst="rect">
          <a:avLst/>
        </a:prstGeom>
        <a:noFill/>
        <a:ln w="9525">
          <a:noFill/>
          <a:miter lim="800000"/>
          <a:headEnd/>
          <a:tailEnd/>
        </a:ln>
      </xdr:spPr>
    </xdr:pic>
    <xdr:clientData/>
  </xdr:twoCellAnchor>
  <xdr:twoCellAnchor editAs="oneCell">
    <xdr:from>
      <xdr:col>2</xdr:col>
      <xdr:colOff>263071</xdr:colOff>
      <xdr:row>43</xdr:row>
      <xdr:rowOff>54429</xdr:rowOff>
    </xdr:from>
    <xdr:to>
      <xdr:col>2</xdr:col>
      <xdr:colOff>263071</xdr:colOff>
      <xdr:row>46</xdr:row>
      <xdr:rowOff>3630</xdr:rowOff>
    </xdr:to>
    <xdr:pic>
      <xdr:nvPicPr>
        <xdr:cNvPr id="4" name="Picture 4">
          <a:extLst>
            <a:ext uri="{FF2B5EF4-FFF2-40B4-BE49-F238E27FC236}">
              <a16:creationId xmlns:a16="http://schemas.microsoft.com/office/drawing/2014/main" id="{00000000-0008-0000-1000-000004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8588829"/>
          <a:ext cx="0" cy="549276"/>
        </a:xfrm>
        <a:prstGeom prst="rect">
          <a:avLst/>
        </a:prstGeom>
        <a:noFill/>
        <a:ln>
          <a:noFill/>
        </a:ln>
      </xdr:spPr>
    </xdr:pic>
    <xdr:clientData/>
  </xdr:twoCellAnchor>
  <xdr:twoCellAnchor editAs="oneCell">
    <xdr:from>
      <xdr:col>1</xdr:col>
      <xdr:colOff>42863</xdr:colOff>
      <xdr:row>40</xdr:row>
      <xdr:rowOff>123825</xdr:rowOff>
    </xdr:from>
    <xdr:to>
      <xdr:col>1</xdr:col>
      <xdr:colOff>42863</xdr:colOff>
      <xdr:row>47</xdr:row>
      <xdr:rowOff>39120</xdr:rowOff>
    </xdr:to>
    <xdr:pic>
      <xdr:nvPicPr>
        <xdr:cNvPr id="5" name="Picture 6">
          <a:extLst>
            <a:ext uri="{FF2B5EF4-FFF2-40B4-BE49-F238E27FC236}">
              <a16:creationId xmlns:a16="http://schemas.microsoft.com/office/drawing/2014/main" id="{00000000-0008-0000-1000-000005000000}"/>
            </a:ext>
          </a:extLst>
        </xdr:cNvPr>
        <xdr:cNvPicPr>
          <a:picLocks/>
        </xdr:cNvPicPr>
      </xdr:nvPicPr>
      <xdr:blipFill>
        <a:blip xmlns:r="http://schemas.openxmlformats.org/officeDocument/2006/relationships" r:embed="rId2"/>
        <a:srcRect/>
        <a:stretch>
          <a:fillRect/>
        </a:stretch>
      </xdr:blipFill>
      <xdr:spPr bwMode="auto">
        <a:xfrm>
          <a:off x="147638" y="8058150"/>
          <a:ext cx="0" cy="1324995"/>
        </a:xfrm>
        <a:prstGeom prst="rect">
          <a:avLst/>
        </a:prstGeom>
        <a:noFill/>
        <a:ln w="9525">
          <a:noFill/>
          <a:miter lim="800000"/>
          <a:headEnd/>
          <a:tailEnd/>
        </a:ln>
      </xdr:spPr>
    </xdr:pic>
    <xdr:clientData/>
  </xdr:twoCellAnchor>
  <xdr:twoCellAnchor editAs="oneCell">
    <xdr:from>
      <xdr:col>2</xdr:col>
      <xdr:colOff>263071</xdr:colOff>
      <xdr:row>43</xdr:row>
      <xdr:rowOff>54429</xdr:rowOff>
    </xdr:from>
    <xdr:to>
      <xdr:col>2</xdr:col>
      <xdr:colOff>263071</xdr:colOff>
      <xdr:row>46</xdr:row>
      <xdr:rowOff>3630</xdr:rowOff>
    </xdr:to>
    <xdr:pic>
      <xdr:nvPicPr>
        <xdr:cNvPr id="6" name="Picture 4">
          <a:extLst>
            <a:ext uri="{FF2B5EF4-FFF2-40B4-BE49-F238E27FC236}">
              <a16:creationId xmlns:a16="http://schemas.microsoft.com/office/drawing/2014/main" id="{00000000-0008-0000-1000-000006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8588829"/>
          <a:ext cx="0" cy="549276"/>
        </a:xfrm>
        <a:prstGeom prst="rect">
          <a:avLst/>
        </a:prstGeom>
        <a:noFill/>
        <a:ln>
          <a:noFill/>
        </a:ln>
      </xdr:spPr>
    </xdr:pic>
    <xdr:clientData/>
  </xdr:twoCellAnchor>
  <xdr:twoCellAnchor editAs="oneCell">
    <xdr:from>
      <xdr:col>1</xdr:col>
      <xdr:colOff>42863</xdr:colOff>
      <xdr:row>40</xdr:row>
      <xdr:rowOff>123825</xdr:rowOff>
    </xdr:from>
    <xdr:to>
      <xdr:col>1</xdr:col>
      <xdr:colOff>42863</xdr:colOff>
      <xdr:row>47</xdr:row>
      <xdr:rowOff>39120</xdr:rowOff>
    </xdr:to>
    <xdr:pic>
      <xdr:nvPicPr>
        <xdr:cNvPr id="7" name="Picture 6">
          <a:extLst>
            <a:ext uri="{FF2B5EF4-FFF2-40B4-BE49-F238E27FC236}">
              <a16:creationId xmlns:a16="http://schemas.microsoft.com/office/drawing/2014/main" id="{00000000-0008-0000-1000-000007000000}"/>
            </a:ext>
          </a:extLst>
        </xdr:cNvPr>
        <xdr:cNvPicPr>
          <a:picLocks/>
        </xdr:cNvPicPr>
      </xdr:nvPicPr>
      <xdr:blipFill>
        <a:blip xmlns:r="http://schemas.openxmlformats.org/officeDocument/2006/relationships" r:embed="rId2"/>
        <a:srcRect/>
        <a:stretch>
          <a:fillRect/>
        </a:stretch>
      </xdr:blipFill>
      <xdr:spPr bwMode="auto">
        <a:xfrm>
          <a:off x="147638" y="8058150"/>
          <a:ext cx="0" cy="1324995"/>
        </a:xfrm>
        <a:prstGeom prst="rect">
          <a:avLst/>
        </a:prstGeom>
        <a:noFill/>
        <a:ln w="9525">
          <a:noFill/>
          <a:miter lim="800000"/>
          <a:headEnd/>
          <a:tailEnd/>
        </a:ln>
      </xdr:spPr>
    </xdr:pic>
    <xdr:clientData/>
  </xdr:twoCellAnchor>
  <xdr:twoCellAnchor editAs="oneCell">
    <xdr:from>
      <xdr:col>2</xdr:col>
      <xdr:colOff>263071</xdr:colOff>
      <xdr:row>42</xdr:row>
      <xdr:rowOff>54429</xdr:rowOff>
    </xdr:from>
    <xdr:to>
      <xdr:col>2</xdr:col>
      <xdr:colOff>263071</xdr:colOff>
      <xdr:row>45</xdr:row>
      <xdr:rowOff>3630</xdr:rowOff>
    </xdr:to>
    <xdr:pic>
      <xdr:nvPicPr>
        <xdr:cNvPr id="8" name="Picture 4">
          <a:extLst>
            <a:ext uri="{FF2B5EF4-FFF2-40B4-BE49-F238E27FC236}">
              <a16:creationId xmlns:a16="http://schemas.microsoft.com/office/drawing/2014/main" id="{00000000-0008-0000-1000-000008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8388804"/>
          <a:ext cx="0" cy="549276"/>
        </a:xfrm>
        <a:prstGeom prst="rect">
          <a:avLst/>
        </a:prstGeom>
        <a:noFill/>
        <a:ln>
          <a:noFill/>
        </a:ln>
      </xdr:spPr>
    </xdr:pic>
    <xdr:clientData/>
  </xdr:twoCellAnchor>
  <xdr:twoCellAnchor editAs="oneCell">
    <xdr:from>
      <xdr:col>1</xdr:col>
      <xdr:colOff>42863</xdr:colOff>
      <xdr:row>39</xdr:row>
      <xdr:rowOff>123825</xdr:rowOff>
    </xdr:from>
    <xdr:to>
      <xdr:col>1</xdr:col>
      <xdr:colOff>42863</xdr:colOff>
      <xdr:row>46</xdr:row>
      <xdr:rowOff>50325</xdr:rowOff>
    </xdr:to>
    <xdr:pic>
      <xdr:nvPicPr>
        <xdr:cNvPr id="9" name="Picture 6">
          <a:extLst>
            <a:ext uri="{FF2B5EF4-FFF2-40B4-BE49-F238E27FC236}">
              <a16:creationId xmlns:a16="http://schemas.microsoft.com/office/drawing/2014/main" id="{00000000-0008-0000-1000-000009000000}"/>
            </a:ext>
          </a:extLst>
        </xdr:cNvPr>
        <xdr:cNvPicPr>
          <a:picLocks/>
        </xdr:cNvPicPr>
      </xdr:nvPicPr>
      <xdr:blipFill>
        <a:blip xmlns:r="http://schemas.openxmlformats.org/officeDocument/2006/relationships" r:embed="rId2"/>
        <a:srcRect/>
        <a:stretch>
          <a:fillRect/>
        </a:stretch>
      </xdr:blipFill>
      <xdr:spPr bwMode="auto">
        <a:xfrm>
          <a:off x="147638" y="7858125"/>
          <a:ext cx="0" cy="1326675"/>
        </a:xfrm>
        <a:prstGeom prst="rect">
          <a:avLst/>
        </a:prstGeom>
        <a:noFill/>
        <a:ln w="9525">
          <a:noFill/>
          <a:miter lim="800000"/>
          <a:headEnd/>
          <a:tailEnd/>
        </a:ln>
      </xdr:spPr>
    </xdr:pic>
    <xdr:clientData/>
  </xdr:twoCellAnchor>
  <xdr:twoCellAnchor editAs="oneCell">
    <xdr:from>
      <xdr:col>1</xdr:col>
      <xdr:colOff>42863</xdr:colOff>
      <xdr:row>39</xdr:row>
      <xdr:rowOff>123825</xdr:rowOff>
    </xdr:from>
    <xdr:to>
      <xdr:col>1</xdr:col>
      <xdr:colOff>42863</xdr:colOff>
      <xdr:row>46</xdr:row>
      <xdr:rowOff>50325</xdr:rowOff>
    </xdr:to>
    <xdr:pic>
      <xdr:nvPicPr>
        <xdr:cNvPr id="10" name="Picture 6">
          <a:extLst>
            <a:ext uri="{FF2B5EF4-FFF2-40B4-BE49-F238E27FC236}">
              <a16:creationId xmlns:a16="http://schemas.microsoft.com/office/drawing/2014/main" id="{00000000-0008-0000-1000-00000A000000}"/>
            </a:ext>
          </a:extLst>
        </xdr:cNvPr>
        <xdr:cNvPicPr>
          <a:picLocks/>
        </xdr:cNvPicPr>
      </xdr:nvPicPr>
      <xdr:blipFill>
        <a:blip xmlns:r="http://schemas.openxmlformats.org/officeDocument/2006/relationships" r:embed="rId2"/>
        <a:srcRect/>
        <a:stretch>
          <a:fillRect/>
        </a:stretch>
      </xdr:blipFill>
      <xdr:spPr bwMode="auto">
        <a:xfrm>
          <a:off x="147638" y="7858125"/>
          <a:ext cx="0" cy="1326675"/>
        </a:xfrm>
        <a:prstGeom prst="rect">
          <a:avLst/>
        </a:prstGeom>
        <a:noFill/>
        <a:ln w="9525">
          <a:noFill/>
          <a:miter lim="800000"/>
          <a:headEnd/>
          <a:tailEnd/>
        </a:ln>
      </xdr:spPr>
    </xdr:pic>
    <xdr:clientData/>
  </xdr:twoCellAnchor>
  <xdr:oneCellAnchor>
    <xdr:from>
      <xdr:col>1</xdr:col>
      <xdr:colOff>85725</xdr:colOff>
      <xdr:row>0</xdr:row>
      <xdr:rowOff>85726</xdr:rowOff>
    </xdr:from>
    <xdr:ext cx="1543050" cy="1531218"/>
    <xdr:pic>
      <xdr:nvPicPr>
        <xdr:cNvPr id="11" name="Picture 10">
          <a:extLst>
            <a:ext uri="{FF2B5EF4-FFF2-40B4-BE49-F238E27FC236}">
              <a16:creationId xmlns:a16="http://schemas.microsoft.com/office/drawing/2014/main" id="{00000000-0008-0000-1000-00000B000000}"/>
            </a:ext>
          </a:extLst>
        </xdr:cNvPr>
        <xdr:cNvPicPr>
          <a:picLocks noChangeAspect="1"/>
        </xdr:cNvPicPr>
      </xdr:nvPicPr>
      <xdr:blipFill>
        <a:blip xmlns:r="http://schemas.openxmlformats.org/officeDocument/2006/relationships" r:embed="rId3"/>
        <a:stretch>
          <a:fillRect/>
        </a:stretch>
      </xdr:blipFill>
      <xdr:spPr>
        <a:xfrm>
          <a:off x="190500" y="85726"/>
          <a:ext cx="1543050" cy="1531218"/>
        </a:xfrm>
        <a:prstGeom prst="rect">
          <a:avLst/>
        </a:prstGeom>
      </xdr:spPr>
    </xdr:pic>
    <xdr:clientData/>
  </xdr:oneCellAnchor>
  <xdr:twoCellAnchor editAs="oneCell">
    <xdr:from>
      <xdr:col>2</xdr:col>
      <xdr:colOff>263071</xdr:colOff>
      <xdr:row>42</xdr:row>
      <xdr:rowOff>54429</xdr:rowOff>
    </xdr:from>
    <xdr:to>
      <xdr:col>2</xdr:col>
      <xdr:colOff>263071</xdr:colOff>
      <xdr:row>45</xdr:row>
      <xdr:rowOff>3630</xdr:rowOff>
    </xdr:to>
    <xdr:pic>
      <xdr:nvPicPr>
        <xdr:cNvPr id="12" name="Picture 4">
          <a:extLst>
            <a:ext uri="{FF2B5EF4-FFF2-40B4-BE49-F238E27FC236}">
              <a16:creationId xmlns:a16="http://schemas.microsoft.com/office/drawing/2014/main" id="{00000000-0008-0000-1000-00000C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8388804"/>
          <a:ext cx="0" cy="549276"/>
        </a:xfrm>
        <a:prstGeom prst="rect">
          <a:avLst/>
        </a:prstGeom>
        <a:noFill/>
        <a:ln>
          <a:noFill/>
        </a:ln>
      </xdr:spPr>
    </xdr:pic>
    <xdr:clientData/>
  </xdr:twoCellAnchor>
  <xdr:twoCellAnchor editAs="oneCell">
    <xdr:from>
      <xdr:col>1</xdr:col>
      <xdr:colOff>42863</xdr:colOff>
      <xdr:row>39</xdr:row>
      <xdr:rowOff>123825</xdr:rowOff>
    </xdr:from>
    <xdr:to>
      <xdr:col>1</xdr:col>
      <xdr:colOff>42863</xdr:colOff>
      <xdr:row>46</xdr:row>
      <xdr:rowOff>50325</xdr:rowOff>
    </xdr:to>
    <xdr:pic>
      <xdr:nvPicPr>
        <xdr:cNvPr id="13" name="Picture 6">
          <a:extLst>
            <a:ext uri="{FF2B5EF4-FFF2-40B4-BE49-F238E27FC236}">
              <a16:creationId xmlns:a16="http://schemas.microsoft.com/office/drawing/2014/main" id="{00000000-0008-0000-1000-00000D000000}"/>
            </a:ext>
          </a:extLst>
        </xdr:cNvPr>
        <xdr:cNvPicPr>
          <a:picLocks/>
        </xdr:cNvPicPr>
      </xdr:nvPicPr>
      <xdr:blipFill>
        <a:blip xmlns:r="http://schemas.openxmlformats.org/officeDocument/2006/relationships" r:embed="rId2"/>
        <a:srcRect/>
        <a:stretch>
          <a:fillRect/>
        </a:stretch>
      </xdr:blipFill>
      <xdr:spPr bwMode="auto">
        <a:xfrm>
          <a:off x="147638" y="7858125"/>
          <a:ext cx="0" cy="1326675"/>
        </a:xfrm>
        <a:prstGeom prst="rect">
          <a:avLst/>
        </a:prstGeom>
        <a:noFill/>
        <a:ln w="9525">
          <a:noFill/>
          <a:miter lim="800000"/>
          <a:headEnd/>
          <a:tailEnd/>
        </a:ln>
      </xdr:spPr>
    </xdr:pic>
    <xdr:clientData/>
  </xdr:twoCellAnchor>
  <xdr:oneCellAnchor>
    <xdr:from>
      <xdr:col>1</xdr:col>
      <xdr:colOff>85725</xdr:colOff>
      <xdr:row>0</xdr:row>
      <xdr:rowOff>85726</xdr:rowOff>
    </xdr:from>
    <xdr:ext cx="1543050" cy="1531218"/>
    <xdr:pic>
      <xdr:nvPicPr>
        <xdr:cNvPr id="14" name="Picture 13">
          <a:extLst>
            <a:ext uri="{FF2B5EF4-FFF2-40B4-BE49-F238E27FC236}">
              <a16:creationId xmlns:a16="http://schemas.microsoft.com/office/drawing/2014/main" id="{00000000-0008-0000-1000-00000E000000}"/>
            </a:ext>
          </a:extLst>
        </xdr:cNvPr>
        <xdr:cNvPicPr>
          <a:picLocks noChangeAspect="1"/>
        </xdr:cNvPicPr>
      </xdr:nvPicPr>
      <xdr:blipFill>
        <a:blip xmlns:r="http://schemas.openxmlformats.org/officeDocument/2006/relationships" r:embed="rId3"/>
        <a:stretch>
          <a:fillRect/>
        </a:stretch>
      </xdr:blipFill>
      <xdr:spPr>
        <a:xfrm>
          <a:off x="190500" y="85726"/>
          <a:ext cx="1543050" cy="1531218"/>
        </a:xfrm>
        <a:prstGeom prst="rect">
          <a:avLst/>
        </a:prstGeom>
      </xdr:spPr>
    </xdr:pic>
    <xdr:clientData/>
  </xdr:oneCellAnchor>
  <xdr:twoCellAnchor editAs="oneCell">
    <xdr:from>
      <xdr:col>1</xdr:col>
      <xdr:colOff>42863</xdr:colOff>
      <xdr:row>39</xdr:row>
      <xdr:rowOff>123825</xdr:rowOff>
    </xdr:from>
    <xdr:to>
      <xdr:col>1</xdr:col>
      <xdr:colOff>42863</xdr:colOff>
      <xdr:row>46</xdr:row>
      <xdr:rowOff>50325</xdr:rowOff>
    </xdr:to>
    <xdr:pic>
      <xdr:nvPicPr>
        <xdr:cNvPr id="15" name="Picture 6">
          <a:extLst>
            <a:ext uri="{FF2B5EF4-FFF2-40B4-BE49-F238E27FC236}">
              <a16:creationId xmlns:a16="http://schemas.microsoft.com/office/drawing/2014/main" id="{00000000-0008-0000-1000-00000F000000}"/>
            </a:ext>
          </a:extLst>
        </xdr:cNvPr>
        <xdr:cNvPicPr>
          <a:picLocks/>
        </xdr:cNvPicPr>
      </xdr:nvPicPr>
      <xdr:blipFill>
        <a:blip xmlns:r="http://schemas.openxmlformats.org/officeDocument/2006/relationships" r:embed="rId2"/>
        <a:srcRect/>
        <a:stretch>
          <a:fillRect/>
        </a:stretch>
      </xdr:blipFill>
      <xdr:spPr bwMode="auto">
        <a:xfrm>
          <a:off x="147638" y="7858125"/>
          <a:ext cx="0" cy="1326675"/>
        </a:xfrm>
        <a:prstGeom prst="rect">
          <a:avLst/>
        </a:prstGeom>
        <a:noFill/>
        <a:ln w="9525">
          <a:noFill/>
          <a:miter lim="800000"/>
          <a:headEnd/>
          <a:tailEnd/>
        </a:ln>
      </xdr:spPr>
    </xdr:pic>
    <xdr:clientData/>
  </xdr:twoCellAnchor>
  <xdr:twoCellAnchor>
    <xdr:from>
      <xdr:col>13</xdr:col>
      <xdr:colOff>38100</xdr:colOff>
      <xdr:row>1</xdr:row>
      <xdr:rowOff>28575</xdr:rowOff>
    </xdr:from>
    <xdr:to>
      <xdr:col>15</xdr:col>
      <xdr:colOff>428625</xdr:colOff>
      <xdr:row>5</xdr:row>
      <xdr:rowOff>28575</xdr:rowOff>
    </xdr:to>
    <xdr:sp macro="[0]!Home" textlink="">
      <xdr:nvSpPr>
        <xdr:cNvPr id="16" name="Arrow: Left 15">
          <a:extLst>
            <a:ext uri="{FF2B5EF4-FFF2-40B4-BE49-F238E27FC236}">
              <a16:creationId xmlns:a16="http://schemas.microsoft.com/office/drawing/2014/main" id="{00000000-0008-0000-1000-000010000000}"/>
            </a:ext>
          </a:extLst>
        </xdr:cNvPr>
        <xdr:cNvSpPr/>
      </xdr:nvSpPr>
      <xdr:spPr>
        <a:xfrm>
          <a:off x="7696200" y="123825"/>
          <a:ext cx="1114425" cy="800100"/>
        </a:xfrm>
        <a:prstGeom prst="leftArrow">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800">
              <a:latin typeface="Times New Roman" panose="02020603050405020304" pitchFamily="18" charset="0"/>
              <a:cs typeface="Times New Roman" panose="02020603050405020304" pitchFamily="18" charset="0"/>
            </a:rPr>
            <a:t>HOME</a:t>
          </a:r>
        </a:p>
      </xdr:txBody>
    </xdr:sp>
    <xdr:clientData/>
  </xdr:twoCellAnchor>
  <xdr:twoCellAnchor editAs="oneCell">
    <xdr:from>
      <xdr:col>2</xdr:col>
      <xdr:colOff>172583</xdr:colOff>
      <xdr:row>42</xdr:row>
      <xdr:rowOff>16329</xdr:rowOff>
    </xdr:from>
    <xdr:to>
      <xdr:col>4</xdr:col>
      <xdr:colOff>1137783</xdr:colOff>
      <xdr:row>44</xdr:row>
      <xdr:rowOff>136980</xdr:rowOff>
    </xdr:to>
    <xdr:pic>
      <xdr:nvPicPr>
        <xdr:cNvPr id="17" name="Picture 4">
          <a:extLst>
            <a:ext uri="{FF2B5EF4-FFF2-40B4-BE49-F238E27FC236}">
              <a16:creationId xmlns:a16="http://schemas.microsoft.com/office/drawing/2014/main" id="{00000000-0008-0000-1000-000011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534533" y="8350704"/>
          <a:ext cx="2155825" cy="520701"/>
        </a:xfrm>
        <a:prstGeom prst="rect">
          <a:avLst/>
        </a:prstGeom>
        <a:noFill/>
        <a:ln>
          <a:noFill/>
        </a:ln>
      </xdr:spPr>
    </xdr:pic>
    <xdr:clientData/>
  </xdr:twoCellAnchor>
  <xdr:twoCellAnchor editAs="oneCell">
    <xdr:from>
      <xdr:col>1</xdr:col>
      <xdr:colOff>57150</xdr:colOff>
      <xdr:row>40</xdr:row>
      <xdr:rowOff>9525</xdr:rowOff>
    </xdr:from>
    <xdr:to>
      <xdr:col>2</xdr:col>
      <xdr:colOff>1059975</xdr:colOff>
      <xdr:row>46</xdr:row>
      <xdr:rowOff>69376</xdr:rowOff>
    </xdr:to>
    <xdr:pic>
      <xdr:nvPicPr>
        <xdr:cNvPr id="18" name="Picture 6">
          <a:extLst>
            <a:ext uri="{FF2B5EF4-FFF2-40B4-BE49-F238E27FC236}">
              <a16:creationId xmlns:a16="http://schemas.microsoft.com/office/drawing/2014/main" id="{00000000-0008-0000-1000-000012000000}"/>
            </a:ext>
          </a:extLst>
        </xdr:cNvPr>
        <xdr:cNvPicPr>
          <a:picLocks/>
        </xdr:cNvPicPr>
      </xdr:nvPicPr>
      <xdr:blipFill>
        <a:blip xmlns:r="http://schemas.openxmlformats.org/officeDocument/2006/relationships" r:embed="rId2"/>
        <a:srcRect/>
        <a:stretch>
          <a:fillRect/>
        </a:stretch>
      </xdr:blipFill>
      <xdr:spPr bwMode="auto">
        <a:xfrm>
          <a:off x="161925" y="7943850"/>
          <a:ext cx="1260000" cy="1260001"/>
        </a:xfrm>
        <a:prstGeom prst="rect">
          <a:avLst/>
        </a:prstGeom>
        <a:noFill/>
        <a:ln w="9525">
          <a:noFill/>
          <a:miter lim="800000"/>
          <a:headEnd/>
          <a:tailEnd/>
        </a:ln>
      </xdr:spPr>
    </xdr:pic>
    <xdr:clientData/>
  </xdr:twoCellAnchor>
  <xdr:twoCellAnchor>
    <xdr:from>
      <xdr:col>14</xdr:col>
      <xdr:colOff>161925</xdr:colOff>
      <xdr:row>14</xdr:row>
      <xdr:rowOff>161925</xdr:rowOff>
    </xdr:from>
    <xdr:to>
      <xdr:col>15</xdr:col>
      <xdr:colOff>523875</xdr:colOff>
      <xdr:row>17</xdr:row>
      <xdr:rowOff>47625</xdr:rowOff>
    </xdr:to>
    <xdr:sp macro="[0]!Cetak" textlink="">
      <xdr:nvSpPr>
        <xdr:cNvPr id="20" name="Rectangle: Single Corner Snipped 19">
          <a:extLst>
            <a:ext uri="{FF2B5EF4-FFF2-40B4-BE49-F238E27FC236}">
              <a16:creationId xmlns:a16="http://schemas.microsoft.com/office/drawing/2014/main" id="{00000000-0008-0000-1000-000014000000}"/>
            </a:ext>
          </a:extLst>
        </xdr:cNvPr>
        <xdr:cNvSpPr/>
      </xdr:nvSpPr>
      <xdr:spPr>
        <a:xfrm>
          <a:off x="7934325" y="2647950"/>
          <a:ext cx="971550" cy="476250"/>
        </a:xfrm>
        <a:prstGeom prst="snip1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600" b="1">
              <a:solidFill>
                <a:schemeClr val="tx1"/>
              </a:solidFill>
              <a:latin typeface="Times New Roman" panose="02020603050405020304" pitchFamily="18" charset="0"/>
              <a:cs typeface="Times New Roman" panose="02020603050405020304" pitchFamily="18" charset="0"/>
            </a:rPr>
            <a:t>CETAK</a:t>
          </a:r>
        </a:p>
      </xdr:txBody>
    </xdr:sp>
    <xdr:clientData/>
  </xdr:twoCellAnchor>
  <xdr:twoCellAnchor>
    <xdr:from>
      <xdr:col>16</xdr:col>
      <xdr:colOff>95251</xdr:colOff>
      <xdr:row>14</xdr:row>
      <xdr:rowOff>161925</xdr:rowOff>
    </xdr:from>
    <xdr:to>
      <xdr:col>17</xdr:col>
      <xdr:colOff>963706</xdr:colOff>
      <xdr:row>17</xdr:row>
      <xdr:rowOff>44824</xdr:rowOff>
    </xdr:to>
    <xdr:sp macro="[0]!PDF" textlink="">
      <xdr:nvSpPr>
        <xdr:cNvPr id="21" name="Rectangle: Single Corner Snipped 20">
          <a:extLst>
            <a:ext uri="{FF2B5EF4-FFF2-40B4-BE49-F238E27FC236}">
              <a16:creationId xmlns:a16="http://schemas.microsoft.com/office/drawing/2014/main" id="{00000000-0008-0000-1000-000015000000}"/>
            </a:ext>
          </a:extLst>
        </xdr:cNvPr>
        <xdr:cNvSpPr/>
      </xdr:nvSpPr>
      <xdr:spPr>
        <a:xfrm>
          <a:off x="9086851" y="2647950"/>
          <a:ext cx="1030380" cy="473449"/>
        </a:xfrm>
        <a:prstGeom prst="snip1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600" b="1">
              <a:solidFill>
                <a:schemeClr val="tx1"/>
              </a:solidFill>
              <a:latin typeface="Times New Roman" panose="02020603050405020304" pitchFamily="18" charset="0"/>
              <a:cs typeface="Times New Roman" panose="02020603050405020304" pitchFamily="18" charset="0"/>
            </a:rPr>
            <a:t>PDF</a:t>
          </a:r>
        </a:p>
      </xdr:txBody>
    </xdr:sp>
    <xdr:clientData/>
  </xdr:twoCellAnchor>
  <xdr:twoCellAnchor>
    <xdr:from>
      <xdr:col>15</xdr:col>
      <xdr:colOff>66675</xdr:colOff>
      <xdr:row>17</xdr:row>
      <xdr:rowOff>228600</xdr:rowOff>
    </xdr:from>
    <xdr:to>
      <xdr:col>17</xdr:col>
      <xdr:colOff>200025</xdr:colOff>
      <xdr:row>20</xdr:row>
      <xdr:rowOff>66675</xdr:rowOff>
    </xdr:to>
    <xdr:sp macro="[0]!_xludf.SAVE" textlink="">
      <xdr:nvSpPr>
        <xdr:cNvPr id="22" name="Rectangle: Top Corners Snipped 21">
          <a:extLst>
            <a:ext uri="{FF2B5EF4-FFF2-40B4-BE49-F238E27FC236}">
              <a16:creationId xmlns:a16="http://schemas.microsoft.com/office/drawing/2014/main" id="{00000000-0008-0000-1000-000016000000}"/>
            </a:ext>
          </a:extLst>
        </xdr:cNvPr>
        <xdr:cNvSpPr/>
      </xdr:nvSpPr>
      <xdr:spPr>
        <a:xfrm>
          <a:off x="8448675" y="3305175"/>
          <a:ext cx="904875" cy="638175"/>
        </a:xfrm>
        <a:prstGeom prst="snip2Same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ctr"/>
          <a:r>
            <a:rPr lang="en-US" sz="1200" b="1">
              <a:solidFill>
                <a:schemeClr val="tx1"/>
              </a:solidFill>
              <a:latin typeface="Times New Roman" panose="02020603050405020304" pitchFamily="18" charset="0"/>
              <a:cs typeface="Times New Roman" panose="02020603050405020304" pitchFamily="18" charset="0"/>
            </a:rPr>
            <a:t>SIMPAN DOKUMEN</a:t>
          </a:r>
        </a:p>
      </xdr:txBody>
    </xdr:sp>
    <xdr:clientData/>
  </xdr:twoCellAnchor>
  <mc:AlternateContent xmlns:mc="http://schemas.openxmlformats.org/markup-compatibility/2006">
    <mc:Choice xmlns:a14="http://schemas.microsoft.com/office/drawing/2010/main" Requires="a14">
      <xdr:twoCellAnchor>
        <xdr:from>
          <xdr:col>14</xdr:col>
          <xdr:colOff>28575</xdr:colOff>
          <xdr:row>8</xdr:row>
          <xdr:rowOff>0</xdr:rowOff>
        </xdr:from>
        <xdr:to>
          <xdr:col>14</xdr:col>
          <xdr:colOff>466725</xdr:colOff>
          <xdr:row>14</xdr:row>
          <xdr:rowOff>19050</xdr:rowOff>
        </xdr:to>
        <xdr:sp macro="" textlink="">
          <xdr:nvSpPr>
            <xdr:cNvPr id="24577" name="Spinner 1" hidden="1">
              <a:extLst>
                <a:ext uri="{63B3BB69-23CF-44E3-9099-C40C66FF867C}">
                  <a14:compatExt spid="_x0000_s24577"/>
                </a:ext>
                <a:ext uri="{FF2B5EF4-FFF2-40B4-BE49-F238E27FC236}">
                  <a16:creationId xmlns:a16="http://schemas.microsoft.com/office/drawing/2014/main" id="{00000000-0008-0000-1000-0000016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xdr:oneCellAnchor>
    <xdr:from>
      <xdr:col>1</xdr:col>
      <xdr:colOff>85725</xdr:colOff>
      <xdr:row>0</xdr:row>
      <xdr:rowOff>85726</xdr:rowOff>
    </xdr:from>
    <xdr:ext cx="1543050" cy="1531218"/>
    <xdr:pic>
      <xdr:nvPicPr>
        <xdr:cNvPr id="21" name="Picture 20">
          <a:extLst>
            <a:ext uri="{FF2B5EF4-FFF2-40B4-BE49-F238E27FC236}">
              <a16:creationId xmlns:a16="http://schemas.microsoft.com/office/drawing/2014/main" id="{00000000-0008-0000-1100-000015000000}"/>
            </a:ext>
          </a:extLst>
        </xdr:cNvPr>
        <xdr:cNvPicPr>
          <a:picLocks noChangeAspect="1"/>
        </xdr:cNvPicPr>
      </xdr:nvPicPr>
      <xdr:blipFill>
        <a:blip xmlns:r="http://schemas.openxmlformats.org/officeDocument/2006/relationships" r:embed="rId1"/>
        <a:stretch>
          <a:fillRect/>
        </a:stretch>
      </xdr:blipFill>
      <xdr:spPr>
        <a:xfrm>
          <a:off x="190500" y="85726"/>
          <a:ext cx="1543050" cy="1531218"/>
        </a:xfrm>
        <a:prstGeom prst="rect">
          <a:avLst/>
        </a:prstGeom>
      </xdr:spPr>
    </xdr:pic>
    <xdr:clientData/>
  </xdr:oneCellAnchor>
  <xdr:oneCellAnchor>
    <xdr:from>
      <xdr:col>1</xdr:col>
      <xdr:colOff>85725</xdr:colOff>
      <xdr:row>0</xdr:row>
      <xdr:rowOff>85726</xdr:rowOff>
    </xdr:from>
    <xdr:ext cx="1543050" cy="1531218"/>
    <xdr:pic>
      <xdr:nvPicPr>
        <xdr:cNvPr id="24" name="Picture 23">
          <a:extLst>
            <a:ext uri="{FF2B5EF4-FFF2-40B4-BE49-F238E27FC236}">
              <a16:creationId xmlns:a16="http://schemas.microsoft.com/office/drawing/2014/main" id="{00000000-0008-0000-1100-000018000000}"/>
            </a:ext>
          </a:extLst>
        </xdr:cNvPr>
        <xdr:cNvPicPr>
          <a:picLocks noChangeAspect="1"/>
        </xdr:cNvPicPr>
      </xdr:nvPicPr>
      <xdr:blipFill>
        <a:blip xmlns:r="http://schemas.openxmlformats.org/officeDocument/2006/relationships" r:embed="rId1"/>
        <a:stretch>
          <a:fillRect/>
        </a:stretch>
      </xdr:blipFill>
      <xdr:spPr>
        <a:xfrm>
          <a:off x="190500" y="85726"/>
          <a:ext cx="1543050" cy="1531218"/>
        </a:xfrm>
        <a:prstGeom prst="rect">
          <a:avLst/>
        </a:prstGeom>
      </xdr:spPr>
    </xdr:pic>
    <xdr:clientData/>
  </xdr:oneCellAnchor>
  <xdr:twoCellAnchor>
    <xdr:from>
      <xdr:col>13</xdr:col>
      <xdr:colOff>38100</xdr:colOff>
      <xdr:row>1</xdr:row>
      <xdr:rowOff>28575</xdr:rowOff>
    </xdr:from>
    <xdr:to>
      <xdr:col>15</xdr:col>
      <xdr:colOff>428625</xdr:colOff>
      <xdr:row>5</xdr:row>
      <xdr:rowOff>28575</xdr:rowOff>
    </xdr:to>
    <xdr:sp macro="[0]!Home" textlink="">
      <xdr:nvSpPr>
        <xdr:cNvPr id="26" name="Arrow: Left 25">
          <a:extLst>
            <a:ext uri="{FF2B5EF4-FFF2-40B4-BE49-F238E27FC236}">
              <a16:creationId xmlns:a16="http://schemas.microsoft.com/office/drawing/2014/main" id="{00000000-0008-0000-1100-00001A000000}"/>
            </a:ext>
          </a:extLst>
        </xdr:cNvPr>
        <xdr:cNvSpPr/>
      </xdr:nvSpPr>
      <xdr:spPr>
        <a:xfrm>
          <a:off x="7515225" y="123825"/>
          <a:ext cx="1114425" cy="800100"/>
        </a:xfrm>
        <a:prstGeom prst="leftArrow">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800">
              <a:latin typeface="Times New Roman" panose="02020603050405020304" pitchFamily="18" charset="0"/>
              <a:cs typeface="Times New Roman" panose="02020603050405020304" pitchFamily="18" charset="0"/>
            </a:rPr>
            <a:t>HOME</a:t>
          </a:r>
        </a:p>
      </xdr:txBody>
    </xdr:sp>
    <xdr:clientData/>
  </xdr:twoCellAnchor>
  <xdr:twoCellAnchor>
    <xdr:from>
      <xdr:col>14</xdr:col>
      <xdr:colOff>161925</xdr:colOff>
      <xdr:row>14</xdr:row>
      <xdr:rowOff>161925</xdr:rowOff>
    </xdr:from>
    <xdr:to>
      <xdr:col>15</xdr:col>
      <xdr:colOff>523875</xdr:colOff>
      <xdr:row>18</xdr:row>
      <xdr:rowOff>47625</xdr:rowOff>
    </xdr:to>
    <xdr:sp macro="[0]!Cetak" textlink="">
      <xdr:nvSpPr>
        <xdr:cNvPr id="29" name="Rectangle: Single Corner Snipped 28">
          <a:extLst>
            <a:ext uri="{FF2B5EF4-FFF2-40B4-BE49-F238E27FC236}">
              <a16:creationId xmlns:a16="http://schemas.microsoft.com/office/drawing/2014/main" id="{00000000-0008-0000-1100-00001D000000}"/>
            </a:ext>
          </a:extLst>
        </xdr:cNvPr>
        <xdr:cNvSpPr/>
      </xdr:nvSpPr>
      <xdr:spPr>
        <a:xfrm>
          <a:off x="7753350" y="2647950"/>
          <a:ext cx="971550" cy="476250"/>
        </a:xfrm>
        <a:prstGeom prst="snip1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600" b="1">
              <a:solidFill>
                <a:schemeClr val="tx1"/>
              </a:solidFill>
              <a:latin typeface="Times New Roman" panose="02020603050405020304" pitchFamily="18" charset="0"/>
              <a:cs typeface="Times New Roman" panose="02020603050405020304" pitchFamily="18" charset="0"/>
            </a:rPr>
            <a:t>CETAK</a:t>
          </a:r>
        </a:p>
      </xdr:txBody>
    </xdr:sp>
    <xdr:clientData/>
  </xdr:twoCellAnchor>
  <xdr:twoCellAnchor>
    <xdr:from>
      <xdr:col>16</xdr:col>
      <xdr:colOff>95251</xdr:colOff>
      <xdr:row>14</xdr:row>
      <xdr:rowOff>161925</xdr:rowOff>
    </xdr:from>
    <xdr:to>
      <xdr:col>17</xdr:col>
      <xdr:colOff>963706</xdr:colOff>
      <xdr:row>18</xdr:row>
      <xdr:rowOff>44824</xdr:rowOff>
    </xdr:to>
    <xdr:sp macro="[0]!PDF" textlink="">
      <xdr:nvSpPr>
        <xdr:cNvPr id="30" name="Rectangle: Single Corner Snipped 29">
          <a:extLst>
            <a:ext uri="{FF2B5EF4-FFF2-40B4-BE49-F238E27FC236}">
              <a16:creationId xmlns:a16="http://schemas.microsoft.com/office/drawing/2014/main" id="{00000000-0008-0000-1100-00001E000000}"/>
            </a:ext>
          </a:extLst>
        </xdr:cNvPr>
        <xdr:cNvSpPr/>
      </xdr:nvSpPr>
      <xdr:spPr>
        <a:xfrm>
          <a:off x="9082369" y="2672043"/>
          <a:ext cx="1025337" cy="476810"/>
        </a:xfrm>
        <a:prstGeom prst="snip1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600" b="1">
              <a:solidFill>
                <a:schemeClr val="tx1"/>
              </a:solidFill>
              <a:latin typeface="Times New Roman" panose="02020603050405020304" pitchFamily="18" charset="0"/>
              <a:cs typeface="Times New Roman" panose="02020603050405020304" pitchFamily="18" charset="0"/>
            </a:rPr>
            <a:t>PDF</a:t>
          </a:r>
        </a:p>
      </xdr:txBody>
    </xdr:sp>
    <xdr:clientData/>
  </xdr:twoCellAnchor>
  <xdr:twoCellAnchor>
    <xdr:from>
      <xdr:col>15</xdr:col>
      <xdr:colOff>66675</xdr:colOff>
      <xdr:row>18</xdr:row>
      <xdr:rowOff>228600</xdr:rowOff>
    </xdr:from>
    <xdr:to>
      <xdr:col>17</xdr:col>
      <xdr:colOff>200025</xdr:colOff>
      <xdr:row>21</xdr:row>
      <xdr:rowOff>66675</xdr:rowOff>
    </xdr:to>
    <xdr:sp macro="[0]!_xludf.SAVE" textlink="">
      <xdr:nvSpPr>
        <xdr:cNvPr id="31" name="Rectangle: Top Corners Snipped 30">
          <a:extLst>
            <a:ext uri="{FF2B5EF4-FFF2-40B4-BE49-F238E27FC236}">
              <a16:creationId xmlns:a16="http://schemas.microsoft.com/office/drawing/2014/main" id="{00000000-0008-0000-1100-00001F000000}"/>
            </a:ext>
          </a:extLst>
        </xdr:cNvPr>
        <xdr:cNvSpPr/>
      </xdr:nvSpPr>
      <xdr:spPr>
        <a:xfrm>
          <a:off x="8267700" y="3305175"/>
          <a:ext cx="1133475" cy="638175"/>
        </a:xfrm>
        <a:prstGeom prst="snip2Same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ctr"/>
          <a:r>
            <a:rPr lang="en-US" sz="1200" b="1">
              <a:solidFill>
                <a:schemeClr val="tx1"/>
              </a:solidFill>
              <a:latin typeface="Times New Roman" panose="02020603050405020304" pitchFamily="18" charset="0"/>
              <a:cs typeface="Times New Roman" panose="02020603050405020304" pitchFamily="18" charset="0"/>
            </a:rPr>
            <a:t>SIMPAN DOKUMEN</a:t>
          </a:r>
        </a:p>
      </xdr:txBody>
    </xdr:sp>
    <xdr:clientData/>
  </xdr:twoCellAnchor>
  <xdr:twoCellAnchor editAs="oneCell">
    <xdr:from>
      <xdr:col>1</xdr:col>
      <xdr:colOff>42863</xdr:colOff>
      <xdr:row>41</xdr:row>
      <xdr:rowOff>123825</xdr:rowOff>
    </xdr:from>
    <xdr:to>
      <xdr:col>1</xdr:col>
      <xdr:colOff>42863</xdr:colOff>
      <xdr:row>48</xdr:row>
      <xdr:rowOff>40800</xdr:rowOff>
    </xdr:to>
    <xdr:pic>
      <xdr:nvPicPr>
        <xdr:cNvPr id="32" name="Picture 6">
          <a:extLst>
            <a:ext uri="{FF2B5EF4-FFF2-40B4-BE49-F238E27FC236}">
              <a16:creationId xmlns:a16="http://schemas.microsoft.com/office/drawing/2014/main" id="{00000000-0008-0000-1100-000020000000}"/>
            </a:ext>
          </a:extLst>
        </xdr:cNvPr>
        <xdr:cNvPicPr>
          <a:picLocks/>
        </xdr:cNvPicPr>
      </xdr:nvPicPr>
      <xdr:blipFill>
        <a:blip xmlns:r="http://schemas.openxmlformats.org/officeDocument/2006/relationships" r:embed="rId2"/>
        <a:srcRect/>
        <a:stretch>
          <a:fillRect/>
        </a:stretch>
      </xdr:blipFill>
      <xdr:spPr bwMode="auto">
        <a:xfrm>
          <a:off x="147638" y="8848725"/>
          <a:ext cx="0" cy="1326675"/>
        </a:xfrm>
        <a:prstGeom prst="rect">
          <a:avLst/>
        </a:prstGeom>
        <a:noFill/>
        <a:ln w="9525">
          <a:noFill/>
          <a:miter lim="800000"/>
          <a:headEnd/>
          <a:tailEnd/>
        </a:ln>
      </xdr:spPr>
    </xdr:pic>
    <xdr:clientData/>
  </xdr:twoCellAnchor>
  <xdr:twoCellAnchor editAs="oneCell">
    <xdr:from>
      <xdr:col>1</xdr:col>
      <xdr:colOff>42863</xdr:colOff>
      <xdr:row>41</xdr:row>
      <xdr:rowOff>123825</xdr:rowOff>
    </xdr:from>
    <xdr:to>
      <xdr:col>1</xdr:col>
      <xdr:colOff>42863</xdr:colOff>
      <xdr:row>48</xdr:row>
      <xdr:rowOff>40800</xdr:rowOff>
    </xdr:to>
    <xdr:pic>
      <xdr:nvPicPr>
        <xdr:cNvPr id="33" name="Picture 6">
          <a:extLst>
            <a:ext uri="{FF2B5EF4-FFF2-40B4-BE49-F238E27FC236}">
              <a16:creationId xmlns:a16="http://schemas.microsoft.com/office/drawing/2014/main" id="{00000000-0008-0000-1100-000021000000}"/>
            </a:ext>
          </a:extLst>
        </xdr:cNvPr>
        <xdr:cNvPicPr>
          <a:picLocks/>
        </xdr:cNvPicPr>
      </xdr:nvPicPr>
      <xdr:blipFill>
        <a:blip xmlns:r="http://schemas.openxmlformats.org/officeDocument/2006/relationships" r:embed="rId2"/>
        <a:srcRect/>
        <a:stretch>
          <a:fillRect/>
        </a:stretch>
      </xdr:blipFill>
      <xdr:spPr bwMode="auto">
        <a:xfrm>
          <a:off x="147638" y="8848725"/>
          <a:ext cx="0" cy="1326675"/>
        </a:xfrm>
        <a:prstGeom prst="rect">
          <a:avLst/>
        </a:prstGeom>
        <a:noFill/>
        <a:ln w="9525">
          <a:noFill/>
          <a:miter lim="800000"/>
          <a:headEnd/>
          <a:tailEnd/>
        </a:ln>
      </xdr:spPr>
    </xdr:pic>
    <xdr:clientData/>
  </xdr:twoCellAnchor>
  <xdr:twoCellAnchor editAs="oneCell">
    <xdr:from>
      <xdr:col>2</xdr:col>
      <xdr:colOff>263071</xdr:colOff>
      <xdr:row>60</xdr:row>
      <xdr:rowOff>54429</xdr:rowOff>
    </xdr:from>
    <xdr:to>
      <xdr:col>2</xdr:col>
      <xdr:colOff>263071</xdr:colOff>
      <xdr:row>63</xdr:row>
      <xdr:rowOff>3628</xdr:rowOff>
    </xdr:to>
    <xdr:pic>
      <xdr:nvPicPr>
        <xdr:cNvPr id="34" name="Picture 4">
          <a:extLst>
            <a:ext uri="{FF2B5EF4-FFF2-40B4-BE49-F238E27FC236}">
              <a16:creationId xmlns:a16="http://schemas.microsoft.com/office/drawing/2014/main" id="{00000000-0008-0000-1100-000022000000}"/>
            </a:ext>
          </a:extLst>
        </xdr:cNvPr>
        <xdr:cNvPicPr/>
      </xdr:nvPicPr>
      <xdr:blipFill>
        <a:blip xmlns:r="http://schemas.openxmlformats.org/officeDocument/2006/relationships" r:embed="rId3">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12455979"/>
          <a:ext cx="0" cy="549274"/>
        </a:xfrm>
        <a:prstGeom prst="rect">
          <a:avLst/>
        </a:prstGeom>
        <a:noFill/>
        <a:ln>
          <a:noFill/>
        </a:ln>
      </xdr:spPr>
    </xdr:pic>
    <xdr:clientData/>
  </xdr:twoCellAnchor>
  <xdr:twoCellAnchor editAs="oneCell">
    <xdr:from>
      <xdr:col>2</xdr:col>
      <xdr:colOff>263071</xdr:colOff>
      <xdr:row>60</xdr:row>
      <xdr:rowOff>54429</xdr:rowOff>
    </xdr:from>
    <xdr:to>
      <xdr:col>2</xdr:col>
      <xdr:colOff>263071</xdr:colOff>
      <xdr:row>63</xdr:row>
      <xdr:rowOff>3628</xdr:rowOff>
    </xdr:to>
    <xdr:pic>
      <xdr:nvPicPr>
        <xdr:cNvPr id="35" name="Picture 4">
          <a:extLst>
            <a:ext uri="{FF2B5EF4-FFF2-40B4-BE49-F238E27FC236}">
              <a16:creationId xmlns:a16="http://schemas.microsoft.com/office/drawing/2014/main" id="{00000000-0008-0000-1100-000023000000}"/>
            </a:ext>
          </a:extLst>
        </xdr:cNvPr>
        <xdr:cNvPicPr/>
      </xdr:nvPicPr>
      <xdr:blipFill>
        <a:blip xmlns:r="http://schemas.openxmlformats.org/officeDocument/2006/relationships" r:embed="rId3">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12455979"/>
          <a:ext cx="0" cy="549274"/>
        </a:xfrm>
        <a:prstGeom prst="rect">
          <a:avLst/>
        </a:prstGeom>
        <a:noFill/>
        <a:ln>
          <a:noFill/>
        </a:ln>
      </xdr:spPr>
    </xdr:pic>
    <xdr:clientData/>
  </xdr:twoCellAnchor>
  <xdr:twoCellAnchor editAs="oneCell">
    <xdr:from>
      <xdr:col>2</xdr:col>
      <xdr:colOff>263071</xdr:colOff>
      <xdr:row>60</xdr:row>
      <xdr:rowOff>54429</xdr:rowOff>
    </xdr:from>
    <xdr:to>
      <xdr:col>2</xdr:col>
      <xdr:colOff>263071</xdr:colOff>
      <xdr:row>63</xdr:row>
      <xdr:rowOff>3628</xdr:rowOff>
    </xdr:to>
    <xdr:pic>
      <xdr:nvPicPr>
        <xdr:cNvPr id="36" name="Picture 4">
          <a:extLst>
            <a:ext uri="{FF2B5EF4-FFF2-40B4-BE49-F238E27FC236}">
              <a16:creationId xmlns:a16="http://schemas.microsoft.com/office/drawing/2014/main" id="{00000000-0008-0000-1100-000024000000}"/>
            </a:ext>
          </a:extLst>
        </xdr:cNvPr>
        <xdr:cNvPicPr/>
      </xdr:nvPicPr>
      <xdr:blipFill>
        <a:blip xmlns:r="http://schemas.openxmlformats.org/officeDocument/2006/relationships" r:embed="rId3">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12455979"/>
          <a:ext cx="0" cy="549274"/>
        </a:xfrm>
        <a:prstGeom prst="rect">
          <a:avLst/>
        </a:prstGeom>
        <a:noFill/>
        <a:ln>
          <a:noFill/>
        </a:ln>
      </xdr:spPr>
    </xdr:pic>
    <xdr:clientData/>
  </xdr:twoCellAnchor>
  <xdr:twoCellAnchor editAs="oneCell">
    <xdr:from>
      <xdr:col>2</xdr:col>
      <xdr:colOff>263071</xdr:colOff>
      <xdr:row>60</xdr:row>
      <xdr:rowOff>54429</xdr:rowOff>
    </xdr:from>
    <xdr:to>
      <xdr:col>2</xdr:col>
      <xdr:colOff>263071</xdr:colOff>
      <xdr:row>63</xdr:row>
      <xdr:rowOff>3628</xdr:rowOff>
    </xdr:to>
    <xdr:pic>
      <xdr:nvPicPr>
        <xdr:cNvPr id="37" name="Picture 4">
          <a:extLst>
            <a:ext uri="{FF2B5EF4-FFF2-40B4-BE49-F238E27FC236}">
              <a16:creationId xmlns:a16="http://schemas.microsoft.com/office/drawing/2014/main" id="{00000000-0008-0000-1100-000025000000}"/>
            </a:ext>
          </a:extLst>
        </xdr:cNvPr>
        <xdr:cNvPicPr/>
      </xdr:nvPicPr>
      <xdr:blipFill>
        <a:blip xmlns:r="http://schemas.openxmlformats.org/officeDocument/2006/relationships" r:embed="rId3">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12455979"/>
          <a:ext cx="0" cy="549274"/>
        </a:xfrm>
        <a:prstGeom prst="rect">
          <a:avLst/>
        </a:prstGeom>
        <a:noFill/>
        <a:ln>
          <a:noFill/>
        </a:ln>
      </xdr:spPr>
    </xdr:pic>
    <xdr:clientData/>
  </xdr:twoCellAnchor>
  <xdr:twoCellAnchor editAs="oneCell">
    <xdr:from>
      <xdr:col>2</xdr:col>
      <xdr:colOff>263071</xdr:colOff>
      <xdr:row>60</xdr:row>
      <xdr:rowOff>54429</xdr:rowOff>
    </xdr:from>
    <xdr:to>
      <xdr:col>2</xdr:col>
      <xdr:colOff>263071</xdr:colOff>
      <xdr:row>63</xdr:row>
      <xdr:rowOff>3628</xdr:rowOff>
    </xdr:to>
    <xdr:pic>
      <xdr:nvPicPr>
        <xdr:cNvPr id="38" name="Picture 4">
          <a:extLst>
            <a:ext uri="{FF2B5EF4-FFF2-40B4-BE49-F238E27FC236}">
              <a16:creationId xmlns:a16="http://schemas.microsoft.com/office/drawing/2014/main" id="{00000000-0008-0000-1100-000026000000}"/>
            </a:ext>
          </a:extLst>
        </xdr:cNvPr>
        <xdr:cNvPicPr/>
      </xdr:nvPicPr>
      <xdr:blipFill>
        <a:blip xmlns:r="http://schemas.openxmlformats.org/officeDocument/2006/relationships" r:embed="rId3">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12455979"/>
          <a:ext cx="0" cy="549274"/>
        </a:xfrm>
        <a:prstGeom prst="rect">
          <a:avLst/>
        </a:prstGeom>
        <a:noFill/>
        <a:ln>
          <a:noFill/>
        </a:ln>
      </xdr:spPr>
    </xdr:pic>
    <xdr:clientData/>
  </xdr:twoCellAnchor>
  <xdr:twoCellAnchor editAs="oneCell">
    <xdr:from>
      <xdr:col>2</xdr:col>
      <xdr:colOff>263071</xdr:colOff>
      <xdr:row>59</xdr:row>
      <xdr:rowOff>54429</xdr:rowOff>
    </xdr:from>
    <xdr:to>
      <xdr:col>2</xdr:col>
      <xdr:colOff>263071</xdr:colOff>
      <xdr:row>62</xdr:row>
      <xdr:rowOff>3628</xdr:rowOff>
    </xdr:to>
    <xdr:pic>
      <xdr:nvPicPr>
        <xdr:cNvPr id="39" name="Picture 4">
          <a:extLst>
            <a:ext uri="{FF2B5EF4-FFF2-40B4-BE49-F238E27FC236}">
              <a16:creationId xmlns:a16="http://schemas.microsoft.com/office/drawing/2014/main" id="{00000000-0008-0000-1100-000027000000}"/>
            </a:ext>
          </a:extLst>
        </xdr:cNvPr>
        <xdr:cNvPicPr/>
      </xdr:nvPicPr>
      <xdr:blipFill>
        <a:blip xmlns:r="http://schemas.openxmlformats.org/officeDocument/2006/relationships" r:embed="rId3">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12255954"/>
          <a:ext cx="0" cy="549274"/>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xdr:from>
          <xdr:col>14</xdr:col>
          <xdr:colOff>28575</xdr:colOff>
          <xdr:row>8</xdr:row>
          <xdr:rowOff>0</xdr:rowOff>
        </xdr:from>
        <xdr:to>
          <xdr:col>14</xdr:col>
          <xdr:colOff>466725</xdr:colOff>
          <xdr:row>14</xdr:row>
          <xdr:rowOff>19050</xdr:rowOff>
        </xdr:to>
        <xdr:sp macro="" textlink="">
          <xdr:nvSpPr>
            <xdr:cNvPr id="18433" name="Spinner 1" hidden="1">
              <a:extLst>
                <a:ext uri="{63B3BB69-23CF-44E3-9099-C40C66FF867C}">
                  <a14:compatExt spid="_x0000_s18433"/>
                </a:ext>
                <a:ext uri="{FF2B5EF4-FFF2-40B4-BE49-F238E27FC236}">
                  <a16:creationId xmlns:a16="http://schemas.microsoft.com/office/drawing/2014/main" id="{00000000-0008-0000-1100-0000014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xdr:oneCellAnchor>
    <xdr:from>
      <xdr:col>1</xdr:col>
      <xdr:colOff>85725</xdr:colOff>
      <xdr:row>0</xdr:row>
      <xdr:rowOff>85726</xdr:rowOff>
    </xdr:from>
    <xdr:ext cx="1543050" cy="1531218"/>
    <xdr:pic>
      <xdr:nvPicPr>
        <xdr:cNvPr id="2" name="Picture 1">
          <a:extLst>
            <a:ext uri="{FF2B5EF4-FFF2-40B4-BE49-F238E27FC236}">
              <a16:creationId xmlns:a16="http://schemas.microsoft.com/office/drawing/2014/main" id="{00000000-0008-0000-1200-000002000000}"/>
            </a:ext>
          </a:extLst>
        </xdr:cNvPr>
        <xdr:cNvPicPr>
          <a:picLocks noChangeAspect="1"/>
        </xdr:cNvPicPr>
      </xdr:nvPicPr>
      <xdr:blipFill>
        <a:blip xmlns:r="http://schemas.openxmlformats.org/officeDocument/2006/relationships" r:embed="rId1"/>
        <a:stretch>
          <a:fillRect/>
        </a:stretch>
      </xdr:blipFill>
      <xdr:spPr>
        <a:xfrm>
          <a:off x="190500" y="85726"/>
          <a:ext cx="1543050" cy="1531218"/>
        </a:xfrm>
        <a:prstGeom prst="rect">
          <a:avLst/>
        </a:prstGeom>
      </xdr:spPr>
    </xdr:pic>
    <xdr:clientData/>
  </xdr:oneCellAnchor>
  <xdr:twoCellAnchor editAs="oneCell">
    <xdr:from>
      <xdr:col>2</xdr:col>
      <xdr:colOff>263071</xdr:colOff>
      <xdr:row>39</xdr:row>
      <xdr:rowOff>54429</xdr:rowOff>
    </xdr:from>
    <xdr:to>
      <xdr:col>2</xdr:col>
      <xdr:colOff>263071</xdr:colOff>
      <xdr:row>42</xdr:row>
      <xdr:rowOff>3629</xdr:rowOff>
    </xdr:to>
    <xdr:pic>
      <xdr:nvPicPr>
        <xdr:cNvPr id="3" name="Picture 4">
          <a:extLst>
            <a:ext uri="{FF2B5EF4-FFF2-40B4-BE49-F238E27FC236}">
              <a16:creationId xmlns:a16="http://schemas.microsoft.com/office/drawing/2014/main" id="{00000000-0008-0000-1200-000003000000}"/>
            </a:ext>
          </a:extLst>
        </xdr:cNvPr>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82171" y="12827454"/>
          <a:ext cx="0" cy="549275"/>
        </a:xfrm>
        <a:prstGeom prst="rect">
          <a:avLst/>
        </a:prstGeom>
        <a:noFill/>
        <a:ln>
          <a:noFill/>
        </a:ln>
      </xdr:spPr>
    </xdr:pic>
    <xdr:clientData/>
  </xdr:twoCellAnchor>
  <xdr:oneCellAnchor>
    <xdr:from>
      <xdr:col>1</xdr:col>
      <xdr:colOff>85725</xdr:colOff>
      <xdr:row>0</xdr:row>
      <xdr:rowOff>85726</xdr:rowOff>
    </xdr:from>
    <xdr:ext cx="1543050" cy="1531218"/>
    <xdr:pic>
      <xdr:nvPicPr>
        <xdr:cNvPr id="4" name="Picture 3">
          <a:extLst>
            <a:ext uri="{FF2B5EF4-FFF2-40B4-BE49-F238E27FC236}">
              <a16:creationId xmlns:a16="http://schemas.microsoft.com/office/drawing/2014/main" id="{00000000-0008-0000-1200-000004000000}"/>
            </a:ext>
          </a:extLst>
        </xdr:cNvPr>
        <xdr:cNvPicPr>
          <a:picLocks noChangeAspect="1"/>
        </xdr:cNvPicPr>
      </xdr:nvPicPr>
      <xdr:blipFill>
        <a:blip xmlns:r="http://schemas.openxmlformats.org/officeDocument/2006/relationships" r:embed="rId1"/>
        <a:stretch>
          <a:fillRect/>
        </a:stretch>
      </xdr:blipFill>
      <xdr:spPr>
        <a:xfrm>
          <a:off x="190500" y="85726"/>
          <a:ext cx="1543050" cy="1531218"/>
        </a:xfrm>
        <a:prstGeom prst="rect">
          <a:avLst/>
        </a:prstGeom>
      </xdr:spPr>
    </xdr:pic>
    <xdr:clientData/>
  </xdr:oneCellAnchor>
  <xdr:twoCellAnchor>
    <xdr:from>
      <xdr:col>13</xdr:col>
      <xdr:colOff>38100</xdr:colOff>
      <xdr:row>1</xdr:row>
      <xdr:rowOff>28575</xdr:rowOff>
    </xdr:from>
    <xdr:to>
      <xdr:col>15</xdr:col>
      <xdr:colOff>428625</xdr:colOff>
      <xdr:row>5</xdr:row>
      <xdr:rowOff>28575</xdr:rowOff>
    </xdr:to>
    <xdr:sp macro="[0]!Home" textlink="">
      <xdr:nvSpPr>
        <xdr:cNvPr id="5" name="Arrow: Left 4">
          <a:extLst>
            <a:ext uri="{FF2B5EF4-FFF2-40B4-BE49-F238E27FC236}">
              <a16:creationId xmlns:a16="http://schemas.microsoft.com/office/drawing/2014/main" id="{00000000-0008-0000-1200-000005000000}"/>
            </a:ext>
          </a:extLst>
        </xdr:cNvPr>
        <xdr:cNvSpPr/>
      </xdr:nvSpPr>
      <xdr:spPr>
        <a:xfrm>
          <a:off x="7648575" y="123825"/>
          <a:ext cx="1114425" cy="800100"/>
        </a:xfrm>
        <a:prstGeom prst="leftArrow">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800">
              <a:latin typeface="Times New Roman" panose="02020603050405020304" pitchFamily="18" charset="0"/>
              <a:cs typeface="Times New Roman" panose="02020603050405020304" pitchFamily="18" charset="0"/>
            </a:rPr>
            <a:t>HOME</a:t>
          </a:r>
        </a:p>
      </xdr:txBody>
    </xdr:sp>
    <xdr:clientData/>
  </xdr:twoCellAnchor>
  <xdr:twoCellAnchor>
    <xdr:from>
      <xdr:col>14</xdr:col>
      <xdr:colOff>161925</xdr:colOff>
      <xdr:row>14</xdr:row>
      <xdr:rowOff>161925</xdr:rowOff>
    </xdr:from>
    <xdr:to>
      <xdr:col>15</xdr:col>
      <xdr:colOff>523875</xdr:colOff>
      <xdr:row>18</xdr:row>
      <xdr:rowOff>0</xdr:rowOff>
    </xdr:to>
    <xdr:sp macro="[0]!Cetak" textlink="">
      <xdr:nvSpPr>
        <xdr:cNvPr id="7" name="Rectangle: Single Corner Snipped 6">
          <a:extLst>
            <a:ext uri="{FF2B5EF4-FFF2-40B4-BE49-F238E27FC236}">
              <a16:creationId xmlns:a16="http://schemas.microsoft.com/office/drawing/2014/main" id="{00000000-0008-0000-1200-000007000000}"/>
            </a:ext>
          </a:extLst>
        </xdr:cNvPr>
        <xdr:cNvSpPr/>
      </xdr:nvSpPr>
      <xdr:spPr>
        <a:xfrm>
          <a:off x="7886700" y="2647950"/>
          <a:ext cx="971550" cy="923925"/>
        </a:xfrm>
        <a:prstGeom prst="snip1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600" b="1">
              <a:solidFill>
                <a:schemeClr val="tx1"/>
              </a:solidFill>
              <a:latin typeface="Times New Roman" panose="02020603050405020304" pitchFamily="18" charset="0"/>
              <a:cs typeface="Times New Roman" panose="02020603050405020304" pitchFamily="18" charset="0"/>
            </a:rPr>
            <a:t>CETAK</a:t>
          </a:r>
        </a:p>
      </xdr:txBody>
    </xdr:sp>
    <xdr:clientData/>
  </xdr:twoCellAnchor>
  <xdr:twoCellAnchor>
    <xdr:from>
      <xdr:col>16</xdr:col>
      <xdr:colOff>95250</xdr:colOff>
      <xdr:row>14</xdr:row>
      <xdr:rowOff>161925</xdr:rowOff>
    </xdr:from>
    <xdr:to>
      <xdr:col>17</xdr:col>
      <xdr:colOff>974910</xdr:colOff>
      <xdr:row>18</xdr:row>
      <xdr:rowOff>0</xdr:rowOff>
    </xdr:to>
    <xdr:sp macro="[0]!PDF" textlink="">
      <xdr:nvSpPr>
        <xdr:cNvPr id="8" name="Rectangle: Single Corner Snipped 7">
          <a:extLst>
            <a:ext uri="{FF2B5EF4-FFF2-40B4-BE49-F238E27FC236}">
              <a16:creationId xmlns:a16="http://schemas.microsoft.com/office/drawing/2014/main" id="{00000000-0008-0000-1200-000008000000}"/>
            </a:ext>
          </a:extLst>
        </xdr:cNvPr>
        <xdr:cNvSpPr/>
      </xdr:nvSpPr>
      <xdr:spPr>
        <a:xfrm>
          <a:off x="9039225" y="2647950"/>
          <a:ext cx="1041585" cy="923925"/>
        </a:xfrm>
        <a:prstGeom prst="snip1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600" b="1">
              <a:solidFill>
                <a:schemeClr val="tx1"/>
              </a:solidFill>
              <a:latin typeface="Times New Roman" panose="02020603050405020304" pitchFamily="18" charset="0"/>
              <a:cs typeface="Times New Roman" panose="02020603050405020304" pitchFamily="18" charset="0"/>
            </a:rPr>
            <a:t>PDF</a:t>
          </a:r>
        </a:p>
      </xdr:txBody>
    </xdr:sp>
    <xdr:clientData/>
  </xdr:twoCellAnchor>
  <xdr:twoCellAnchor>
    <xdr:from>
      <xdr:col>15</xdr:col>
      <xdr:colOff>178734</xdr:colOff>
      <xdr:row>18</xdr:row>
      <xdr:rowOff>201706</xdr:rowOff>
    </xdr:from>
    <xdr:to>
      <xdr:col>17</xdr:col>
      <xdr:colOff>312084</xdr:colOff>
      <xdr:row>19</xdr:row>
      <xdr:rowOff>268381</xdr:rowOff>
    </xdr:to>
    <xdr:sp macro="[0]!_xludf.SAVE" textlink="">
      <xdr:nvSpPr>
        <xdr:cNvPr id="9" name="Rectangle: Top Corners Snipped 8">
          <a:extLst>
            <a:ext uri="{FF2B5EF4-FFF2-40B4-BE49-F238E27FC236}">
              <a16:creationId xmlns:a16="http://schemas.microsoft.com/office/drawing/2014/main" id="{00000000-0008-0000-1200-000009000000}"/>
            </a:ext>
          </a:extLst>
        </xdr:cNvPr>
        <xdr:cNvSpPr/>
      </xdr:nvSpPr>
      <xdr:spPr>
        <a:xfrm>
          <a:off x="8513109" y="3773581"/>
          <a:ext cx="904875" cy="542925"/>
        </a:xfrm>
        <a:prstGeom prst="snip2Same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ctr"/>
          <a:r>
            <a:rPr lang="en-US" sz="1200" b="1">
              <a:solidFill>
                <a:schemeClr val="tx1"/>
              </a:solidFill>
              <a:latin typeface="Times New Roman" panose="02020603050405020304" pitchFamily="18" charset="0"/>
              <a:cs typeface="Times New Roman" panose="02020603050405020304" pitchFamily="18" charset="0"/>
            </a:rPr>
            <a:t>SIMPAN DOKUMEN</a:t>
          </a:r>
        </a:p>
      </xdr:txBody>
    </xdr:sp>
    <xdr:clientData/>
  </xdr:twoCellAnchor>
  <mc:AlternateContent xmlns:mc="http://schemas.openxmlformats.org/markup-compatibility/2006">
    <mc:Choice xmlns:a14="http://schemas.microsoft.com/office/drawing/2010/main" Requires="a14">
      <xdr:twoCellAnchor>
        <xdr:from>
          <xdr:col>14</xdr:col>
          <xdr:colOff>28575</xdr:colOff>
          <xdr:row>8</xdr:row>
          <xdr:rowOff>0</xdr:rowOff>
        </xdr:from>
        <xdr:to>
          <xdr:col>14</xdr:col>
          <xdr:colOff>466725</xdr:colOff>
          <xdr:row>14</xdr:row>
          <xdr:rowOff>19050</xdr:rowOff>
        </xdr:to>
        <xdr:sp macro="" textlink="">
          <xdr:nvSpPr>
            <xdr:cNvPr id="81921" name="Spinner 1" hidden="1">
              <a:extLst>
                <a:ext uri="{63B3BB69-23CF-44E3-9099-C40C66FF867C}">
                  <a14:compatExt spid="_x0000_s81921"/>
                </a:ext>
                <a:ext uri="{FF2B5EF4-FFF2-40B4-BE49-F238E27FC236}">
                  <a16:creationId xmlns:a16="http://schemas.microsoft.com/office/drawing/2014/main" id="{00000000-0008-0000-1200-00000140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xdr:twoCellAnchor>
    <xdr:from>
      <xdr:col>10</xdr:col>
      <xdr:colOff>0</xdr:colOff>
      <xdr:row>1</xdr:row>
      <xdr:rowOff>0</xdr:rowOff>
    </xdr:from>
    <xdr:to>
      <xdr:col>12</xdr:col>
      <xdr:colOff>47625</xdr:colOff>
      <xdr:row>5</xdr:row>
      <xdr:rowOff>38100</xdr:rowOff>
    </xdr:to>
    <xdr:sp macro="[0]!Home" textlink="">
      <xdr:nvSpPr>
        <xdr:cNvPr id="2" name="Arrow: Left 1">
          <a:extLst>
            <a:ext uri="{FF2B5EF4-FFF2-40B4-BE49-F238E27FC236}">
              <a16:creationId xmlns:a16="http://schemas.microsoft.com/office/drawing/2014/main" id="{00000000-0008-0000-1300-000002000000}"/>
            </a:ext>
          </a:extLst>
        </xdr:cNvPr>
        <xdr:cNvSpPr/>
      </xdr:nvSpPr>
      <xdr:spPr>
        <a:xfrm>
          <a:off x="6096000" y="190500"/>
          <a:ext cx="1266825" cy="800100"/>
        </a:xfrm>
        <a:prstGeom prst="leftArrow">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800">
              <a:latin typeface="Times New Roman" panose="02020603050405020304" pitchFamily="18" charset="0"/>
              <a:cs typeface="Times New Roman" panose="02020603050405020304" pitchFamily="18" charset="0"/>
            </a:rPr>
            <a:t>HOME</a:t>
          </a:r>
        </a:p>
      </xdr:txBody>
    </xdr:sp>
    <xdr:clientData/>
  </xdr:twoCellAnchor>
  <xdr:twoCellAnchor>
    <xdr:from>
      <xdr:col>5</xdr:col>
      <xdr:colOff>2181225</xdr:colOff>
      <xdr:row>0</xdr:row>
      <xdr:rowOff>95250</xdr:rowOff>
    </xdr:from>
    <xdr:to>
      <xdr:col>6</xdr:col>
      <xdr:colOff>876300</xdr:colOff>
      <xdr:row>1</xdr:row>
      <xdr:rowOff>781050</xdr:rowOff>
    </xdr:to>
    <xdr:sp macro="[0]!Home" textlink="">
      <xdr:nvSpPr>
        <xdr:cNvPr id="3" name="Arrow: Left 2">
          <a:extLst>
            <a:ext uri="{FF2B5EF4-FFF2-40B4-BE49-F238E27FC236}">
              <a16:creationId xmlns:a16="http://schemas.microsoft.com/office/drawing/2014/main" id="{00000000-0008-0000-1300-000003000000}"/>
            </a:ext>
          </a:extLst>
        </xdr:cNvPr>
        <xdr:cNvSpPr/>
      </xdr:nvSpPr>
      <xdr:spPr>
        <a:xfrm>
          <a:off x="3886200" y="95250"/>
          <a:ext cx="1200150" cy="790575"/>
        </a:xfrm>
        <a:prstGeom prst="leftArrow">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800">
              <a:latin typeface="Times New Roman" panose="02020603050405020304" pitchFamily="18" charset="0"/>
              <a:cs typeface="Times New Roman" panose="02020603050405020304" pitchFamily="18" charset="0"/>
            </a:rPr>
            <a:t>HOME</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2</xdr:col>
      <xdr:colOff>18184</xdr:colOff>
      <xdr:row>1</xdr:row>
      <xdr:rowOff>21089</xdr:rowOff>
    </xdr:from>
    <xdr:to>
      <xdr:col>2</xdr:col>
      <xdr:colOff>1385455</xdr:colOff>
      <xdr:row>1</xdr:row>
      <xdr:rowOff>868813</xdr:rowOff>
    </xdr:to>
    <xdr:sp macro="[0]!Home" textlink="">
      <xdr:nvSpPr>
        <xdr:cNvPr id="3" name="Arrow: Left 2">
          <a:extLst>
            <a:ext uri="{FF2B5EF4-FFF2-40B4-BE49-F238E27FC236}">
              <a16:creationId xmlns:a16="http://schemas.microsoft.com/office/drawing/2014/main" id="{00000000-0008-0000-1400-000003000000}"/>
            </a:ext>
          </a:extLst>
        </xdr:cNvPr>
        <xdr:cNvSpPr/>
      </xdr:nvSpPr>
      <xdr:spPr>
        <a:xfrm>
          <a:off x="544860" y="121942"/>
          <a:ext cx="1367271" cy="847724"/>
        </a:xfrm>
        <a:prstGeom prst="leftArrow">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800">
              <a:latin typeface="Times New Roman" panose="02020603050405020304" pitchFamily="18" charset="0"/>
              <a:cs typeface="Times New Roman" panose="02020603050405020304" pitchFamily="18" charset="0"/>
            </a:rPr>
            <a:t>HOME</a:t>
          </a:r>
        </a:p>
      </xdr:txBody>
    </xdr:sp>
    <xdr:clientData/>
  </xdr:twoCellAnchor>
</xdr:wsDr>
</file>

<file path=xl/drawings/drawing22.xml><?xml version="1.0" encoding="utf-8"?>
<xdr:wsDr xmlns:xdr="http://schemas.openxmlformats.org/drawingml/2006/spreadsheetDrawing" xmlns:a="http://schemas.openxmlformats.org/drawingml/2006/main">
  <xdr:twoCellAnchor editAs="oneCell">
    <xdr:from>
      <xdr:col>2</xdr:col>
      <xdr:colOff>263071</xdr:colOff>
      <xdr:row>42</xdr:row>
      <xdr:rowOff>54429</xdr:rowOff>
    </xdr:from>
    <xdr:to>
      <xdr:col>2</xdr:col>
      <xdr:colOff>263071</xdr:colOff>
      <xdr:row>45</xdr:row>
      <xdr:rowOff>3629</xdr:rowOff>
    </xdr:to>
    <xdr:pic>
      <xdr:nvPicPr>
        <xdr:cNvPr id="2" name="Picture 4">
          <a:extLst>
            <a:ext uri="{FF2B5EF4-FFF2-40B4-BE49-F238E27FC236}">
              <a16:creationId xmlns:a16="http://schemas.microsoft.com/office/drawing/2014/main" id="{00000000-0008-0000-1500-000002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8388804"/>
          <a:ext cx="0" cy="549275"/>
        </a:xfrm>
        <a:prstGeom prst="rect">
          <a:avLst/>
        </a:prstGeom>
        <a:noFill/>
        <a:ln>
          <a:noFill/>
        </a:ln>
      </xdr:spPr>
    </xdr:pic>
    <xdr:clientData/>
  </xdr:twoCellAnchor>
  <xdr:twoCellAnchor editAs="oneCell">
    <xdr:from>
      <xdr:col>1</xdr:col>
      <xdr:colOff>42863</xdr:colOff>
      <xdr:row>39</xdr:row>
      <xdr:rowOff>123825</xdr:rowOff>
    </xdr:from>
    <xdr:to>
      <xdr:col>1</xdr:col>
      <xdr:colOff>42863</xdr:colOff>
      <xdr:row>46</xdr:row>
      <xdr:rowOff>50325</xdr:rowOff>
    </xdr:to>
    <xdr:pic>
      <xdr:nvPicPr>
        <xdr:cNvPr id="3" name="Picture 6">
          <a:extLst>
            <a:ext uri="{FF2B5EF4-FFF2-40B4-BE49-F238E27FC236}">
              <a16:creationId xmlns:a16="http://schemas.microsoft.com/office/drawing/2014/main" id="{00000000-0008-0000-1500-000003000000}"/>
            </a:ext>
          </a:extLst>
        </xdr:cNvPr>
        <xdr:cNvPicPr>
          <a:picLocks/>
        </xdr:cNvPicPr>
      </xdr:nvPicPr>
      <xdr:blipFill>
        <a:blip xmlns:r="http://schemas.openxmlformats.org/officeDocument/2006/relationships" r:embed="rId2"/>
        <a:srcRect/>
        <a:stretch>
          <a:fillRect/>
        </a:stretch>
      </xdr:blipFill>
      <xdr:spPr bwMode="auto">
        <a:xfrm>
          <a:off x="147638" y="7858125"/>
          <a:ext cx="0" cy="1326675"/>
        </a:xfrm>
        <a:prstGeom prst="rect">
          <a:avLst/>
        </a:prstGeom>
        <a:noFill/>
        <a:ln w="9525">
          <a:noFill/>
          <a:miter lim="800000"/>
          <a:headEnd/>
          <a:tailEnd/>
        </a:ln>
      </xdr:spPr>
    </xdr:pic>
    <xdr:clientData/>
  </xdr:twoCellAnchor>
  <xdr:twoCellAnchor editAs="oneCell">
    <xdr:from>
      <xdr:col>2</xdr:col>
      <xdr:colOff>263071</xdr:colOff>
      <xdr:row>42</xdr:row>
      <xdr:rowOff>54429</xdr:rowOff>
    </xdr:from>
    <xdr:to>
      <xdr:col>2</xdr:col>
      <xdr:colOff>263071</xdr:colOff>
      <xdr:row>45</xdr:row>
      <xdr:rowOff>3629</xdr:rowOff>
    </xdr:to>
    <xdr:pic>
      <xdr:nvPicPr>
        <xdr:cNvPr id="4" name="Picture 4">
          <a:extLst>
            <a:ext uri="{FF2B5EF4-FFF2-40B4-BE49-F238E27FC236}">
              <a16:creationId xmlns:a16="http://schemas.microsoft.com/office/drawing/2014/main" id="{00000000-0008-0000-1500-000004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8388804"/>
          <a:ext cx="0" cy="549275"/>
        </a:xfrm>
        <a:prstGeom prst="rect">
          <a:avLst/>
        </a:prstGeom>
        <a:noFill/>
        <a:ln>
          <a:noFill/>
        </a:ln>
      </xdr:spPr>
    </xdr:pic>
    <xdr:clientData/>
  </xdr:twoCellAnchor>
  <xdr:twoCellAnchor editAs="oneCell">
    <xdr:from>
      <xdr:col>1</xdr:col>
      <xdr:colOff>42863</xdr:colOff>
      <xdr:row>39</xdr:row>
      <xdr:rowOff>123825</xdr:rowOff>
    </xdr:from>
    <xdr:to>
      <xdr:col>1</xdr:col>
      <xdr:colOff>42863</xdr:colOff>
      <xdr:row>46</xdr:row>
      <xdr:rowOff>50325</xdr:rowOff>
    </xdr:to>
    <xdr:pic>
      <xdr:nvPicPr>
        <xdr:cNvPr id="5" name="Picture 6">
          <a:extLst>
            <a:ext uri="{FF2B5EF4-FFF2-40B4-BE49-F238E27FC236}">
              <a16:creationId xmlns:a16="http://schemas.microsoft.com/office/drawing/2014/main" id="{00000000-0008-0000-1500-000005000000}"/>
            </a:ext>
          </a:extLst>
        </xdr:cNvPr>
        <xdr:cNvPicPr>
          <a:picLocks/>
        </xdr:cNvPicPr>
      </xdr:nvPicPr>
      <xdr:blipFill>
        <a:blip xmlns:r="http://schemas.openxmlformats.org/officeDocument/2006/relationships" r:embed="rId2"/>
        <a:srcRect/>
        <a:stretch>
          <a:fillRect/>
        </a:stretch>
      </xdr:blipFill>
      <xdr:spPr bwMode="auto">
        <a:xfrm>
          <a:off x="147638" y="7858125"/>
          <a:ext cx="0" cy="1326675"/>
        </a:xfrm>
        <a:prstGeom prst="rect">
          <a:avLst/>
        </a:prstGeom>
        <a:noFill/>
        <a:ln w="9525">
          <a:noFill/>
          <a:miter lim="800000"/>
          <a:headEnd/>
          <a:tailEnd/>
        </a:ln>
      </xdr:spPr>
    </xdr:pic>
    <xdr:clientData/>
  </xdr:twoCellAnchor>
  <xdr:twoCellAnchor editAs="oneCell">
    <xdr:from>
      <xdr:col>2</xdr:col>
      <xdr:colOff>263071</xdr:colOff>
      <xdr:row>42</xdr:row>
      <xdr:rowOff>54429</xdr:rowOff>
    </xdr:from>
    <xdr:to>
      <xdr:col>2</xdr:col>
      <xdr:colOff>263071</xdr:colOff>
      <xdr:row>45</xdr:row>
      <xdr:rowOff>3629</xdr:rowOff>
    </xdr:to>
    <xdr:pic>
      <xdr:nvPicPr>
        <xdr:cNvPr id="6" name="Picture 4">
          <a:extLst>
            <a:ext uri="{FF2B5EF4-FFF2-40B4-BE49-F238E27FC236}">
              <a16:creationId xmlns:a16="http://schemas.microsoft.com/office/drawing/2014/main" id="{00000000-0008-0000-1500-000006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8388804"/>
          <a:ext cx="0" cy="549275"/>
        </a:xfrm>
        <a:prstGeom prst="rect">
          <a:avLst/>
        </a:prstGeom>
        <a:noFill/>
        <a:ln>
          <a:noFill/>
        </a:ln>
      </xdr:spPr>
    </xdr:pic>
    <xdr:clientData/>
  </xdr:twoCellAnchor>
  <xdr:twoCellAnchor editAs="oneCell">
    <xdr:from>
      <xdr:col>1</xdr:col>
      <xdr:colOff>42863</xdr:colOff>
      <xdr:row>39</xdr:row>
      <xdr:rowOff>123825</xdr:rowOff>
    </xdr:from>
    <xdr:to>
      <xdr:col>1</xdr:col>
      <xdr:colOff>42863</xdr:colOff>
      <xdr:row>46</xdr:row>
      <xdr:rowOff>50325</xdr:rowOff>
    </xdr:to>
    <xdr:pic>
      <xdr:nvPicPr>
        <xdr:cNvPr id="7" name="Picture 6">
          <a:extLst>
            <a:ext uri="{FF2B5EF4-FFF2-40B4-BE49-F238E27FC236}">
              <a16:creationId xmlns:a16="http://schemas.microsoft.com/office/drawing/2014/main" id="{00000000-0008-0000-1500-000007000000}"/>
            </a:ext>
          </a:extLst>
        </xdr:cNvPr>
        <xdr:cNvPicPr>
          <a:picLocks/>
        </xdr:cNvPicPr>
      </xdr:nvPicPr>
      <xdr:blipFill>
        <a:blip xmlns:r="http://schemas.openxmlformats.org/officeDocument/2006/relationships" r:embed="rId2"/>
        <a:srcRect/>
        <a:stretch>
          <a:fillRect/>
        </a:stretch>
      </xdr:blipFill>
      <xdr:spPr bwMode="auto">
        <a:xfrm>
          <a:off x="147638" y="7858125"/>
          <a:ext cx="0" cy="1326675"/>
        </a:xfrm>
        <a:prstGeom prst="rect">
          <a:avLst/>
        </a:prstGeom>
        <a:noFill/>
        <a:ln w="9525">
          <a:noFill/>
          <a:miter lim="800000"/>
          <a:headEnd/>
          <a:tailEnd/>
        </a:ln>
      </xdr:spPr>
    </xdr:pic>
    <xdr:clientData/>
  </xdr:twoCellAnchor>
  <xdr:twoCellAnchor editAs="oneCell">
    <xdr:from>
      <xdr:col>2</xdr:col>
      <xdr:colOff>263071</xdr:colOff>
      <xdr:row>41</xdr:row>
      <xdr:rowOff>54429</xdr:rowOff>
    </xdr:from>
    <xdr:to>
      <xdr:col>2</xdr:col>
      <xdr:colOff>263071</xdr:colOff>
      <xdr:row>44</xdr:row>
      <xdr:rowOff>3629</xdr:rowOff>
    </xdr:to>
    <xdr:pic>
      <xdr:nvPicPr>
        <xdr:cNvPr id="8" name="Picture 4">
          <a:extLst>
            <a:ext uri="{FF2B5EF4-FFF2-40B4-BE49-F238E27FC236}">
              <a16:creationId xmlns:a16="http://schemas.microsoft.com/office/drawing/2014/main" id="{00000000-0008-0000-1500-000008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8188779"/>
          <a:ext cx="0" cy="549275"/>
        </a:xfrm>
        <a:prstGeom prst="rect">
          <a:avLst/>
        </a:prstGeom>
        <a:noFill/>
        <a:ln>
          <a:noFill/>
        </a:ln>
      </xdr:spPr>
    </xdr:pic>
    <xdr:clientData/>
  </xdr:twoCellAnchor>
  <xdr:twoCellAnchor editAs="oneCell">
    <xdr:from>
      <xdr:col>1</xdr:col>
      <xdr:colOff>42863</xdr:colOff>
      <xdr:row>38</xdr:row>
      <xdr:rowOff>123825</xdr:rowOff>
    </xdr:from>
    <xdr:to>
      <xdr:col>1</xdr:col>
      <xdr:colOff>42863</xdr:colOff>
      <xdr:row>45</xdr:row>
      <xdr:rowOff>50325</xdr:rowOff>
    </xdr:to>
    <xdr:pic>
      <xdr:nvPicPr>
        <xdr:cNvPr id="9" name="Picture 6">
          <a:extLst>
            <a:ext uri="{FF2B5EF4-FFF2-40B4-BE49-F238E27FC236}">
              <a16:creationId xmlns:a16="http://schemas.microsoft.com/office/drawing/2014/main" id="{00000000-0008-0000-1500-000009000000}"/>
            </a:ext>
          </a:extLst>
        </xdr:cNvPr>
        <xdr:cNvPicPr>
          <a:picLocks/>
        </xdr:cNvPicPr>
      </xdr:nvPicPr>
      <xdr:blipFill>
        <a:blip xmlns:r="http://schemas.openxmlformats.org/officeDocument/2006/relationships" r:embed="rId2"/>
        <a:srcRect/>
        <a:stretch>
          <a:fillRect/>
        </a:stretch>
      </xdr:blipFill>
      <xdr:spPr bwMode="auto">
        <a:xfrm>
          <a:off x="147638" y="7658100"/>
          <a:ext cx="0" cy="1326675"/>
        </a:xfrm>
        <a:prstGeom prst="rect">
          <a:avLst/>
        </a:prstGeom>
        <a:noFill/>
        <a:ln w="9525">
          <a:noFill/>
          <a:miter lim="800000"/>
          <a:headEnd/>
          <a:tailEnd/>
        </a:ln>
      </xdr:spPr>
    </xdr:pic>
    <xdr:clientData/>
  </xdr:twoCellAnchor>
  <xdr:twoCellAnchor editAs="oneCell">
    <xdr:from>
      <xdr:col>1</xdr:col>
      <xdr:colOff>42863</xdr:colOff>
      <xdr:row>38</xdr:row>
      <xdr:rowOff>123825</xdr:rowOff>
    </xdr:from>
    <xdr:to>
      <xdr:col>1</xdr:col>
      <xdr:colOff>42863</xdr:colOff>
      <xdr:row>45</xdr:row>
      <xdr:rowOff>50325</xdr:rowOff>
    </xdr:to>
    <xdr:pic>
      <xdr:nvPicPr>
        <xdr:cNvPr id="10" name="Picture 6">
          <a:extLst>
            <a:ext uri="{FF2B5EF4-FFF2-40B4-BE49-F238E27FC236}">
              <a16:creationId xmlns:a16="http://schemas.microsoft.com/office/drawing/2014/main" id="{00000000-0008-0000-1500-00000A000000}"/>
            </a:ext>
          </a:extLst>
        </xdr:cNvPr>
        <xdr:cNvPicPr>
          <a:picLocks/>
        </xdr:cNvPicPr>
      </xdr:nvPicPr>
      <xdr:blipFill>
        <a:blip xmlns:r="http://schemas.openxmlformats.org/officeDocument/2006/relationships" r:embed="rId2"/>
        <a:srcRect/>
        <a:stretch>
          <a:fillRect/>
        </a:stretch>
      </xdr:blipFill>
      <xdr:spPr bwMode="auto">
        <a:xfrm>
          <a:off x="147638" y="7658100"/>
          <a:ext cx="0" cy="1326675"/>
        </a:xfrm>
        <a:prstGeom prst="rect">
          <a:avLst/>
        </a:prstGeom>
        <a:noFill/>
        <a:ln w="9525">
          <a:noFill/>
          <a:miter lim="800000"/>
          <a:headEnd/>
          <a:tailEnd/>
        </a:ln>
      </xdr:spPr>
    </xdr:pic>
    <xdr:clientData/>
  </xdr:twoCellAnchor>
  <xdr:twoCellAnchor editAs="oneCell">
    <xdr:from>
      <xdr:col>2</xdr:col>
      <xdr:colOff>263071</xdr:colOff>
      <xdr:row>42</xdr:row>
      <xdr:rowOff>54429</xdr:rowOff>
    </xdr:from>
    <xdr:to>
      <xdr:col>2</xdr:col>
      <xdr:colOff>263071</xdr:colOff>
      <xdr:row>45</xdr:row>
      <xdr:rowOff>3629</xdr:rowOff>
    </xdr:to>
    <xdr:pic>
      <xdr:nvPicPr>
        <xdr:cNvPr id="11" name="Picture 4">
          <a:extLst>
            <a:ext uri="{FF2B5EF4-FFF2-40B4-BE49-F238E27FC236}">
              <a16:creationId xmlns:a16="http://schemas.microsoft.com/office/drawing/2014/main" id="{00000000-0008-0000-1500-00000B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8388804"/>
          <a:ext cx="0" cy="549275"/>
        </a:xfrm>
        <a:prstGeom prst="rect">
          <a:avLst/>
        </a:prstGeom>
        <a:noFill/>
        <a:ln>
          <a:noFill/>
        </a:ln>
      </xdr:spPr>
    </xdr:pic>
    <xdr:clientData/>
  </xdr:twoCellAnchor>
  <xdr:twoCellAnchor editAs="oneCell">
    <xdr:from>
      <xdr:col>1</xdr:col>
      <xdr:colOff>42863</xdr:colOff>
      <xdr:row>39</xdr:row>
      <xdr:rowOff>123825</xdr:rowOff>
    </xdr:from>
    <xdr:to>
      <xdr:col>1</xdr:col>
      <xdr:colOff>42863</xdr:colOff>
      <xdr:row>46</xdr:row>
      <xdr:rowOff>50325</xdr:rowOff>
    </xdr:to>
    <xdr:pic>
      <xdr:nvPicPr>
        <xdr:cNvPr id="12" name="Picture 6">
          <a:extLst>
            <a:ext uri="{FF2B5EF4-FFF2-40B4-BE49-F238E27FC236}">
              <a16:creationId xmlns:a16="http://schemas.microsoft.com/office/drawing/2014/main" id="{00000000-0008-0000-1500-00000C000000}"/>
            </a:ext>
          </a:extLst>
        </xdr:cNvPr>
        <xdr:cNvPicPr>
          <a:picLocks/>
        </xdr:cNvPicPr>
      </xdr:nvPicPr>
      <xdr:blipFill>
        <a:blip xmlns:r="http://schemas.openxmlformats.org/officeDocument/2006/relationships" r:embed="rId2"/>
        <a:srcRect/>
        <a:stretch>
          <a:fillRect/>
        </a:stretch>
      </xdr:blipFill>
      <xdr:spPr bwMode="auto">
        <a:xfrm>
          <a:off x="147638" y="7858125"/>
          <a:ext cx="0" cy="1326675"/>
        </a:xfrm>
        <a:prstGeom prst="rect">
          <a:avLst/>
        </a:prstGeom>
        <a:noFill/>
        <a:ln w="9525">
          <a:noFill/>
          <a:miter lim="800000"/>
          <a:headEnd/>
          <a:tailEnd/>
        </a:ln>
      </xdr:spPr>
    </xdr:pic>
    <xdr:clientData/>
  </xdr:twoCellAnchor>
  <xdr:twoCellAnchor editAs="oneCell">
    <xdr:from>
      <xdr:col>2</xdr:col>
      <xdr:colOff>263071</xdr:colOff>
      <xdr:row>42</xdr:row>
      <xdr:rowOff>54429</xdr:rowOff>
    </xdr:from>
    <xdr:to>
      <xdr:col>2</xdr:col>
      <xdr:colOff>263071</xdr:colOff>
      <xdr:row>45</xdr:row>
      <xdr:rowOff>3629</xdr:rowOff>
    </xdr:to>
    <xdr:pic>
      <xdr:nvPicPr>
        <xdr:cNvPr id="13" name="Picture 4">
          <a:extLst>
            <a:ext uri="{FF2B5EF4-FFF2-40B4-BE49-F238E27FC236}">
              <a16:creationId xmlns:a16="http://schemas.microsoft.com/office/drawing/2014/main" id="{00000000-0008-0000-1500-00000D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8388804"/>
          <a:ext cx="0" cy="549275"/>
        </a:xfrm>
        <a:prstGeom prst="rect">
          <a:avLst/>
        </a:prstGeom>
        <a:noFill/>
        <a:ln>
          <a:noFill/>
        </a:ln>
      </xdr:spPr>
    </xdr:pic>
    <xdr:clientData/>
  </xdr:twoCellAnchor>
  <xdr:twoCellAnchor editAs="oneCell">
    <xdr:from>
      <xdr:col>1</xdr:col>
      <xdr:colOff>42863</xdr:colOff>
      <xdr:row>39</xdr:row>
      <xdr:rowOff>123825</xdr:rowOff>
    </xdr:from>
    <xdr:to>
      <xdr:col>1</xdr:col>
      <xdr:colOff>42863</xdr:colOff>
      <xdr:row>46</xdr:row>
      <xdr:rowOff>50325</xdr:rowOff>
    </xdr:to>
    <xdr:pic>
      <xdr:nvPicPr>
        <xdr:cNvPr id="14" name="Picture 6">
          <a:extLst>
            <a:ext uri="{FF2B5EF4-FFF2-40B4-BE49-F238E27FC236}">
              <a16:creationId xmlns:a16="http://schemas.microsoft.com/office/drawing/2014/main" id="{00000000-0008-0000-1500-00000E000000}"/>
            </a:ext>
          </a:extLst>
        </xdr:cNvPr>
        <xdr:cNvPicPr>
          <a:picLocks/>
        </xdr:cNvPicPr>
      </xdr:nvPicPr>
      <xdr:blipFill>
        <a:blip xmlns:r="http://schemas.openxmlformats.org/officeDocument/2006/relationships" r:embed="rId2"/>
        <a:srcRect/>
        <a:stretch>
          <a:fillRect/>
        </a:stretch>
      </xdr:blipFill>
      <xdr:spPr bwMode="auto">
        <a:xfrm>
          <a:off x="147638" y="7858125"/>
          <a:ext cx="0" cy="1326675"/>
        </a:xfrm>
        <a:prstGeom prst="rect">
          <a:avLst/>
        </a:prstGeom>
        <a:noFill/>
        <a:ln w="9525">
          <a:noFill/>
          <a:miter lim="800000"/>
          <a:headEnd/>
          <a:tailEnd/>
        </a:ln>
      </xdr:spPr>
    </xdr:pic>
    <xdr:clientData/>
  </xdr:twoCellAnchor>
  <xdr:twoCellAnchor editAs="oneCell">
    <xdr:from>
      <xdr:col>2</xdr:col>
      <xdr:colOff>263071</xdr:colOff>
      <xdr:row>42</xdr:row>
      <xdr:rowOff>54429</xdr:rowOff>
    </xdr:from>
    <xdr:to>
      <xdr:col>2</xdr:col>
      <xdr:colOff>263071</xdr:colOff>
      <xdr:row>45</xdr:row>
      <xdr:rowOff>3629</xdr:rowOff>
    </xdr:to>
    <xdr:pic>
      <xdr:nvPicPr>
        <xdr:cNvPr id="15" name="Picture 4">
          <a:extLst>
            <a:ext uri="{FF2B5EF4-FFF2-40B4-BE49-F238E27FC236}">
              <a16:creationId xmlns:a16="http://schemas.microsoft.com/office/drawing/2014/main" id="{00000000-0008-0000-1500-00000F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8388804"/>
          <a:ext cx="0" cy="549275"/>
        </a:xfrm>
        <a:prstGeom prst="rect">
          <a:avLst/>
        </a:prstGeom>
        <a:noFill/>
        <a:ln>
          <a:noFill/>
        </a:ln>
      </xdr:spPr>
    </xdr:pic>
    <xdr:clientData/>
  </xdr:twoCellAnchor>
  <xdr:twoCellAnchor editAs="oneCell">
    <xdr:from>
      <xdr:col>1</xdr:col>
      <xdr:colOff>42863</xdr:colOff>
      <xdr:row>39</xdr:row>
      <xdr:rowOff>123825</xdr:rowOff>
    </xdr:from>
    <xdr:to>
      <xdr:col>1</xdr:col>
      <xdr:colOff>42863</xdr:colOff>
      <xdr:row>46</xdr:row>
      <xdr:rowOff>50325</xdr:rowOff>
    </xdr:to>
    <xdr:pic>
      <xdr:nvPicPr>
        <xdr:cNvPr id="16" name="Picture 6">
          <a:extLst>
            <a:ext uri="{FF2B5EF4-FFF2-40B4-BE49-F238E27FC236}">
              <a16:creationId xmlns:a16="http://schemas.microsoft.com/office/drawing/2014/main" id="{00000000-0008-0000-1500-000010000000}"/>
            </a:ext>
          </a:extLst>
        </xdr:cNvPr>
        <xdr:cNvPicPr>
          <a:picLocks/>
        </xdr:cNvPicPr>
      </xdr:nvPicPr>
      <xdr:blipFill>
        <a:blip xmlns:r="http://schemas.openxmlformats.org/officeDocument/2006/relationships" r:embed="rId2"/>
        <a:srcRect/>
        <a:stretch>
          <a:fillRect/>
        </a:stretch>
      </xdr:blipFill>
      <xdr:spPr bwMode="auto">
        <a:xfrm>
          <a:off x="147638" y="7858125"/>
          <a:ext cx="0" cy="1326675"/>
        </a:xfrm>
        <a:prstGeom prst="rect">
          <a:avLst/>
        </a:prstGeom>
        <a:noFill/>
        <a:ln w="9525">
          <a:noFill/>
          <a:miter lim="800000"/>
          <a:headEnd/>
          <a:tailEnd/>
        </a:ln>
      </xdr:spPr>
    </xdr:pic>
    <xdr:clientData/>
  </xdr:twoCellAnchor>
  <xdr:twoCellAnchor editAs="oneCell">
    <xdr:from>
      <xdr:col>2</xdr:col>
      <xdr:colOff>263071</xdr:colOff>
      <xdr:row>41</xdr:row>
      <xdr:rowOff>54429</xdr:rowOff>
    </xdr:from>
    <xdr:to>
      <xdr:col>2</xdr:col>
      <xdr:colOff>263071</xdr:colOff>
      <xdr:row>44</xdr:row>
      <xdr:rowOff>3629</xdr:rowOff>
    </xdr:to>
    <xdr:pic>
      <xdr:nvPicPr>
        <xdr:cNvPr id="17" name="Picture 4">
          <a:extLst>
            <a:ext uri="{FF2B5EF4-FFF2-40B4-BE49-F238E27FC236}">
              <a16:creationId xmlns:a16="http://schemas.microsoft.com/office/drawing/2014/main" id="{00000000-0008-0000-1500-000011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8188779"/>
          <a:ext cx="0" cy="549275"/>
        </a:xfrm>
        <a:prstGeom prst="rect">
          <a:avLst/>
        </a:prstGeom>
        <a:noFill/>
        <a:ln>
          <a:noFill/>
        </a:ln>
      </xdr:spPr>
    </xdr:pic>
    <xdr:clientData/>
  </xdr:twoCellAnchor>
  <xdr:twoCellAnchor editAs="oneCell">
    <xdr:from>
      <xdr:col>1</xdr:col>
      <xdr:colOff>42863</xdr:colOff>
      <xdr:row>38</xdr:row>
      <xdr:rowOff>123825</xdr:rowOff>
    </xdr:from>
    <xdr:to>
      <xdr:col>1</xdr:col>
      <xdr:colOff>42863</xdr:colOff>
      <xdr:row>45</xdr:row>
      <xdr:rowOff>50325</xdr:rowOff>
    </xdr:to>
    <xdr:pic>
      <xdr:nvPicPr>
        <xdr:cNvPr id="18" name="Picture 6">
          <a:extLst>
            <a:ext uri="{FF2B5EF4-FFF2-40B4-BE49-F238E27FC236}">
              <a16:creationId xmlns:a16="http://schemas.microsoft.com/office/drawing/2014/main" id="{00000000-0008-0000-1500-000012000000}"/>
            </a:ext>
          </a:extLst>
        </xdr:cNvPr>
        <xdr:cNvPicPr>
          <a:picLocks/>
        </xdr:cNvPicPr>
      </xdr:nvPicPr>
      <xdr:blipFill>
        <a:blip xmlns:r="http://schemas.openxmlformats.org/officeDocument/2006/relationships" r:embed="rId2"/>
        <a:srcRect/>
        <a:stretch>
          <a:fillRect/>
        </a:stretch>
      </xdr:blipFill>
      <xdr:spPr bwMode="auto">
        <a:xfrm>
          <a:off x="147638" y="7658100"/>
          <a:ext cx="0" cy="1326675"/>
        </a:xfrm>
        <a:prstGeom prst="rect">
          <a:avLst/>
        </a:prstGeom>
        <a:noFill/>
        <a:ln w="9525">
          <a:noFill/>
          <a:miter lim="800000"/>
          <a:headEnd/>
          <a:tailEnd/>
        </a:ln>
      </xdr:spPr>
    </xdr:pic>
    <xdr:clientData/>
  </xdr:twoCellAnchor>
  <xdr:twoCellAnchor editAs="oneCell">
    <xdr:from>
      <xdr:col>1</xdr:col>
      <xdr:colOff>42863</xdr:colOff>
      <xdr:row>38</xdr:row>
      <xdr:rowOff>123825</xdr:rowOff>
    </xdr:from>
    <xdr:to>
      <xdr:col>1</xdr:col>
      <xdr:colOff>42863</xdr:colOff>
      <xdr:row>45</xdr:row>
      <xdr:rowOff>50325</xdr:rowOff>
    </xdr:to>
    <xdr:pic>
      <xdr:nvPicPr>
        <xdr:cNvPr id="19" name="Picture 6">
          <a:extLst>
            <a:ext uri="{FF2B5EF4-FFF2-40B4-BE49-F238E27FC236}">
              <a16:creationId xmlns:a16="http://schemas.microsoft.com/office/drawing/2014/main" id="{00000000-0008-0000-1500-000013000000}"/>
            </a:ext>
          </a:extLst>
        </xdr:cNvPr>
        <xdr:cNvPicPr>
          <a:picLocks/>
        </xdr:cNvPicPr>
      </xdr:nvPicPr>
      <xdr:blipFill>
        <a:blip xmlns:r="http://schemas.openxmlformats.org/officeDocument/2006/relationships" r:embed="rId2"/>
        <a:srcRect/>
        <a:stretch>
          <a:fillRect/>
        </a:stretch>
      </xdr:blipFill>
      <xdr:spPr bwMode="auto">
        <a:xfrm>
          <a:off x="147638" y="7658100"/>
          <a:ext cx="0" cy="1326675"/>
        </a:xfrm>
        <a:prstGeom prst="rect">
          <a:avLst/>
        </a:prstGeom>
        <a:noFill/>
        <a:ln w="9525">
          <a:noFill/>
          <a:miter lim="800000"/>
          <a:headEnd/>
          <a:tailEnd/>
        </a:ln>
      </xdr:spPr>
    </xdr:pic>
    <xdr:clientData/>
  </xdr:twoCellAnchor>
  <xdr:oneCellAnchor>
    <xdr:from>
      <xdr:col>1</xdr:col>
      <xdr:colOff>85725</xdr:colOff>
      <xdr:row>0</xdr:row>
      <xdr:rowOff>85726</xdr:rowOff>
    </xdr:from>
    <xdr:ext cx="1543050" cy="1531218"/>
    <xdr:pic>
      <xdr:nvPicPr>
        <xdr:cNvPr id="20" name="Picture 19">
          <a:extLst>
            <a:ext uri="{FF2B5EF4-FFF2-40B4-BE49-F238E27FC236}">
              <a16:creationId xmlns:a16="http://schemas.microsoft.com/office/drawing/2014/main" id="{00000000-0008-0000-1500-000014000000}"/>
            </a:ext>
          </a:extLst>
        </xdr:cNvPr>
        <xdr:cNvPicPr>
          <a:picLocks noChangeAspect="1"/>
        </xdr:cNvPicPr>
      </xdr:nvPicPr>
      <xdr:blipFill>
        <a:blip xmlns:r="http://schemas.openxmlformats.org/officeDocument/2006/relationships" r:embed="rId3"/>
        <a:stretch>
          <a:fillRect/>
        </a:stretch>
      </xdr:blipFill>
      <xdr:spPr>
        <a:xfrm>
          <a:off x="190500" y="85726"/>
          <a:ext cx="1543050" cy="1531218"/>
        </a:xfrm>
        <a:prstGeom prst="rect">
          <a:avLst/>
        </a:prstGeom>
      </xdr:spPr>
    </xdr:pic>
    <xdr:clientData/>
  </xdr:oneCellAnchor>
  <xdr:twoCellAnchor editAs="oneCell">
    <xdr:from>
      <xdr:col>2</xdr:col>
      <xdr:colOff>263071</xdr:colOff>
      <xdr:row>41</xdr:row>
      <xdr:rowOff>54429</xdr:rowOff>
    </xdr:from>
    <xdr:to>
      <xdr:col>2</xdr:col>
      <xdr:colOff>263071</xdr:colOff>
      <xdr:row>44</xdr:row>
      <xdr:rowOff>3629</xdr:rowOff>
    </xdr:to>
    <xdr:pic>
      <xdr:nvPicPr>
        <xdr:cNvPr id="21" name="Picture 4">
          <a:extLst>
            <a:ext uri="{FF2B5EF4-FFF2-40B4-BE49-F238E27FC236}">
              <a16:creationId xmlns:a16="http://schemas.microsoft.com/office/drawing/2014/main" id="{00000000-0008-0000-1500-000015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8188779"/>
          <a:ext cx="0" cy="549275"/>
        </a:xfrm>
        <a:prstGeom prst="rect">
          <a:avLst/>
        </a:prstGeom>
        <a:noFill/>
        <a:ln>
          <a:noFill/>
        </a:ln>
      </xdr:spPr>
    </xdr:pic>
    <xdr:clientData/>
  </xdr:twoCellAnchor>
  <xdr:twoCellAnchor editAs="oneCell">
    <xdr:from>
      <xdr:col>1</xdr:col>
      <xdr:colOff>42863</xdr:colOff>
      <xdr:row>38</xdr:row>
      <xdr:rowOff>123825</xdr:rowOff>
    </xdr:from>
    <xdr:to>
      <xdr:col>1</xdr:col>
      <xdr:colOff>42863</xdr:colOff>
      <xdr:row>45</xdr:row>
      <xdr:rowOff>50325</xdr:rowOff>
    </xdr:to>
    <xdr:pic>
      <xdr:nvPicPr>
        <xdr:cNvPr id="22" name="Picture 6">
          <a:extLst>
            <a:ext uri="{FF2B5EF4-FFF2-40B4-BE49-F238E27FC236}">
              <a16:creationId xmlns:a16="http://schemas.microsoft.com/office/drawing/2014/main" id="{00000000-0008-0000-1500-000016000000}"/>
            </a:ext>
          </a:extLst>
        </xdr:cNvPr>
        <xdr:cNvPicPr>
          <a:picLocks/>
        </xdr:cNvPicPr>
      </xdr:nvPicPr>
      <xdr:blipFill>
        <a:blip xmlns:r="http://schemas.openxmlformats.org/officeDocument/2006/relationships" r:embed="rId2"/>
        <a:srcRect/>
        <a:stretch>
          <a:fillRect/>
        </a:stretch>
      </xdr:blipFill>
      <xdr:spPr bwMode="auto">
        <a:xfrm>
          <a:off x="147638" y="7658100"/>
          <a:ext cx="0" cy="1326675"/>
        </a:xfrm>
        <a:prstGeom prst="rect">
          <a:avLst/>
        </a:prstGeom>
        <a:noFill/>
        <a:ln w="9525">
          <a:noFill/>
          <a:miter lim="800000"/>
          <a:headEnd/>
          <a:tailEnd/>
        </a:ln>
      </xdr:spPr>
    </xdr:pic>
    <xdr:clientData/>
  </xdr:twoCellAnchor>
  <xdr:oneCellAnchor>
    <xdr:from>
      <xdr:col>1</xdr:col>
      <xdr:colOff>85725</xdr:colOff>
      <xdr:row>0</xdr:row>
      <xdr:rowOff>85726</xdr:rowOff>
    </xdr:from>
    <xdr:ext cx="1543050" cy="1531218"/>
    <xdr:pic>
      <xdr:nvPicPr>
        <xdr:cNvPr id="23" name="Picture 22">
          <a:extLst>
            <a:ext uri="{FF2B5EF4-FFF2-40B4-BE49-F238E27FC236}">
              <a16:creationId xmlns:a16="http://schemas.microsoft.com/office/drawing/2014/main" id="{00000000-0008-0000-1500-000017000000}"/>
            </a:ext>
          </a:extLst>
        </xdr:cNvPr>
        <xdr:cNvPicPr>
          <a:picLocks noChangeAspect="1"/>
        </xdr:cNvPicPr>
      </xdr:nvPicPr>
      <xdr:blipFill>
        <a:blip xmlns:r="http://schemas.openxmlformats.org/officeDocument/2006/relationships" r:embed="rId3"/>
        <a:stretch>
          <a:fillRect/>
        </a:stretch>
      </xdr:blipFill>
      <xdr:spPr>
        <a:xfrm>
          <a:off x="190500" y="85726"/>
          <a:ext cx="1543050" cy="1531218"/>
        </a:xfrm>
        <a:prstGeom prst="rect">
          <a:avLst/>
        </a:prstGeom>
      </xdr:spPr>
    </xdr:pic>
    <xdr:clientData/>
  </xdr:oneCellAnchor>
  <xdr:twoCellAnchor editAs="oneCell">
    <xdr:from>
      <xdr:col>1</xdr:col>
      <xdr:colOff>42863</xdr:colOff>
      <xdr:row>38</xdr:row>
      <xdr:rowOff>123825</xdr:rowOff>
    </xdr:from>
    <xdr:to>
      <xdr:col>1</xdr:col>
      <xdr:colOff>42863</xdr:colOff>
      <xdr:row>45</xdr:row>
      <xdr:rowOff>50325</xdr:rowOff>
    </xdr:to>
    <xdr:pic>
      <xdr:nvPicPr>
        <xdr:cNvPr id="24" name="Picture 6">
          <a:extLst>
            <a:ext uri="{FF2B5EF4-FFF2-40B4-BE49-F238E27FC236}">
              <a16:creationId xmlns:a16="http://schemas.microsoft.com/office/drawing/2014/main" id="{00000000-0008-0000-1500-000018000000}"/>
            </a:ext>
          </a:extLst>
        </xdr:cNvPr>
        <xdr:cNvPicPr>
          <a:picLocks/>
        </xdr:cNvPicPr>
      </xdr:nvPicPr>
      <xdr:blipFill>
        <a:blip xmlns:r="http://schemas.openxmlformats.org/officeDocument/2006/relationships" r:embed="rId2"/>
        <a:srcRect/>
        <a:stretch>
          <a:fillRect/>
        </a:stretch>
      </xdr:blipFill>
      <xdr:spPr bwMode="auto">
        <a:xfrm>
          <a:off x="147638" y="7658100"/>
          <a:ext cx="0" cy="1326675"/>
        </a:xfrm>
        <a:prstGeom prst="rect">
          <a:avLst/>
        </a:prstGeom>
        <a:noFill/>
        <a:ln w="9525">
          <a:noFill/>
          <a:miter lim="800000"/>
          <a:headEnd/>
          <a:tailEnd/>
        </a:ln>
      </xdr:spPr>
    </xdr:pic>
    <xdr:clientData/>
  </xdr:twoCellAnchor>
  <xdr:twoCellAnchor>
    <xdr:from>
      <xdr:col>13</xdr:col>
      <xdr:colOff>38100</xdr:colOff>
      <xdr:row>1</xdr:row>
      <xdr:rowOff>28575</xdr:rowOff>
    </xdr:from>
    <xdr:to>
      <xdr:col>15</xdr:col>
      <xdr:colOff>428625</xdr:colOff>
      <xdr:row>5</xdr:row>
      <xdr:rowOff>28575</xdr:rowOff>
    </xdr:to>
    <xdr:sp macro="[0]!Home" textlink="">
      <xdr:nvSpPr>
        <xdr:cNvPr id="25" name="Arrow: Left 24">
          <a:extLst>
            <a:ext uri="{FF2B5EF4-FFF2-40B4-BE49-F238E27FC236}">
              <a16:creationId xmlns:a16="http://schemas.microsoft.com/office/drawing/2014/main" id="{00000000-0008-0000-1500-000019000000}"/>
            </a:ext>
          </a:extLst>
        </xdr:cNvPr>
        <xdr:cNvSpPr/>
      </xdr:nvSpPr>
      <xdr:spPr>
        <a:xfrm>
          <a:off x="7686675" y="123825"/>
          <a:ext cx="1114425" cy="800100"/>
        </a:xfrm>
        <a:prstGeom prst="leftArrow">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800">
              <a:latin typeface="Times New Roman" panose="02020603050405020304" pitchFamily="18" charset="0"/>
              <a:cs typeface="Times New Roman" panose="02020603050405020304" pitchFamily="18" charset="0"/>
            </a:rPr>
            <a:t>HOME</a:t>
          </a:r>
        </a:p>
      </xdr:txBody>
    </xdr:sp>
    <xdr:clientData/>
  </xdr:twoCellAnchor>
  <xdr:twoCellAnchor editAs="oneCell">
    <xdr:from>
      <xdr:col>2</xdr:col>
      <xdr:colOff>172583</xdr:colOff>
      <xdr:row>41</xdr:row>
      <xdr:rowOff>16329</xdr:rowOff>
    </xdr:from>
    <xdr:to>
      <xdr:col>4</xdr:col>
      <xdr:colOff>1137783</xdr:colOff>
      <xdr:row>43</xdr:row>
      <xdr:rowOff>136979</xdr:rowOff>
    </xdr:to>
    <xdr:pic>
      <xdr:nvPicPr>
        <xdr:cNvPr id="26" name="Picture 4">
          <a:extLst>
            <a:ext uri="{FF2B5EF4-FFF2-40B4-BE49-F238E27FC236}">
              <a16:creationId xmlns:a16="http://schemas.microsoft.com/office/drawing/2014/main" id="{00000000-0008-0000-1500-00001A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534533" y="8150679"/>
          <a:ext cx="2155825" cy="520700"/>
        </a:xfrm>
        <a:prstGeom prst="rect">
          <a:avLst/>
        </a:prstGeom>
        <a:noFill/>
        <a:ln>
          <a:noFill/>
        </a:ln>
      </xdr:spPr>
    </xdr:pic>
    <xdr:clientData/>
  </xdr:twoCellAnchor>
  <xdr:twoCellAnchor editAs="oneCell">
    <xdr:from>
      <xdr:col>1</xdr:col>
      <xdr:colOff>57150</xdr:colOff>
      <xdr:row>39</xdr:row>
      <xdr:rowOff>9525</xdr:rowOff>
    </xdr:from>
    <xdr:to>
      <xdr:col>2</xdr:col>
      <xdr:colOff>1059975</xdr:colOff>
      <xdr:row>45</xdr:row>
      <xdr:rowOff>69375</xdr:rowOff>
    </xdr:to>
    <xdr:pic>
      <xdr:nvPicPr>
        <xdr:cNvPr id="27" name="Picture 6">
          <a:extLst>
            <a:ext uri="{FF2B5EF4-FFF2-40B4-BE49-F238E27FC236}">
              <a16:creationId xmlns:a16="http://schemas.microsoft.com/office/drawing/2014/main" id="{00000000-0008-0000-1500-00001B000000}"/>
            </a:ext>
          </a:extLst>
        </xdr:cNvPr>
        <xdr:cNvPicPr>
          <a:picLocks/>
        </xdr:cNvPicPr>
      </xdr:nvPicPr>
      <xdr:blipFill>
        <a:blip xmlns:r="http://schemas.openxmlformats.org/officeDocument/2006/relationships" r:embed="rId2"/>
        <a:srcRect/>
        <a:stretch>
          <a:fillRect/>
        </a:stretch>
      </xdr:blipFill>
      <xdr:spPr bwMode="auto">
        <a:xfrm>
          <a:off x="161925" y="7743825"/>
          <a:ext cx="1260000" cy="1260000"/>
        </a:xfrm>
        <a:prstGeom prst="rect">
          <a:avLst/>
        </a:prstGeom>
        <a:noFill/>
        <a:ln w="9525">
          <a:noFill/>
          <a:miter lim="800000"/>
          <a:headEnd/>
          <a:tailEnd/>
        </a:ln>
      </xdr:spPr>
    </xdr:pic>
    <xdr:clientData/>
  </xdr:twoCellAnchor>
  <xdr:twoCellAnchor>
    <xdr:from>
      <xdr:col>14</xdr:col>
      <xdr:colOff>161925</xdr:colOff>
      <xdr:row>14</xdr:row>
      <xdr:rowOff>161925</xdr:rowOff>
    </xdr:from>
    <xdr:to>
      <xdr:col>15</xdr:col>
      <xdr:colOff>523875</xdr:colOff>
      <xdr:row>17</xdr:row>
      <xdr:rowOff>47625</xdr:rowOff>
    </xdr:to>
    <xdr:sp macro="[0]!Cetak" textlink="">
      <xdr:nvSpPr>
        <xdr:cNvPr id="29" name="Rectangle: Single Corner Snipped 28">
          <a:extLst>
            <a:ext uri="{FF2B5EF4-FFF2-40B4-BE49-F238E27FC236}">
              <a16:creationId xmlns:a16="http://schemas.microsoft.com/office/drawing/2014/main" id="{00000000-0008-0000-1500-00001D000000}"/>
            </a:ext>
          </a:extLst>
        </xdr:cNvPr>
        <xdr:cNvSpPr/>
      </xdr:nvSpPr>
      <xdr:spPr>
        <a:xfrm>
          <a:off x="7924800" y="2647950"/>
          <a:ext cx="971550" cy="476250"/>
        </a:xfrm>
        <a:prstGeom prst="snip1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600" b="1">
              <a:solidFill>
                <a:schemeClr val="tx1"/>
              </a:solidFill>
              <a:latin typeface="Times New Roman" panose="02020603050405020304" pitchFamily="18" charset="0"/>
              <a:cs typeface="Times New Roman" panose="02020603050405020304" pitchFamily="18" charset="0"/>
            </a:rPr>
            <a:t>CETAK</a:t>
          </a:r>
        </a:p>
      </xdr:txBody>
    </xdr:sp>
    <xdr:clientData/>
  </xdr:twoCellAnchor>
  <xdr:twoCellAnchor>
    <xdr:from>
      <xdr:col>16</xdr:col>
      <xdr:colOff>95250</xdr:colOff>
      <xdr:row>14</xdr:row>
      <xdr:rowOff>161924</xdr:rowOff>
    </xdr:from>
    <xdr:to>
      <xdr:col>17</xdr:col>
      <xdr:colOff>962024</xdr:colOff>
      <xdr:row>17</xdr:row>
      <xdr:rowOff>76199</xdr:rowOff>
    </xdr:to>
    <xdr:sp macro="[0]!PDF" textlink="">
      <xdr:nvSpPr>
        <xdr:cNvPr id="30" name="Rectangle: Single Corner Snipped 29">
          <a:extLst>
            <a:ext uri="{FF2B5EF4-FFF2-40B4-BE49-F238E27FC236}">
              <a16:creationId xmlns:a16="http://schemas.microsoft.com/office/drawing/2014/main" id="{00000000-0008-0000-1500-00001E000000}"/>
            </a:ext>
          </a:extLst>
        </xdr:cNvPr>
        <xdr:cNvSpPr/>
      </xdr:nvSpPr>
      <xdr:spPr>
        <a:xfrm>
          <a:off x="9077325" y="2647949"/>
          <a:ext cx="1028699" cy="504825"/>
        </a:xfrm>
        <a:prstGeom prst="snip1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600" b="1">
              <a:solidFill>
                <a:schemeClr val="tx1"/>
              </a:solidFill>
              <a:latin typeface="Times New Roman" panose="02020603050405020304" pitchFamily="18" charset="0"/>
              <a:cs typeface="Times New Roman" panose="02020603050405020304" pitchFamily="18" charset="0"/>
            </a:rPr>
            <a:t>PDF</a:t>
          </a:r>
        </a:p>
      </xdr:txBody>
    </xdr:sp>
    <xdr:clientData/>
  </xdr:twoCellAnchor>
  <xdr:twoCellAnchor>
    <xdr:from>
      <xdr:col>15</xdr:col>
      <xdr:colOff>66675</xdr:colOff>
      <xdr:row>17</xdr:row>
      <xdr:rowOff>228600</xdr:rowOff>
    </xdr:from>
    <xdr:to>
      <xdr:col>17</xdr:col>
      <xdr:colOff>200025</xdr:colOff>
      <xdr:row>20</xdr:row>
      <xdr:rowOff>66675</xdr:rowOff>
    </xdr:to>
    <xdr:sp macro="[0]!_xludf.SAVE" textlink="">
      <xdr:nvSpPr>
        <xdr:cNvPr id="31" name="Rectangle: Top Corners Snipped 30">
          <a:extLst>
            <a:ext uri="{FF2B5EF4-FFF2-40B4-BE49-F238E27FC236}">
              <a16:creationId xmlns:a16="http://schemas.microsoft.com/office/drawing/2014/main" id="{00000000-0008-0000-1500-00001F000000}"/>
            </a:ext>
          </a:extLst>
        </xdr:cNvPr>
        <xdr:cNvSpPr/>
      </xdr:nvSpPr>
      <xdr:spPr>
        <a:xfrm>
          <a:off x="8439150" y="3305175"/>
          <a:ext cx="904875" cy="638175"/>
        </a:xfrm>
        <a:prstGeom prst="snip2Same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ctr"/>
          <a:r>
            <a:rPr lang="en-US" sz="1200" b="1">
              <a:solidFill>
                <a:schemeClr val="tx1"/>
              </a:solidFill>
              <a:latin typeface="Times New Roman" panose="02020603050405020304" pitchFamily="18" charset="0"/>
              <a:cs typeface="Times New Roman" panose="02020603050405020304" pitchFamily="18" charset="0"/>
            </a:rPr>
            <a:t>SIMPAN DOKUMEN</a:t>
          </a:r>
        </a:p>
      </xdr:txBody>
    </xdr:sp>
    <xdr:clientData/>
  </xdr:twoCellAnchor>
  <mc:AlternateContent xmlns:mc="http://schemas.openxmlformats.org/markup-compatibility/2006">
    <mc:Choice xmlns:a14="http://schemas.microsoft.com/office/drawing/2010/main" Requires="a14">
      <xdr:twoCellAnchor>
        <xdr:from>
          <xdr:col>14</xdr:col>
          <xdr:colOff>28575</xdr:colOff>
          <xdr:row>8</xdr:row>
          <xdr:rowOff>0</xdr:rowOff>
        </xdr:from>
        <xdr:to>
          <xdr:col>14</xdr:col>
          <xdr:colOff>466725</xdr:colOff>
          <xdr:row>14</xdr:row>
          <xdr:rowOff>19050</xdr:rowOff>
        </xdr:to>
        <xdr:sp macro="" textlink="">
          <xdr:nvSpPr>
            <xdr:cNvPr id="25601" name="Spinner 1" hidden="1">
              <a:extLst>
                <a:ext uri="{63B3BB69-23CF-44E3-9099-C40C66FF867C}">
                  <a14:compatExt spid="_x0000_s25601"/>
                </a:ext>
                <a:ext uri="{FF2B5EF4-FFF2-40B4-BE49-F238E27FC236}">
                  <a16:creationId xmlns:a16="http://schemas.microsoft.com/office/drawing/2014/main" id="{00000000-0008-0000-1500-0000016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2</xdr:col>
      <xdr:colOff>263071</xdr:colOff>
      <xdr:row>43</xdr:row>
      <xdr:rowOff>54429</xdr:rowOff>
    </xdr:from>
    <xdr:to>
      <xdr:col>2</xdr:col>
      <xdr:colOff>263071</xdr:colOff>
      <xdr:row>46</xdr:row>
      <xdr:rowOff>39347</xdr:rowOff>
    </xdr:to>
    <xdr:pic>
      <xdr:nvPicPr>
        <xdr:cNvPr id="3" name="Picture 4">
          <a:extLst>
            <a:ext uri="{FF2B5EF4-FFF2-40B4-BE49-F238E27FC236}">
              <a16:creationId xmlns:a16="http://schemas.microsoft.com/office/drawing/2014/main" id="{00000000-0008-0000-1600-000003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9274629"/>
          <a:ext cx="2155825" cy="520700"/>
        </a:xfrm>
        <a:prstGeom prst="rect">
          <a:avLst/>
        </a:prstGeom>
        <a:noFill/>
        <a:ln>
          <a:noFill/>
        </a:ln>
      </xdr:spPr>
    </xdr:pic>
    <xdr:clientData/>
  </xdr:twoCellAnchor>
  <xdr:twoCellAnchor editAs="oneCell">
    <xdr:from>
      <xdr:col>2</xdr:col>
      <xdr:colOff>263071</xdr:colOff>
      <xdr:row>43</xdr:row>
      <xdr:rowOff>54429</xdr:rowOff>
    </xdr:from>
    <xdr:to>
      <xdr:col>2</xdr:col>
      <xdr:colOff>263071</xdr:colOff>
      <xdr:row>46</xdr:row>
      <xdr:rowOff>39347</xdr:rowOff>
    </xdr:to>
    <xdr:pic>
      <xdr:nvPicPr>
        <xdr:cNvPr id="7" name="Picture 4">
          <a:extLst>
            <a:ext uri="{FF2B5EF4-FFF2-40B4-BE49-F238E27FC236}">
              <a16:creationId xmlns:a16="http://schemas.microsoft.com/office/drawing/2014/main" id="{00000000-0008-0000-1600-000007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9474654"/>
          <a:ext cx="0" cy="549275"/>
        </a:xfrm>
        <a:prstGeom prst="rect">
          <a:avLst/>
        </a:prstGeom>
        <a:noFill/>
        <a:ln>
          <a:noFill/>
        </a:ln>
      </xdr:spPr>
    </xdr:pic>
    <xdr:clientData/>
  </xdr:twoCellAnchor>
  <xdr:twoCellAnchor editAs="oneCell">
    <xdr:from>
      <xdr:col>2</xdr:col>
      <xdr:colOff>263071</xdr:colOff>
      <xdr:row>43</xdr:row>
      <xdr:rowOff>54429</xdr:rowOff>
    </xdr:from>
    <xdr:to>
      <xdr:col>2</xdr:col>
      <xdr:colOff>263071</xdr:colOff>
      <xdr:row>46</xdr:row>
      <xdr:rowOff>39347</xdr:rowOff>
    </xdr:to>
    <xdr:pic>
      <xdr:nvPicPr>
        <xdr:cNvPr id="10" name="Picture 4">
          <a:extLst>
            <a:ext uri="{FF2B5EF4-FFF2-40B4-BE49-F238E27FC236}">
              <a16:creationId xmlns:a16="http://schemas.microsoft.com/office/drawing/2014/main" id="{00000000-0008-0000-1600-00000A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9474654"/>
          <a:ext cx="0" cy="549275"/>
        </a:xfrm>
        <a:prstGeom prst="rect">
          <a:avLst/>
        </a:prstGeom>
        <a:noFill/>
        <a:ln>
          <a:noFill/>
        </a:ln>
      </xdr:spPr>
    </xdr:pic>
    <xdr:clientData/>
  </xdr:twoCellAnchor>
  <xdr:twoCellAnchor editAs="oneCell">
    <xdr:from>
      <xdr:col>2</xdr:col>
      <xdr:colOff>263071</xdr:colOff>
      <xdr:row>42</xdr:row>
      <xdr:rowOff>54429</xdr:rowOff>
    </xdr:from>
    <xdr:to>
      <xdr:col>2</xdr:col>
      <xdr:colOff>263071</xdr:colOff>
      <xdr:row>45</xdr:row>
      <xdr:rowOff>39348</xdr:rowOff>
    </xdr:to>
    <xdr:pic>
      <xdr:nvPicPr>
        <xdr:cNvPr id="14" name="Picture 4">
          <a:extLst>
            <a:ext uri="{FF2B5EF4-FFF2-40B4-BE49-F238E27FC236}">
              <a16:creationId xmlns:a16="http://schemas.microsoft.com/office/drawing/2014/main" id="{00000000-0008-0000-1600-00000E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9322254"/>
          <a:ext cx="0" cy="549275"/>
        </a:xfrm>
        <a:prstGeom prst="rect">
          <a:avLst/>
        </a:prstGeom>
        <a:noFill/>
        <a:ln>
          <a:noFill/>
        </a:ln>
      </xdr:spPr>
    </xdr:pic>
    <xdr:clientData/>
  </xdr:twoCellAnchor>
  <xdr:twoCellAnchor editAs="oneCell">
    <xdr:from>
      <xdr:col>2</xdr:col>
      <xdr:colOff>263071</xdr:colOff>
      <xdr:row>43</xdr:row>
      <xdr:rowOff>54429</xdr:rowOff>
    </xdr:from>
    <xdr:to>
      <xdr:col>2</xdr:col>
      <xdr:colOff>263071</xdr:colOff>
      <xdr:row>46</xdr:row>
      <xdr:rowOff>39347</xdr:rowOff>
    </xdr:to>
    <xdr:pic>
      <xdr:nvPicPr>
        <xdr:cNvPr id="21" name="Picture 4">
          <a:extLst>
            <a:ext uri="{FF2B5EF4-FFF2-40B4-BE49-F238E27FC236}">
              <a16:creationId xmlns:a16="http://schemas.microsoft.com/office/drawing/2014/main" id="{00000000-0008-0000-1600-000015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9541329"/>
          <a:ext cx="0" cy="549275"/>
        </a:xfrm>
        <a:prstGeom prst="rect">
          <a:avLst/>
        </a:prstGeom>
        <a:noFill/>
        <a:ln>
          <a:noFill/>
        </a:ln>
      </xdr:spPr>
    </xdr:pic>
    <xdr:clientData/>
  </xdr:twoCellAnchor>
  <xdr:twoCellAnchor editAs="oneCell">
    <xdr:from>
      <xdr:col>2</xdr:col>
      <xdr:colOff>263071</xdr:colOff>
      <xdr:row>43</xdr:row>
      <xdr:rowOff>54429</xdr:rowOff>
    </xdr:from>
    <xdr:to>
      <xdr:col>2</xdr:col>
      <xdr:colOff>263071</xdr:colOff>
      <xdr:row>46</xdr:row>
      <xdr:rowOff>39347</xdr:rowOff>
    </xdr:to>
    <xdr:pic>
      <xdr:nvPicPr>
        <xdr:cNvPr id="23" name="Picture 4">
          <a:extLst>
            <a:ext uri="{FF2B5EF4-FFF2-40B4-BE49-F238E27FC236}">
              <a16:creationId xmlns:a16="http://schemas.microsoft.com/office/drawing/2014/main" id="{00000000-0008-0000-1600-000017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9541329"/>
          <a:ext cx="0" cy="549275"/>
        </a:xfrm>
        <a:prstGeom prst="rect">
          <a:avLst/>
        </a:prstGeom>
        <a:noFill/>
        <a:ln>
          <a:noFill/>
        </a:ln>
      </xdr:spPr>
    </xdr:pic>
    <xdr:clientData/>
  </xdr:twoCellAnchor>
  <xdr:twoCellAnchor editAs="oneCell">
    <xdr:from>
      <xdr:col>2</xdr:col>
      <xdr:colOff>263071</xdr:colOff>
      <xdr:row>43</xdr:row>
      <xdr:rowOff>54429</xdr:rowOff>
    </xdr:from>
    <xdr:to>
      <xdr:col>2</xdr:col>
      <xdr:colOff>263071</xdr:colOff>
      <xdr:row>46</xdr:row>
      <xdr:rowOff>39347</xdr:rowOff>
    </xdr:to>
    <xdr:pic>
      <xdr:nvPicPr>
        <xdr:cNvPr id="25" name="Picture 4">
          <a:extLst>
            <a:ext uri="{FF2B5EF4-FFF2-40B4-BE49-F238E27FC236}">
              <a16:creationId xmlns:a16="http://schemas.microsoft.com/office/drawing/2014/main" id="{00000000-0008-0000-1600-000019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9541329"/>
          <a:ext cx="0" cy="549275"/>
        </a:xfrm>
        <a:prstGeom prst="rect">
          <a:avLst/>
        </a:prstGeom>
        <a:noFill/>
        <a:ln>
          <a:noFill/>
        </a:ln>
      </xdr:spPr>
    </xdr:pic>
    <xdr:clientData/>
  </xdr:twoCellAnchor>
  <xdr:twoCellAnchor editAs="oneCell">
    <xdr:from>
      <xdr:col>2</xdr:col>
      <xdr:colOff>263071</xdr:colOff>
      <xdr:row>42</xdr:row>
      <xdr:rowOff>54429</xdr:rowOff>
    </xdr:from>
    <xdr:to>
      <xdr:col>2</xdr:col>
      <xdr:colOff>263071</xdr:colOff>
      <xdr:row>45</xdr:row>
      <xdr:rowOff>39348</xdr:rowOff>
    </xdr:to>
    <xdr:pic>
      <xdr:nvPicPr>
        <xdr:cNvPr id="27" name="Picture 4">
          <a:extLst>
            <a:ext uri="{FF2B5EF4-FFF2-40B4-BE49-F238E27FC236}">
              <a16:creationId xmlns:a16="http://schemas.microsoft.com/office/drawing/2014/main" id="{00000000-0008-0000-1600-00001B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9341304"/>
          <a:ext cx="0" cy="549275"/>
        </a:xfrm>
        <a:prstGeom prst="rect">
          <a:avLst/>
        </a:prstGeom>
        <a:noFill/>
        <a:ln>
          <a:noFill/>
        </a:ln>
      </xdr:spPr>
    </xdr:pic>
    <xdr:clientData/>
  </xdr:twoCellAnchor>
  <xdr:oneCellAnchor>
    <xdr:from>
      <xdr:col>1</xdr:col>
      <xdr:colOff>85725</xdr:colOff>
      <xdr:row>0</xdr:row>
      <xdr:rowOff>85726</xdr:rowOff>
    </xdr:from>
    <xdr:ext cx="1543050" cy="1531218"/>
    <xdr:pic>
      <xdr:nvPicPr>
        <xdr:cNvPr id="30" name="Picture 29">
          <a:extLst>
            <a:ext uri="{FF2B5EF4-FFF2-40B4-BE49-F238E27FC236}">
              <a16:creationId xmlns:a16="http://schemas.microsoft.com/office/drawing/2014/main" id="{00000000-0008-0000-1600-00001E000000}"/>
            </a:ext>
          </a:extLst>
        </xdr:cNvPr>
        <xdr:cNvPicPr>
          <a:picLocks noChangeAspect="1"/>
        </xdr:cNvPicPr>
      </xdr:nvPicPr>
      <xdr:blipFill>
        <a:blip xmlns:r="http://schemas.openxmlformats.org/officeDocument/2006/relationships" r:embed="rId2"/>
        <a:stretch>
          <a:fillRect/>
        </a:stretch>
      </xdr:blipFill>
      <xdr:spPr>
        <a:xfrm>
          <a:off x="190500" y="85726"/>
          <a:ext cx="1543050" cy="1531218"/>
        </a:xfrm>
        <a:prstGeom prst="rect">
          <a:avLst/>
        </a:prstGeom>
      </xdr:spPr>
    </xdr:pic>
    <xdr:clientData/>
  </xdr:oneCellAnchor>
  <xdr:twoCellAnchor editAs="oneCell">
    <xdr:from>
      <xdr:col>2</xdr:col>
      <xdr:colOff>263071</xdr:colOff>
      <xdr:row>42</xdr:row>
      <xdr:rowOff>54429</xdr:rowOff>
    </xdr:from>
    <xdr:to>
      <xdr:col>2</xdr:col>
      <xdr:colOff>263071</xdr:colOff>
      <xdr:row>45</xdr:row>
      <xdr:rowOff>39348</xdr:rowOff>
    </xdr:to>
    <xdr:pic>
      <xdr:nvPicPr>
        <xdr:cNvPr id="31" name="Picture 4">
          <a:extLst>
            <a:ext uri="{FF2B5EF4-FFF2-40B4-BE49-F238E27FC236}">
              <a16:creationId xmlns:a16="http://schemas.microsoft.com/office/drawing/2014/main" id="{00000000-0008-0000-1600-00001F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9341304"/>
          <a:ext cx="0" cy="549275"/>
        </a:xfrm>
        <a:prstGeom prst="rect">
          <a:avLst/>
        </a:prstGeom>
        <a:noFill/>
        <a:ln>
          <a:noFill/>
        </a:ln>
      </xdr:spPr>
    </xdr:pic>
    <xdr:clientData/>
  </xdr:twoCellAnchor>
  <xdr:oneCellAnchor>
    <xdr:from>
      <xdr:col>1</xdr:col>
      <xdr:colOff>85725</xdr:colOff>
      <xdr:row>0</xdr:row>
      <xdr:rowOff>85726</xdr:rowOff>
    </xdr:from>
    <xdr:ext cx="1543050" cy="1531218"/>
    <xdr:pic>
      <xdr:nvPicPr>
        <xdr:cNvPr id="33" name="Picture 32">
          <a:extLst>
            <a:ext uri="{FF2B5EF4-FFF2-40B4-BE49-F238E27FC236}">
              <a16:creationId xmlns:a16="http://schemas.microsoft.com/office/drawing/2014/main" id="{00000000-0008-0000-1600-000021000000}"/>
            </a:ext>
          </a:extLst>
        </xdr:cNvPr>
        <xdr:cNvPicPr>
          <a:picLocks noChangeAspect="1"/>
        </xdr:cNvPicPr>
      </xdr:nvPicPr>
      <xdr:blipFill>
        <a:blip xmlns:r="http://schemas.openxmlformats.org/officeDocument/2006/relationships" r:embed="rId2"/>
        <a:stretch>
          <a:fillRect/>
        </a:stretch>
      </xdr:blipFill>
      <xdr:spPr>
        <a:xfrm>
          <a:off x="190500" y="85726"/>
          <a:ext cx="1543050" cy="1531218"/>
        </a:xfrm>
        <a:prstGeom prst="rect">
          <a:avLst/>
        </a:prstGeom>
      </xdr:spPr>
    </xdr:pic>
    <xdr:clientData/>
  </xdr:oneCellAnchor>
  <xdr:twoCellAnchor>
    <xdr:from>
      <xdr:col>13</xdr:col>
      <xdr:colOff>38100</xdr:colOff>
      <xdr:row>1</xdr:row>
      <xdr:rowOff>28575</xdr:rowOff>
    </xdr:from>
    <xdr:to>
      <xdr:col>15</xdr:col>
      <xdr:colOff>428625</xdr:colOff>
      <xdr:row>5</xdr:row>
      <xdr:rowOff>28575</xdr:rowOff>
    </xdr:to>
    <xdr:sp macro="[0]!Home" textlink="">
      <xdr:nvSpPr>
        <xdr:cNvPr id="35" name="Arrow: Left 34">
          <a:extLst>
            <a:ext uri="{FF2B5EF4-FFF2-40B4-BE49-F238E27FC236}">
              <a16:creationId xmlns:a16="http://schemas.microsoft.com/office/drawing/2014/main" id="{00000000-0008-0000-1600-000023000000}"/>
            </a:ext>
          </a:extLst>
        </xdr:cNvPr>
        <xdr:cNvSpPr/>
      </xdr:nvSpPr>
      <xdr:spPr>
        <a:xfrm>
          <a:off x="7515225" y="123825"/>
          <a:ext cx="1114425" cy="800100"/>
        </a:xfrm>
        <a:prstGeom prst="leftArrow">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800">
              <a:latin typeface="Times New Roman" panose="02020603050405020304" pitchFamily="18" charset="0"/>
              <a:cs typeface="Times New Roman" panose="02020603050405020304" pitchFamily="18" charset="0"/>
            </a:rPr>
            <a:t>HOME</a:t>
          </a:r>
        </a:p>
      </xdr:txBody>
    </xdr:sp>
    <xdr:clientData/>
  </xdr:twoCellAnchor>
  <xdr:twoCellAnchor>
    <xdr:from>
      <xdr:col>14</xdr:col>
      <xdr:colOff>161925</xdr:colOff>
      <xdr:row>14</xdr:row>
      <xdr:rowOff>161925</xdr:rowOff>
    </xdr:from>
    <xdr:to>
      <xdr:col>15</xdr:col>
      <xdr:colOff>523875</xdr:colOff>
      <xdr:row>18</xdr:row>
      <xdr:rowOff>47625</xdr:rowOff>
    </xdr:to>
    <xdr:sp macro="[0]!Cetak" textlink="">
      <xdr:nvSpPr>
        <xdr:cNvPr id="38" name="Rectangle: Single Corner Snipped 37">
          <a:extLst>
            <a:ext uri="{FF2B5EF4-FFF2-40B4-BE49-F238E27FC236}">
              <a16:creationId xmlns:a16="http://schemas.microsoft.com/office/drawing/2014/main" id="{00000000-0008-0000-1600-000026000000}"/>
            </a:ext>
          </a:extLst>
        </xdr:cNvPr>
        <xdr:cNvSpPr/>
      </xdr:nvSpPr>
      <xdr:spPr>
        <a:xfrm>
          <a:off x="7753350" y="2647950"/>
          <a:ext cx="971550" cy="476250"/>
        </a:xfrm>
        <a:prstGeom prst="snip1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600" b="1">
              <a:solidFill>
                <a:schemeClr val="tx1"/>
              </a:solidFill>
              <a:latin typeface="Times New Roman" panose="02020603050405020304" pitchFamily="18" charset="0"/>
              <a:cs typeface="Times New Roman" panose="02020603050405020304" pitchFamily="18" charset="0"/>
            </a:rPr>
            <a:t>CETAK</a:t>
          </a:r>
        </a:p>
      </xdr:txBody>
    </xdr:sp>
    <xdr:clientData/>
  </xdr:twoCellAnchor>
  <xdr:twoCellAnchor>
    <xdr:from>
      <xdr:col>16</xdr:col>
      <xdr:colOff>95250</xdr:colOff>
      <xdr:row>14</xdr:row>
      <xdr:rowOff>161924</xdr:rowOff>
    </xdr:from>
    <xdr:to>
      <xdr:col>17</xdr:col>
      <xdr:colOff>962024</xdr:colOff>
      <xdr:row>18</xdr:row>
      <xdr:rowOff>76199</xdr:rowOff>
    </xdr:to>
    <xdr:sp macro="[0]!PDF" textlink="">
      <xdr:nvSpPr>
        <xdr:cNvPr id="39" name="Rectangle: Single Corner Snipped 38">
          <a:extLst>
            <a:ext uri="{FF2B5EF4-FFF2-40B4-BE49-F238E27FC236}">
              <a16:creationId xmlns:a16="http://schemas.microsoft.com/office/drawing/2014/main" id="{00000000-0008-0000-1600-000027000000}"/>
            </a:ext>
          </a:extLst>
        </xdr:cNvPr>
        <xdr:cNvSpPr/>
      </xdr:nvSpPr>
      <xdr:spPr>
        <a:xfrm>
          <a:off x="9077325" y="2647949"/>
          <a:ext cx="1028699" cy="504825"/>
        </a:xfrm>
        <a:prstGeom prst="snip1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600" b="1">
              <a:solidFill>
                <a:schemeClr val="tx1"/>
              </a:solidFill>
              <a:latin typeface="Times New Roman" panose="02020603050405020304" pitchFamily="18" charset="0"/>
              <a:cs typeface="Times New Roman" panose="02020603050405020304" pitchFamily="18" charset="0"/>
            </a:rPr>
            <a:t>PDF</a:t>
          </a:r>
        </a:p>
      </xdr:txBody>
    </xdr:sp>
    <xdr:clientData/>
  </xdr:twoCellAnchor>
  <xdr:twoCellAnchor>
    <xdr:from>
      <xdr:col>15</xdr:col>
      <xdr:colOff>66675</xdr:colOff>
      <xdr:row>18</xdr:row>
      <xdr:rowOff>228600</xdr:rowOff>
    </xdr:from>
    <xdr:to>
      <xdr:col>17</xdr:col>
      <xdr:colOff>200025</xdr:colOff>
      <xdr:row>21</xdr:row>
      <xdr:rowOff>66675</xdr:rowOff>
    </xdr:to>
    <xdr:sp macro="[0]!_xludf.SAVE" textlink="">
      <xdr:nvSpPr>
        <xdr:cNvPr id="40" name="Rectangle: Top Corners Snipped 39">
          <a:extLst>
            <a:ext uri="{FF2B5EF4-FFF2-40B4-BE49-F238E27FC236}">
              <a16:creationId xmlns:a16="http://schemas.microsoft.com/office/drawing/2014/main" id="{00000000-0008-0000-1600-000028000000}"/>
            </a:ext>
          </a:extLst>
        </xdr:cNvPr>
        <xdr:cNvSpPr/>
      </xdr:nvSpPr>
      <xdr:spPr>
        <a:xfrm>
          <a:off x="8267700" y="3305175"/>
          <a:ext cx="1133475" cy="638175"/>
        </a:xfrm>
        <a:prstGeom prst="snip2Same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ctr"/>
          <a:r>
            <a:rPr lang="en-US" sz="1200" b="1">
              <a:solidFill>
                <a:schemeClr val="tx1"/>
              </a:solidFill>
              <a:latin typeface="Times New Roman" panose="02020603050405020304" pitchFamily="18" charset="0"/>
              <a:cs typeface="Times New Roman" panose="02020603050405020304" pitchFamily="18" charset="0"/>
            </a:rPr>
            <a:t>SIMPAN DOKUMEN</a:t>
          </a:r>
        </a:p>
      </xdr:txBody>
    </xdr:sp>
    <xdr:clientData/>
  </xdr:twoCellAnchor>
  <xdr:twoCellAnchor editAs="oneCell">
    <xdr:from>
      <xdr:col>1</xdr:col>
      <xdr:colOff>42863</xdr:colOff>
      <xdr:row>40</xdr:row>
      <xdr:rowOff>123825</xdr:rowOff>
    </xdr:from>
    <xdr:to>
      <xdr:col>1</xdr:col>
      <xdr:colOff>42863</xdr:colOff>
      <xdr:row>46</xdr:row>
      <xdr:rowOff>183675</xdr:rowOff>
    </xdr:to>
    <xdr:pic>
      <xdr:nvPicPr>
        <xdr:cNvPr id="41" name="Picture 6">
          <a:extLst>
            <a:ext uri="{FF2B5EF4-FFF2-40B4-BE49-F238E27FC236}">
              <a16:creationId xmlns:a16="http://schemas.microsoft.com/office/drawing/2014/main" id="{00000000-0008-0000-1600-000029000000}"/>
            </a:ext>
          </a:extLst>
        </xdr:cNvPr>
        <xdr:cNvPicPr>
          <a:picLocks/>
        </xdr:cNvPicPr>
      </xdr:nvPicPr>
      <xdr:blipFill>
        <a:blip xmlns:r="http://schemas.openxmlformats.org/officeDocument/2006/relationships" r:embed="rId3"/>
        <a:srcRect/>
        <a:stretch>
          <a:fillRect/>
        </a:stretch>
      </xdr:blipFill>
      <xdr:spPr bwMode="auto">
        <a:xfrm>
          <a:off x="147638" y="8048625"/>
          <a:ext cx="0" cy="1260000"/>
        </a:xfrm>
        <a:prstGeom prst="rect">
          <a:avLst/>
        </a:prstGeom>
        <a:noFill/>
        <a:ln w="9525">
          <a:noFill/>
          <a:miter lim="800000"/>
          <a:headEnd/>
          <a:tailEnd/>
        </a:ln>
      </xdr:spPr>
    </xdr:pic>
    <xdr:clientData/>
  </xdr:twoCellAnchor>
  <xdr:twoCellAnchor editAs="oneCell">
    <xdr:from>
      <xdr:col>1</xdr:col>
      <xdr:colOff>42863</xdr:colOff>
      <xdr:row>40</xdr:row>
      <xdr:rowOff>123825</xdr:rowOff>
    </xdr:from>
    <xdr:to>
      <xdr:col>1</xdr:col>
      <xdr:colOff>42863</xdr:colOff>
      <xdr:row>46</xdr:row>
      <xdr:rowOff>183675</xdr:rowOff>
    </xdr:to>
    <xdr:pic>
      <xdr:nvPicPr>
        <xdr:cNvPr id="42" name="Picture 6">
          <a:extLst>
            <a:ext uri="{FF2B5EF4-FFF2-40B4-BE49-F238E27FC236}">
              <a16:creationId xmlns:a16="http://schemas.microsoft.com/office/drawing/2014/main" id="{00000000-0008-0000-1600-00002A000000}"/>
            </a:ext>
          </a:extLst>
        </xdr:cNvPr>
        <xdr:cNvPicPr>
          <a:picLocks/>
        </xdr:cNvPicPr>
      </xdr:nvPicPr>
      <xdr:blipFill>
        <a:blip xmlns:r="http://schemas.openxmlformats.org/officeDocument/2006/relationships" r:embed="rId3"/>
        <a:srcRect/>
        <a:stretch>
          <a:fillRect/>
        </a:stretch>
      </xdr:blipFill>
      <xdr:spPr bwMode="auto">
        <a:xfrm>
          <a:off x="147638" y="8048625"/>
          <a:ext cx="0" cy="1260000"/>
        </a:xfrm>
        <a:prstGeom prst="rect">
          <a:avLst/>
        </a:prstGeom>
        <a:noFill/>
        <a:ln w="9525">
          <a:noFill/>
          <a:miter lim="800000"/>
          <a:headEnd/>
          <a:tailEnd/>
        </a:ln>
      </xdr:spPr>
    </xdr:pic>
    <xdr:clientData/>
  </xdr:twoCellAnchor>
  <xdr:twoCellAnchor editAs="oneCell">
    <xdr:from>
      <xdr:col>2</xdr:col>
      <xdr:colOff>263071</xdr:colOff>
      <xdr:row>59</xdr:row>
      <xdr:rowOff>54429</xdr:rowOff>
    </xdr:from>
    <xdr:to>
      <xdr:col>2</xdr:col>
      <xdr:colOff>263071</xdr:colOff>
      <xdr:row>62</xdr:row>
      <xdr:rowOff>3628</xdr:rowOff>
    </xdr:to>
    <xdr:pic>
      <xdr:nvPicPr>
        <xdr:cNvPr id="43" name="Picture 4">
          <a:extLst>
            <a:ext uri="{FF2B5EF4-FFF2-40B4-BE49-F238E27FC236}">
              <a16:creationId xmlns:a16="http://schemas.microsoft.com/office/drawing/2014/main" id="{00000000-0008-0000-1600-00002B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11655879"/>
          <a:ext cx="0" cy="549274"/>
        </a:xfrm>
        <a:prstGeom prst="rect">
          <a:avLst/>
        </a:prstGeom>
        <a:noFill/>
        <a:ln>
          <a:noFill/>
        </a:ln>
      </xdr:spPr>
    </xdr:pic>
    <xdr:clientData/>
  </xdr:twoCellAnchor>
  <xdr:twoCellAnchor editAs="oneCell">
    <xdr:from>
      <xdr:col>2</xdr:col>
      <xdr:colOff>263071</xdr:colOff>
      <xdr:row>59</xdr:row>
      <xdr:rowOff>54429</xdr:rowOff>
    </xdr:from>
    <xdr:to>
      <xdr:col>2</xdr:col>
      <xdr:colOff>263071</xdr:colOff>
      <xdr:row>62</xdr:row>
      <xdr:rowOff>3628</xdr:rowOff>
    </xdr:to>
    <xdr:pic>
      <xdr:nvPicPr>
        <xdr:cNvPr id="44" name="Picture 4">
          <a:extLst>
            <a:ext uri="{FF2B5EF4-FFF2-40B4-BE49-F238E27FC236}">
              <a16:creationId xmlns:a16="http://schemas.microsoft.com/office/drawing/2014/main" id="{00000000-0008-0000-1600-00002C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11655879"/>
          <a:ext cx="0" cy="549274"/>
        </a:xfrm>
        <a:prstGeom prst="rect">
          <a:avLst/>
        </a:prstGeom>
        <a:noFill/>
        <a:ln>
          <a:noFill/>
        </a:ln>
      </xdr:spPr>
    </xdr:pic>
    <xdr:clientData/>
  </xdr:twoCellAnchor>
  <xdr:twoCellAnchor editAs="oneCell">
    <xdr:from>
      <xdr:col>2</xdr:col>
      <xdr:colOff>263071</xdr:colOff>
      <xdr:row>59</xdr:row>
      <xdr:rowOff>54429</xdr:rowOff>
    </xdr:from>
    <xdr:to>
      <xdr:col>2</xdr:col>
      <xdr:colOff>263071</xdr:colOff>
      <xdr:row>62</xdr:row>
      <xdr:rowOff>3628</xdr:rowOff>
    </xdr:to>
    <xdr:pic>
      <xdr:nvPicPr>
        <xdr:cNvPr id="45" name="Picture 4">
          <a:extLst>
            <a:ext uri="{FF2B5EF4-FFF2-40B4-BE49-F238E27FC236}">
              <a16:creationId xmlns:a16="http://schemas.microsoft.com/office/drawing/2014/main" id="{00000000-0008-0000-1600-00002D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11655879"/>
          <a:ext cx="0" cy="549274"/>
        </a:xfrm>
        <a:prstGeom prst="rect">
          <a:avLst/>
        </a:prstGeom>
        <a:noFill/>
        <a:ln>
          <a:noFill/>
        </a:ln>
      </xdr:spPr>
    </xdr:pic>
    <xdr:clientData/>
  </xdr:twoCellAnchor>
  <xdr:twoCellAnchor editAs="oneCell">
    <xdr:from>
      <xdr:col>2</xdr:col>
      <xdr:colOff>263071</xdr:colOff>
      <xdr:row>59</xdr:row>
      <xdr:rowOff>54429</xdr:rowOff>
    </xdr:from>
    <xdr:to>
      <xdr:col>2</xdr:col>
      <xdr:colOff>263071</xdr:colOff>
      <xdr:row>62</xdr:row>
      <xdr:rowOff>3628</xdr:rowOff>
    </xdr:to>
    <xdr:pic>
      <xdr:nvPicPr>
        <xdr:cNvPr id="46" name="Picture 4">
          <a:extLst>
            <a:ext uri="{FF2B5EF4-FFF2-40B4-BE49-F238E27FC236}">
              <a16:creationId xmlns:a16="http://schemas.microsoft.com/office/drawing/2014/main" id="{00000000-0008-0000-1600-00002E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11655879"/>
          <a:ext cx="0" cy="549274"/>
        </a:xfrm>
        <a:prstGeom prst="rect">
          <a:avLst/>
        </a:prstGeom>
        <a:noFill/>
        <a:ln>
          <a:noFill/>
        </a:ln>
      </xdr:spPr>
    </xdr:pic>
    <xdr:clientData/>
  </xdr:twoCellAnchor>
  <xdr:twoCellAnchor editAs="oneCell">
    <xdr:from>
      <xdr:col>2</xdr:col>
      <xdr:colOff>263071</xdr:colOff>
      <xdr:row>59</xdr:row>
      <xdr:rowOff>54429</xdr:rowOff>
    </xdr:from>
    <xdr:to>
      <xdr:col>2</xdr:col>
      <xdr:colOff>263071</xdr:colOff>
      <xdr:row>62</xdr:row>
      <xdr:rowOff>3628</xdr:rowOff>
    </xdr:to>
    <xdr:pic>
      <xdr:nvPicPr>
        <xdr:cNvPr id="47" name="Picture 4">
          <a:extLst>
            <a:ext uri="{FF2B5EF4-FFF2-40B4-BE49-F238E27FC236}">
              <a16:creationId xmlns:a16="http://schemas.microsoft.com/office/drawing/2014/main" id="{00000000-0008-0000-1600-00002F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11655879"/>
          <a:ext cx="0" cy="549274"/>
        </a:xfrm>
        <a:prstGeom prst="rect">
          <a:avLst/>
        </a:prstGeom>
        <a:noFill/>
        <a:ln>
          <a:noFill/>
        </a:ln>
      </xdr:spPr>
    </xdr:pic>
    <xdr:clientData/>
  </xdr:twoCellAnchor>
  <xdr:twoCellAnchor editAs="oneCell">
    <xdr:from>
      <xdr:col>2</xdr:col>
      <xdr:colOff>263071</xdr:colOff>
      <xdr:row>58</xdr:row>
      <xdr:rowOff>54429</xdr:rowOff>
    </xdr:from>
    <xdr:to>
      <xdr:col>2</xdr:col>
      <xdr:colOff>263071</xdr:colOff>
      <xdr:row>61</xdr:row>
      <xdr:rowOff>3629</xdr:rowOff>
    </xdr:to>
    <xdr:pic>
      <xdr:nvPicPr>
        <xdr:cNvPr id="48" name="Picture 4">
          <a:extLst>
            <a:ext uri="{FF2B5EF4-FFF2-40B4-BE49-F238E27FC236}">
              <a16:creationId xmlns:a16="http://schemas.microsoft.com/office/drawing/2014/main" id="{00000000-0008-0000-1600-000030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11455854"/>
          <a:ext cx="0" cy="549274"/>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xdr:from>
          <xdr:col>14</xdr:col>
          <xdr:colOff>28575</xdr:colOff>
          <xdr:row>8</xdr:row>
          <xdr:rowOff>0</xdr:rowOff>
        </xdr:from>
        <xdr:to>
          <xdr:col>14</xdr:col>
          <xdr:colOff>466725</xdr:colOff>
          <xdr:row>14</xdr:row>
          <xdr:rowOff>19050</xdr:rowOff>
        </xdr:to>
        <xdr:sp macro="" textlink="">
          <xdr:nvSpPr>
            <xdr:cNvPr id="19457" name="Spinner 1" hidden="1">
              <a:extLst>
                <a:ext uri="{63B3BB69-23CF-44E3-9099-C40C66FF867C}">
                  <a14:compatExt spid="_x0000_s19457"/>
                </a:ext>
                <a:ext uri="{FF2B5EF4-FFF2-40B4-BE49-F238E27FC236}">
                  <a16:creationId xmlns:a16="http://schemas.microsoft.com/office/drawing/2014/main" id="{00000000-0008-0000-1600-0000014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xdr:oneCellAnchor>
    <xdr:from>
      <xdr:col>1</xdr:col>
      <xdr:colOff>85725</xdr:colOff>
      <xdr:row>0</xdr:row>
      <xdr:rowOff>85726</xdr:rowOff>
    </xdr:from>
    <xdr:ext cx="1543050" cy="1531218"/>
    <xdr:pic>
      <xdr:nvPicPr>
        <xdr:cNvPr id="2" name="Picture 1">
          <a:extLst>
            <a:ext uri="{FF2B5EF4-FFF2-40B4-BE49-F238E27FC236}">
              <a16:creationId xmlns:a16="http://schemas.microsoft.com/office/drawing/2014/main" id="{00000000-0008-0000-1700-000002000000}"/>
            </a:ext>
          </a:extLst>
        </xdr:cNvPr>
        <xdr:cNvPicPr>
          <a:picLocks noChangeAspect="1"/>
        </xdr:cNvPicPr>
      </xdr:nvPicPr>
      <xdr:blipFill>
        <a:blip xmlns:r="http://schemas.openxmlformats.org/officeDocument/2006/relationships" r:embed="rId1"/>
        <a:stretch>
          <a:fillRect/>
        </a:stretch>
      </xdr:blipFill>
      <xdr:spPr>
        <a:xfrm>
          <a:off x="190500" y="85726"/>
          <a:ext cx="1543050" cy="1531218"/>
        </a:xfrm>
        <a:prstGeom prst="rect">
          <a:avLst/>
        </a:prstGeom>
      </xdr:spPr>
    </xdr:pic>
    <xdr:clientData/>
  </xdr:oneCellAnchor>
  <xdr:twoCellAnchor editAs="oneCell">
    <xdr:from>
      <xdr:col>2</xdr:col>
      <xdr:colOff>263071</xdr:colOff>
      <xdr:row>39</xdr:row>
      <xdr:rowOff>54429</xdr:rowOff>
    </xdr:from>
    <xdr:to>
      <xdr:col>2</xdr:col>
      <xdr:colOff>263071</xdr:colOff>
      <xdr:row>42</xdr:row>
      <xdr:rowOff>3629</xdr:rowOff>
    </xdr:to>
    <xdr:pic>
      <xdr:nvPicPr>
        <xdr:cNvPr id="3" name="Picture 4">
          <a:extLst>
            <a:ext uri="{FF2B5EF4-FFF2-40B4-BE49-F238E27FC236}">
              <a16:creationId xmlns:a16="http://schemas.microsoft.com/office/drawing/2014/main" id="{00000000-0008-0000-1700-000003000000}"/>
            </a:ext>
          </a:extLst>
        </xdr:cNvPr>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82171" y="12827454"/>
          <a:ext cx="0" cy="549275"/>
        </a:xfrm>
        <a:prstGeom prst="rect">
          <a:avLst/>
        </a:prstGeom>
        <a:noFill/>
        <a:ln>
          <a:noFill/>
        </a:ln>
      </xdr:spPr>
    </xdr:pic>
    <xdr:clientData/>
  </xdr:twoCellAnchor>
  <xdr:oneCellAnchor>
    <xdr:from>
      <xdr:col>1</xdr:col>
      <xdr:colOff>85725</xdr:colOff>
      <xdr:row>0</xdr:row>
      <xdr:rowOff>85726</xdr:rowOff>
    </xdr:from>
    <xdr:ext cx="1543050" cy="1531218"/>
    <xdr:pic>
      <xdr:nvPicPr>
        <xdr:cNvPr id="4" name="Picture 3">
          <a:extLst>
            <a:ext uri="{FF2B5EF4-FFF2-40B4-BE49-F238E27FC236}">
              <a16:creationId xmlns:a16="http://schemas.microsoft.com/office/drawing/2014/main" id="{00000000-0008-0000-1700-000004000000}"/>
            </a:ext>
          </a:extLst>
        </xdr:cNvPr>
        <xdr:cNvPicPr>
          <a:picLocks noChangeAspect="1"/>
        </xdr:cNvPicPr>
      </xdr:nvPicPr>
      <xdr:blipFill>
        <a:blip xmlns:r="http://schemas.openxmlformats.org/officeDocument/2006/relationships" r:embed="rId1"/>
        <a:stretch>
          <a:fillRect/>
        </a:stretch>
      </xdr:blipFill>
      <xdr:spPr>
        <a:xfrm>
          <a:off x="190500" y="85726"/>
          <a:ext cx="1543050" cy="1531218"/>
        </a:xfrm>
        <a:prstGeom prst="rect">
          <a:avLst/>
        </a:prstGeom>
      </xdr:spPr>
    </xdr:pic>
    <xdr:clientData/>
  </xdr:oneCellAnchor>
  <xdr:twoCellAnchor>
    <xdr:from>
      <xdr:col>13</xdr:col>
      <xdr:colOff>38100</xdr:colOff>
      <xdr:row>1</xdr:row>
      <xdr:rowOff>28575</xdr:rowOff>
    </xdr:from>
    <xdr:to>
      <xdr:col>15</xdr:col>
      <xdr:colOff>428625</xdr:colOff>
      <xdr:row>5</xdr:row>
      <xdr:rowOff>28575</xdr:rowOff>
    </xdr:to>
    <xdr:sp macro="[0]!Home" textlink="">
      <xdr:nvSpPr>
        <xdr:cNvPr id="5" name="Arrow: Left 4">
          <a:extLst>
            <a:ext uri="{FF2B5EF4-FFF2-40B4-BE49-F238E27FC236}">
              <a16:creationId xmlns:a16="http://schemas.microsoft.com/office/drawing/2014/main" id="{00000000-0008-0000-1700-000005000000}"/>
            </a:ext>
          </a:extLst>
        </xdr:cNvPr>
        <xdr:cNvSpPr/>
      </xdr:nvSpPr>
      <xdr:spPr>
        <a:xfrm>
          <a:off x="7648575" y="123825"/>
          <a:ext cx="1114425" cy="800100"/>
        </a:xfrm>
        <a:prstGeom prst="leftArrow">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800">
              <a:latin typeface="Times New Roman" panose="02020603050405020304" pitchFamily="18" charset="0"/>
              <a:cs typeface="Times New Roman" panose="02020603050405020304" pitchFamily="18" charset="0"/>
            </a:rPr>
            <a:t>HOME</a:t>
          </a:r>
        </a:p>
      </xdr:txBody>
    </xdr:sp>
    <xdr:clientData/>
  </xdr:twoCellAnchor>
  <xdr:twoCellAnchor>
    <xdr:from>
      <xdr:col>14</xdr:col>
      <xdr:colOff>161925</xdr:colOff>
      <xdr:row>14</xdr:row>
      <xdr:rowOff>161925</xdr:rowOff>
    </xdr:from>
    <xdr:to>
      <xdr:col>15</xdr:col>
      <xdr:colOff>523875</xdr:colOff>
      <xdr:row>18</xdr:row>
      <xdr:rowOff>0</xdr:rowOff>
    </xdr:to>
    <xdr:sp macro="[0]!Cetak" textlink="">
      <xdr:nvSpPr>
        <xdr:cNvPr id="7" name="Rectangle: Single Corner Snipped 6">
          <a:extLst>
            <a:ext uri="{FF2B5EF4-FFF2-40B4-BE49-F238E27FC236}">
              <a16:creationId xmlns:a16="http://schemas.microsoft.com/office/drawing/2014/main" id="{00000000-0008-0000-1700-000007000000}"/>
            </a:ext>
          </a:extLst>
        </xdr:cNvPr>
        <xdr:cNvSpPr/>
      </xdr:nvSpPr>
      <xdr:spPr>
        <a:xfrm>
          <a:off x="7886700" y="2647950"/>
          <a:ext cx="971550" cy="923925"/>
        </a:xfrm>
        <a:prstGeom prst="snip1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600" b="1">
              <a:solidFill>
                <a:schemeClr val="tx1"/>
              </a:solidFill>
              <a:latin typeface="Times New Roman" panose="02020603050405020304" pitchFamily="18" charset="0"/>
              <a:cs typeface="Times New Roman" panose="02020603050405020304" pitchFamily="18" charset="0"/>
            </a:rPr>
            <a:t>CETAK</a:t>
          </a:r>
        </a:p>
      </xdr:txBody>
    </xdr:sp>
    <xdr:clientData/>
  </xdr:twoCellAnchor>
  <xdr:twoCellAnchor>
    <xdr:from>
      <xdr:col>16</xdr:col>
      <xdr:colOff>95250</xdr:colOff>
      <xdr:row>14</xdr:row>
      <xdr:rowOff>161925</xdr:rowOff>
    </xdr:from>
    <xdr:to>
      <xdr:col>17</xdr:col>
      <xdr:colOff>974910</xdr:colOff>
      <xdr:row>18</xdr:row>
      <xdr:rowOff>0</xdr:rowOff>
    </xdr:to>
    <xdr:sp macro="[0]!PDF" textlink="">
      <xdr:nvSpPr>
        <xdr:cNvPr id="8" name="Rectangle: Single Corner Snipped 7">
          <a:extLst>
            <a:ext uri="{FF2B5EF4-FFF2-40B4-BE49-F238E27FC236}">
              <a16:creationId xmlns:a16="http://schemas.microsoft.com/office/drawing/2014/main" id="{00000000-0008-0000-1700-000008000000}"/>
            </a:ext>
          </a:extLst>
        </xdr:cNvPr>
        <xdr:cNvSpPr/>
      </xdr:nvSpPr>
      <xdr:spPr>
        <a:xfrm>
          <a:off x="9039225" y="2647950"/>
          <a:ext cx="1041585" cy="923925"/>
        </a:xfrm>
        <a:prstGeom prst="snip1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600" b="1">
              <a:solidFill>
                <a:schemeClr val="tx1"/>
              </a:solidFill>
              <a:latin typeface="Times New Roman" panose="02020603050405020304" pitchFamily="18" charset="0"/>
              <a:cs typeface="Times New Roman" panose="02020603050405020304" pitchFamily="18" charset="0"/>
            </a:rPr>
            <a:t>PDF</a:t>
          </a:r>
        </a:p>
      </xdr:txBody>
    </xdr:sp>
    <xdr:clientData/>
  </xdr:twoCellAnchor>
  <xdr:twoCellAnchor>
    <xdr:from>
      <xdr:col>15</xdr:col>
      <xdr:colOff>178734</xdr:colOff>
      <xdr:row>18</xdr:row>
      <xdr:rowOff>201706</xdr:rowOff>
    </xdr:from>
    <xdr:to>
      <xdr:col>17</xdr:col>
      <xdr:colOff>312084</xdr:colOff>
      <xdr:row>19</xdr:row>
      <xdr:rowOff>268381</xdr:rowOff>
    </xdr:to>
    <xdr:sp macro="[0]!_xludf.SAVE" textlink="">
      <xdr:nvSpPr>
        <xdr:cNvPr id="9" name="Rectangle: Top Corners Snipped 8">
          <a:extLst>
            <a:ext uri="{FF2B5EF4-FFF2-40B4-BE49-F238E27FC236}">
              <a16:creationId xmlns:a16="http://schemas.microsoft.com/office/drawing/2014/main" id="{00000000-0008-0000-1700-000009000000}"/>
            </a:ext>
          </a:extLst>
        </xdr:cNvPr>
        <xdr:cNvSpPr/>
      </xdr:nvSpPr>
      <xdr:spPr>
        <a:xfrm>
          <a:off x="8513109" y="3773581"/>
          <a:ext cx="904875" cy="542925"/>
        </a:xfrm>
        <a:prstGeom prst="snip2Same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ctr"/>
          <a:r>
            <a:rPr lang="en-US" sz="1200" b="1">
              <a:solidFill>
                <a:schemeClr val="tx1"/>
              </a:solidFill>
              <a:latin typeface="Times New Roman" panose="02020603050405020304" pitchFamily="18" charset="0"/>
              <a:cs typeface="Times New Roman" panose="02020603050405020304" pitchFamily="18" charset="0"/>
            </a:rPr>
            <a:t>SIMPAN DOKUMEN</a:t>
          </a:r>
        </a:p>
      </xdr:txBody>
    </xdr:sp>
    <xdr:clientData/>
  </xdr:twoCellAnchor>
  <mc:AlternateContent xmlns:mc="http://schemas.openxmlformats.org/markup-compatibility/2006">
    <mc:Choice xmlns:a14="http://schemas.microsoft.com/office/drawing/2010/main" Requires="a14">
      <xdr:twoCellAnchor>
        <xdr:from>
          <xdr:col>14</xdr:col>
          <xdr:colOff>28575</xdr:colOff>
          <xdr:row>8</xdr:row>
          <xdr:rowOff>0</xdr:rowOff>
        </xdr:from>
        <xdr:to>
          <xdr:col>14</xdr:col>
          <xdr:colOff>466725</xdr:colOff>
          <xdr:row>14</xdr:row>
          <xdr:rowOff>19050</xdr:rowOff>
        </xdr:to>
        <xdr:sp macro="" textlink="">
          <xdr:nvSpPr>
            <xdr:cNvPr id="82945" name="Spinner 1" hidden="1">
              <a:extLst>
                <a:ext uri="{63B3BB69-23CF-44E3-9099-C40C66FF867C}">
                  <a14:compatExt spid="_x0000_s82945"/>
                </a:ext>
                <a:ext uri="{FF2B5EF4-FFF2-40B4-BE49-F238E27FC236}">
                  <a16:creationId xmlns:a16="http://schemas.microsoft.com/office/drawing/2014/main" id="{00000000-0008-0000-1700-00000144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xdr:twoCellAnchor>
    <xdr:from>
      <xdr:col>10</xdr:col>
      <xdr:colOff>0</xdr:colOff>
      <xdr:row>1</xdr:row>
      <xdr:rowOff>0</xdr:rowOff>
    </xdr:from>
    <xdr:to>
      <xdr:col>12</xdr:col>
      <xdr:colOff>47625</xdr:colOff>
      <xdr:row>5</xdr:row>
      <xdr:rowOff>38100</xdr:rowOff>
    </xdr:to>
    <xdr:sp macro="[0]!Home" textlink="">
      <xdr:nvSpPr>
        <xdr:cNvPr id="2" name="Arrow: Left 1">
          <a:extLst>
            <a:ext uri="{FF2B5EF4-FFF2-40B4-BE49-F238E27FC236}">
              <a16:creationId xmlns:a16="http://schemas.microsoft.com/office/drawing/2014/main" id="{00000000-0008-0000-1800-000002000000}"/>
            </a:ext>
          </a:extLst>
        </xdr:cNvPr>
        <xdr:cNvSpPr/>
      </xdr:nvSpPr>
      <xdr:spPr>
        <a:xfrm>
          <a:off x="6096000" y="190500"/>
          <a:ext cx="1266825" cy="800100"/>
        </a:xfrm>
        <a:prstGeom prst="leftArrow">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800">
              <a:latin typeface="Times New Roman" panose="02020603050405020304" pitchFamily="18" charset="0"/>
              <a:cs typeface="Times New Roman" panose="02020603050405020304" pitchFamily="18" charset="0"/>
            </a:rPr>
            <a:t>HOME</a:t>
          </a:r>
        </a:p>
      </xdr:txBody>
    </xdr:sp>
    <xdr:clientData/>
  </xdr:twoCellAnchor>
  <xdr:twoCellAnchor>
    <xdr:from>
      <xdr:col>5</xdr:col>
      <xdr:colOff>2181225</xdr:colOff>
      <xdr:row>0</xdr:row>
      <xdr:rowOff>95250</xdr:rowOff>
    </xdr:from>
    <xdr:to>
      <xdr:col>6</xdr:col>
      <xdr:colOff>876300</xdr:colOff>
      <xdr:row>1</xdr:row>
      <xdr:rowOff>781050</xdr:rowOff>
    </xdr:to>
    <xdr:sp macro="[0]!Home" textlink="">
      <xdr:nvSpPr>
        <xdr:cNvPr id="3" name="Arrow: Left 2">
          <a:extLst>
            <a:ext uri="{FF2B5EF4-FFF2-40B4-BE49-F238E27FC236}">
              <a16:creationId xmlns:a16="http://schemas.microsoft.com/office/drawing/2014/main" id="{00000000-0008-0000-1800-000003000000}"/>
            </a:ext>
          </a:extLst>
        </xdr:cNvPr>
        <xdr:cNvSpPr/>
      </xdr:nvSpPr>
      <xdr:spPr>
        <a:xfrm>
          <a:off x="3886200" y="95250"/>
          <a:ext cx="1200150" cy="790575"/>
        </a:xfrm>
        <a:prstGeom prst="leftArrow">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800">
              <a:latin typeface="Times New Roman" panose="02020603050405020304" pitchFamily="18" charset="0"/>
              <a:cs typeface="Times New Roman" panose="02020603050405020304" pitchFamily="18" charset="0"/>
            </a:rPr>
            <a:t>HOME</a:t>
          </a:r>
        </a:p>
      </xdr:txBody>
    </xdr:sp>
    <xdr:clientData/>
  </xdr:twoCellAnchor>
  <xdr:twoCellAnchor>
    <xdr:from>
      <xdr:col>5</xdr:col>
      <xdr:colOff>2181225</xdr:colOff>
      <xdr:row>0</xdr:row>
      <xdr:rowOff>95250</xdr:rowOff>
    </xdr:from>
    <xdr:to>
      <xdr:col>6</xdr:col>
      <xdr:colOff>876300</xdr:colOff>
      <xdr:row>1</xdr:row>
      <xdr:rowOff>781050</xdr:rowOff>
    </xdr:to>
    <xdr:sp macro="[0]!Home" textlink="">
      <xdr:nvSpPr>
        <xdr:cNvPr id="4" name="Arrow: Left 3">
          <a:extLst>
            <a:ext uri="{FF2B5EF4-FFF2-40B4-BE49-F238E27FC236}">
              <a16:creationId xmlns:a16="http://schemas.microsoft.com/office/drawing/2014/main" id="{00000000-0008-0000-1800-000004000000}"/>
            </a:ext>
          </a:extLst>
        </xdr:cNvPr>
        <xdr:cNvSpPr/>
      </xdr:nvSpPr>
      <xdr:spPr>
        <a:xfrm>
          <a:off x="3886200" y="95250"/>
          <a:ext cx="1200150" cy="790575"/>
        </a:xfrm>
        <a:prstGeom prst="leftArrow">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800">
              <a:latin typeface="Times New Roman" panose="02020603050405020304" pitchFamily="18" charset="0"/>
              <a:cs typeface="Times New Roman" panose="02020603050405020304" pitchFamily="18" charset="0"/>
            </a:rPr>
            <a:t>HOME</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2</xdr:col>
      <xdr:colOff>52820</xdr:colOff>
      <xdr:row>1</xdr:row>
      <xdr:rowOff>88325</xdr:rowOff>
    </xdr:from>
    <xdr:to>
      <xdr:col>2</xdr:col>
      <xdr:colOff>1420091</xdr:colOff>
      <xdr:row>1</xdr:row>
      <xdr:rowOff>936049</xdr:rowOff>
    </xdr:to>
    <xdr:sp macro="[0]!Home" textlink="">
      <xdr:nvSpPr>
        <xdr:cNvPr id="3" name="Arrow: Left 2">
          <a:extLst>
            <a:ext uri="{FF2B5EF4-FFF2-40B4-BE49-F238E27FC236}">
              <a16:creationId xmlns:a16="http://schemas.microsoft.com/office/drawing/2014/main" id="{00000000-0008-0000-1900-000003000000}"/>
            </a:ext>
          </a:extLst>
        </xdr:cNvPr>
        <xdr:cNvSpPr/>
      </xdr:nvSpPr>
      <xdr:spPr>
        <a:xfrm>
          <a:off x="576695" y="183575"/>
          <a:ext cx="1367271" cy="847724"/>
        </a:xfrm>
        <a:prstGeom prst="leftArrow">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800">
              <a:latin typeface="Times New Roman" panose="02020603050405020304" pitchFamily="18" charset="0"/>
              <a:cs typeface="Times New Roman" panose="02020603050405020304" pitchFamily="18" charset="0"/>
            </a:rPr>
            <a:t>HOME</a:t>
          </a:r>
        </a:p>
      </xdr:txBody>
    </xdr:sp>
    <xdr:clientData/>
  </xdr:twoCellAnchor>
</xdr:wsDr>
</file>

<file path=xl/drawings/drawing27.xml><?xml version="1.0" encoding="utf-8"?>
<xdr:wsDr xmlns:xdr="http://schemas.openxmlformats.org/drawingml/2006/spreadsheetDrawing" xmlns:a="http://schemas.openxmlformats.org/drawingml/2006/main">
  <xdr:twoCellAnchor editAs="oneCell">
    <xdr:from>
      <xdr:col>2</xdr:col>
      <xdr:colOff>263071</xdr:colOff>
      <xdr:row>42</xdr:row>
      <xdr:rowOff>54429</xdr:rowOff>
    </xdr:from>
    <xdr:to>
      <xdr:col>2</xdr:col>
      <xdr:colOff>263071</xdr:colOff>
      <xdr:row>45</xdr:row>
      <xdr:rowOff>3629</xdr:rowOff>
    </xdr:to>
    <xdr:pic>
      <xdr:nvPicPr>
        <xdr:cNvPr id="2" name="Picture 4">
          <a:extLst>
            <a:ext uri="{FF2B5EF4-FFF2-40B4-BE49-F238E27FC236}">
              <a16:creationId xmlns:a16="http://schemas.microsoft.com/office/drawing/2014/main" id="{00000000-0008-0000-1A00-000002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8388804"/>
          <a:ext cx="0" cy="549275"/>
        </a:xfrm>
        <a:prstGeom prst="rect">
          <a:avLst/>
        </a:prstGeom>
        <a:noFill/>
        <a:ln>
          <a:noFill/>
        </a:ln>
      </xdr:spPr>
    </xdr:pic>
    <xdr:clientData/>
  </xdr:twoCellAnchor>
  <xdr:twoCellAnchor editAs="oneCell">
    <xdr:from>
      <xdr:col>1</xdr:col>
      <xdr:colOff>42863</xdr:colOff>
      <xdr:row>39</xdr:row>
      <xdr:rowOff>123825</xdr:rowOff>
    </xdr:from>
    <xdr:to>
      <xdr:col>1</xdr:col>
      <xdr:colOff>42863</xdr:colOff>
      <xdr:row>46</xdr:row>
      <xdr:rowOff>50325</xdr:rowOff>
    </xdr:to>
    <xdr:pic>
      <xdr:nvPicPr>
        <xdr:cNvPr id="3" name="Picture 6">
          <a:extLst>
            <a:ext uri="{FF2B5EF4-FFF2-40B4-BE49-F238E27FC236}">
              <a16:creationId xmlns:a16="http://schemas.microsoft.com/office/drawing/2014/main" id="{00000000-0008-0000-1A00-000003000000}"/>
            </a:ext>
          </a:extLst>
        </xdr:cNvPr>
        <xdr:cNvPicPr>
          <a:picLocks/>
        </xdr:cNvPicPr>
      </xdr:nvPicPr>
      <xdr:blipFill>
        <a:blip xmlns:r="http://schemas.openxmlformats.org/officeDocument/2006/relationships" r:embed="rId2"/>
        <a:srcRect/>
        <a:stretch>
          <a:fillRect/>
        </a:stretch>
      </xdr:blipFill>
      <xdr:spPr bwMode="auto">
        <a:xfrm>
          <a:off x="147638" y="7858125"/>
          <a:ext cx="0" cy="1326675"/>
        </a:xfrm>
        <a:prstGeom prst="rect">
          <a:avLst/>
        </a:prstGeom>
        <a:noFill/>
        <a:ln w="9525">
          <a:noFill/>
          <a:miter lim="800000"/>
          <a:headEnd/>
          <a:tailEnd/>
        </a:ln>
      </xdr:spPr>
    </xdr:pic>
    <xdr:clientData/>
  </xdr:twoCellAnchor>
  <xdr:twoCellAnchor editAs="oneCell">
    <xdr:from>
      <xdr:col>2</xdr:col>
      <xdr:colOff>263071</xdr:colOff>
      <xdr:row>42</xdr:row>
      <xdr:rowOff>54429</xdr:rowOff>
    </xdr:from>
    <xdr:to>
      <xdr:col>2</xdr:col>
      <xdr:colOff>263071</xdr:colOff>
      <xdr:row>45</xdr:row>
      <xdr:rowOff>3629</xdr:rowOff>
    </xdr:to>
    <xdr:pic>
      <xdr:nvPicPr>
        <xdr:cNvPr id="4" name="Picture 4">
          <a:extLst>
            <a:ext uri="{FF2B5EF4-FFF2-40B4-BE49-F238E27FC236}">
              <a16:creationId xmlns:a16="http://schemas.microsoft.com/office/drawing/2014/main" id="{00000000-0008-0000-1A00-000004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8388804"/>
          <a:ext cx="0" cy="549275"/>
        </a:xfrm>
        <a:prstGeom prst="rect">
          <a:avLst/>
        </a:prstGeom>
        <a:noFill/>
        <a:ln>
          <a:noFill/>
        </a:ln>
      </xdr:spPr>
    </xdr:pic>
    <xdr:clientData/>
  </xdr:twoCellAnchor>
  <xdr:twoCellAnchor editAs="oneCell">
    <xdr:from>
      <xdr:col>1</xdr:col>
      <xdr:colOff>42863</xdr:colOff>
      <xdr:row>39</xdr:row>
      <xdr:rowOff>123825</xdr:rowOff>
    </xdr:from>
    <xdr:to>
      <xdr:col>1</xdr:col>
      <xdr:colOff>42863</xdr:colOff>
      <xdr:row>46</xdr:row>
      <xdr:rowOff>50325</xdr:rowOff>
    </xdr:to>
    <xdr:pic>
      <xdr:nvPicPr>
        <xdr:cNvPr id="5" name="Picture 6">
          <a:extLst>
            <a:ext uri="{FF2B5EF4-FFF2-40B4-BE49-F238E27FC236}">
              <a16:creationId xmlns:a16="http://schemas.microsoft.com/office/drawing/2014/main" id="{00000000-0008-0000-1A00-000005000000}"/>
            </a:ext>
          </a:extLst>
        </xdr:cNvPr>
        <xdr:cNvPicPr>
          <a:picLocks/>
        </xdr:cNvPicPr>
      </xdr:nvPicPr>
      <xdr:blipFill>
        <a:blip xmlns:r="http://schemas.openxmlformats.org/officeDocument/2006/relationships" r:embed="rId2"/>
        <a:srcRect/>
        <a:stretch>
          <a:fillRect/>
        </a:stretch>
      </xdr:blipFill>
      <xdr:spPr bwMode="auto">
        <a:xfrm>
          <a:off x="147638" y="7858125"/>
          <a:ext cx="0" cy="1326675"/>
        </a:xfrm>
        <a:prstGeom prst="rect">
          <a:avLst/>
        </a:prstGeom>
        <a:noFill/>
        <a:ln w="9525">
          <a:noFill/>
          <a:miter lim="800000"/>
          <a:headEnd/>
          <a:tailEnd/>
        </a:ln>
      </xdr:spPr>
    </xdr:pic>
    <xdr:clientData/>
  </xdr:twoCellAnchor>
  <xdr:twoCellAnchor editAs="oneCell">
    <xdr:from>
      <xdr:col>2</xdr:col>
      <xdr:colOff>263071</xdr:colOff>
      <xdr:row>42</xdr:row>
      <xdr:rowOff>54429</xdr:rowOff>
    </xdr:from>
    <xdr:to>
      <xdr:col>2</xdr:col>
      <xdr:colOff>263071</xdr:colOff>
      <xdr:row>45</xdr:row>
      <xdr:rowOff>3629</xdr:rowOff>
    </xdr:to>
    <xdr:pic>
      <xdr:nvPicPr>
        <xdr:cNvPr id="6" name="Picture 4">
          <a:extLst>
            <a:ext uri="{FF2B5EF4-FFF2-40B4-BE49-F238E27FC236}">
              <a16:creationId xmlns:a16="http://schemas.microsoft.com/office/drawing/2014/main" id="{00000000-0008-0000-1A00-000006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8388804"/>
          <a:ext cx="0" cy="549275"/>
        </a:xfrm>
        <a:prstGeom prst="rect">
          <a:avLst/>
        </a:prstGeom>
        <a:noFill/>
        <a:ln>
          <a:noFill/>
        </a:ln>
      </xdr:spPr>
    </xdr:pic>
    <xdr:clientData/>
  </xdr:twoCellAnchor>
  <xdr:twoCellAnchor editAs="oneCell">
    <xdr:from>
      <xdr:col>1</xdr:col>
      <xdr:colOff>42863</xdr:colOff>
      <xdr:row>39</xdr:row>
      <xdr:rowOff>123825</xdr:rowOff>
    </xdr:from>
    <xdr:to>
      <xdr:col>1</xdr:col>
      <xdr:colOff>42863</xdr:colOff>
      <xdr:row>46</xdr:row>
      <xdr:rowOff>50325</xdr:rowOff>
    </xdr:to>
    <xdr:pic>
      <xdr:nvPicPr>
        <xdr:cNvPr id="7" name="Picture 6">
          <a:extLst>
            <a:ext uri="{FF2B5EF4-FFF2-40B4-BE49-F238E27FC236}">
              <a16:creationId xmlns:a16="http://schemas.microsoft.com/office/drawing/2014/main" id="{00000000-0008-0000-1A00-000007000000}"/>
            </a:ext>
          </a:extLst>
        </xdr:cNvPr>
        <xdr:cNvPicPr>
          <a:picLocks/>
        </xdr:cNvPicPr>
      </xdr:nvPicPr>
      <xdr:blipFill>
        <a:blip xmlns:r="http://schemas.openxmlformats.org/officeDocument/2006/relationships" r:embed="rId2"/>
        <a:srcRect/>
        <a:stretch>
          <a:fillRect/>
        </a:stretch>
      </xdr:blipFill>
      <xdr:spPr bwMode="auto">
        <a:xfrm>
          <a:off x="147638" y="7858125"/>
          <a:ext cx="0" cy="1326675"/>
        </a:xfrm>
        <a:prstGeom prst="rect">
          <a:avLst/>
        </a:prstGeom>
        <a:noFill/>
        <a:ln w="9525">
          <a:noFill/>
          <a:miter lim="800000"/>
          <a:headEnd/>
          <a:tailEnd/>
        </a:ln>
      </xdr:spPr>
    </xdr:pic>
    <xdr:clientData/>
  </xdr:twoCellAnchor>
  <xdr:twoCellAnchor editAs="oneCell">
    <xdr:from>
      <xdr:col>2</xdr:col>
      <xdr:colOff>263071</xdr:colOff>
      <xdr:row>42</xdr:row>
      <xdr:rowOff>54429</xdr:rowOff>
    </xdr:from>
    <xdr:to>
      <xdr:col>2</xdr:col>
      <xdr:colOff>263071</xdr:colOff>
      <xdr:row>45</xdr:row>
      <xdr:rowOff>3629</xdr:rowOff>
    </xdr:to>
    <xdr:pic>
      <xdr:nvPicPr>
        <xdr:cNvPr id="8" name="Picture 4">
          <a:extLst>
            <a:ext uri="{FF2B5EF4-FFF2-40B4-BE49-F238E27FC236}">
              <a16:creationId xmlns:a16="http://schemas.microsoft.com/office/drawing/2014/main" id="{00000000-0008-0000-1A00-000008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8388804"/>
          <a:ext cx="0" cy="549275"/>
        </a:xfrm>
        <a:prstGeom prst="rect">
          <a:avLst/>
        </a:prstGeom>
        <a:noFill/>
        <a:ln>
          <a:noFill/>
        </a:ln>
      </xdr:spPr>
    </xdr:pic>
    <xdr:clientData/>
  </xdr:twoCellAnchor>
  <xdr:twoCellAnchor editAs="oneCell">
    <xdr:from>
      <xdr:col>1</xdr:col>
      <xdr:colOff>42863</xdr:colOff>
      <xdr:row>39</xdr:row>
      <xdr:rowOff>123825</xdr:rowOff>
    </xdr:from>
    <xdr:to>
      <xdr:col>1</xdr:col>
      <xdr:colOff>42863</xdr:colOff>
      <xdr:row>46</xdr:row>
      <xdr:rowOff>50325</xdr:rowOff>
    </xdr:to>
    <xdr:pic>
      <xdr:nvPicPr>
        <xdr:cNvPr id="9" name="Picture 6">
          <a:extLst>
            <a:ext uri="{FF2B5EF4-FFF2-40B4-BE49-F238E27FC236}">
              <a16:creationId xmlns:a16="http://schemas.microsoft.com/office/drawing/2014/main" id="{00000000-0008-0000-1A00-000009000000}"/>
            </a:ext>
          </a:extLst>
        </xdr:cNvPr>
        <xdr:cNvPicPr>
          <a:picLocks/>
        </xdr:cNvPicPr>
      </xdr:nvPicPr>
      <xdr:blipFill>
        <a:blip xmlns:r="http://schemas.openxmlformats.org/officeDocument/2006/relationships" r:embed="rId2"/>
        <a:srcRect/>
        <a:stretch>
          <a:fillRect/>
        </a:stretch>
      </xdr:blipFill>
      <xdr:spPr bwMode="auto">
        <a:xfrm>
          <a:off x="147638" y="7858125"/>
          <a:ext cx="0" cy="1326675"/>
        </a:xfrm>
        <a:prstGeom prst="rect">
          <a:avLst/>
        </a:prstGeom>
        <a:noFill/>
        <a:ln w="9525">
          <a:noFill/>
          <a:miter lim="800000"/>
          <a:headEnd/>
          <a:tailEnd/>
        </a:ln>
      </xdr:spPr>
    </xdr:pic>
    <xdr:clientData/>
  </xdr:twoCellAnchor>
  <xdr:twoCellAnchor editAs="oneCell">
    <xdr:from>
      <xdr:col>2</xdr:col>
      <xdr:colOff>263071</xdr:colOff>
      <xdr:row>41</xdr:row>
      <xdr:rowOff>54429</xdr:rowOff>
    </xdr:from>
    <xdr:to>
      <xdr:col>2</xdr:col>
      <xdr:colOff>263071</xdr:colOff>
      <xdr:row>44</xdr:row>
      <xdr:rowOff>3629</xdr:rowOff>
    </xdr:to>
    <xdr:pic>
      <xdr:nvPicPr>
        <xdr:cNvPr id="10" name="Picture 4">
          <a:extLst>
            <a:ext uri="{FF2B5EF4-FFF2-40B4-BE49-F238E27FC236}">
              <a16:creationId xmlns:a16="http://schemas.microsoft.com/office/drawing/2014/main" id="{00000000-0008-0000-1A00-00000A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8188779"/>
          <a:ext cx="0" cy="549275"/>
        </a:xfrm>
        <a:prstGeom prst="rect">
          <a:avLst/>
        </a:prstGeom>
        <a:noFill/>
        <a:ln>
          <a:noFill/>
        </a:ln>
      </xdr:spPr>
    </xdr:pic>
    <xdr:clientData/>
  </xdr:twoCellAnchor>
  <xdr:twoCellAnchor editAs="oneCell">
    <xdr:from>
      <xdr:col>1</xdr:col>
      <xdr:colOff>42863</xdr:colOff>
      <xdr:row>38</xdr:row>
      <xdr:rowOff>123825</xdr:rowOff>
    </xdr:from>
    <xdr:to>
      <xdr:col>1</xdr:col>
      <xdr:colOff>42863</xdr:colOff>
      <xdr:row>45</xdr:row>
      <xdr:rowOff>50325</xdr:rowOff>
    </xdr:to>
    <xdr:pic>
      <xdr:nvPicPr>
        <xdr:cNvPr id="11" name="Picture 6">
          <a:extLst>
            <a:ext uri="{FF2B5EF4-FFF2-40B4-BE49-F238E27FC236}">
              <a16:creationId xmlns:a16="http://schemas.microsoft.com/office/drawing/2014/main" id="{00000000-0008-0000-1A00-00000B000000}"/>
            </a:ext>
          </a:extLst>
        </xdr:cNvPr>
        <xdr:cNvPicPr>
          <a:picLocks/>
        </xdr:cNvPicPr>
      </xdr:nvPicPr>
      <xdr:blipFill>
        <a:blip xmlns:r="http://schemas.openxmlformats.org/officeDocument/2006/relationships" r:embed="rId2"/>
        <a:srcRect/>
        <a:stretch>
          <a:fillRect/>
        </a:stretch>
      </xdr:blipFill>
      <xdr:spPr bwMode="auto">
        <a:xfrm>
          <a:off x="147638" y="7658100"/>
          <a:ext cx="0" cy="1326675"/>
        </a:xfrm>
        <a:prstGeom prst="rect">
          <a:avLst/>
        </a:prstGeom>
        <a:noFill/>
        <a:ln w="9525">
          <a:noFill/>
          <a:miter lim="800000"/>
          <a:headEnd/>
          <a:tailEnd/>
        </a:ln>
      </xdr:spPr>
    </xdr:pic>
    <xdr:clientData/>
  </xdr:twoCellAnchor>
  <xdr:twoCellAnchor editAs="oneCell">
    <xdr:from>
      <xdr:col>1</xdr:col>
      <xdr:colOff>42863</xdr:colOff>
      <xdr:row>38</xdr:row>
      <xdr:rowOff>123825</xdr:rowOff>
    </xdr:from>
    <xdr:to>
      <xdr:col>1</xdr:col>
      <xdr:colOff>42863</xdr:colOff>
      <xdr:row>45</xdr:row>
      <xdr:rowOff>50325</xdr:rowOff>
    </xdr:to>
    <xdr:pic>
      <xdr:nvPicPr>
        <xdr:cNvPr id="12" name="Picture 6">
          <a:extLst>
            <a:ext uri="{FF2B5EF4-FFF2-40B4-BE49-F238E27FC236}">
              <a16:creationId xmlns:a16="http://schemas.microsoft.com/office/drawing/2014/main" id="{00000000-0008-0000-1A00-00000C000000}"/>
            </a:ext>
          </a:extLst>
        </xdr:cNvPr>
        <xdr:cNvPicPr>
          <a:picLocks/>
        </xdr:cNvPicPr>
      </xdr:nvPicPr>
      <xdr:blipFill>
        <a:blip xmlns:r="http://schemas.openxmlformats.org/officeDocument/2006/relationships" r:embed="rId2"/>
        <a:srcRect/>
        <a:stretch>
          <a:fillRect/>
        </a:stretch>
      </xdr:blipFill>
      <xdr:spPr bwMode="auto">
        <a:xfrm>
          <a:off x="147638" y="7658100"/>
          <a:ext cx="0" cy="1326675"/>
        </a:xfrm>
        <a:prstGeom prst="rect">
          <a:avLst/>
        </a:prstGeom>
        <a:noFill/>
        <a:ln w="9525">
          <a:noFill/>
          <a:miter lim="800000"/>
          <a:headEnd/>
          <a:tailEnd/>
        </a:ln>
      </xdr:spPr>
    </xdr:pic>
    <xdr:clientData/>
  </xdr:twoCellAnchor>
  <xdr:twoCellAnchor editAs="oneCell">
    <xdr:from>
      <xdr:col>2</xdr:col>
      <xdr:colOff>263071</xdr:colOff>
      <xdr:row>42</xdr:row>
      <xdr:rowOff>54429</xdr:rowOff>
    </xdr:from>
    <xdr:to>
      <xdr:col>2</xdr:col>
      <xdr:colOff>263071</xdr:colOff>
      <xdr:row>45</xdr:row>
      <xdr:rowOff>3629</xdr:rowOff>
    </xdr:to>
    <xdr:pic>
      <xdr:nvPicPr>
        <xdr:cNvPr id="13" name="Picture 4">
          <a:extLst>
            <a:ext uri="{FF2B5EF4-FFF2-40B4-BE49-F238E27FC236}">
              <a16:creationId xmlns:a16="http://schemas.microsoft.com/office/drawing/2014/main" id="{00000000-0008-0000-1A00-00000D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8388804"/>
          <a:ext cx="0" cy="549275"/>
        </a:xfrm>
        <a:prstGeom prst="rect">
          <a:avLst/>
        </a:prstGeom>
        <a:noFill/>
        <a:ln>
          <a:noFill/>
        </a:ln>
      </xdr:spPr>
    </xdr:pic>
    <xdr:clientData/>
  </xdr:twoCellAnchor>
  <xdr:twoCellAnchor editAs="oneCell">
    <xdr:from>
      <xdr:col>1</xdr:col>
      <xdr:colOff>42863</xdr:colOff>
      <xdr:row>39</xdr:row>
      <xdr:rowOff>123825</xdr:rowOff>
    </xdr:from>
    <xdr:to>
      <xdr:col>1</xdr:col>
      <xdr:colOff>42863</xdr:colOff>
      <xdr:row>46</xdr:row>
      <xdr:rowOff>50325</xdr:rowOff>
    </xdr:to>
    <xdr:pic>
      <xdr:nvPicPr>
        <xdr:cNvPr id="14" name="Picture 6">
          <a:extLst>
            <a:ext uri="{FF2B5EF4-FFF2-40B4-BE49-F238E27FC236}">
              <a16:creationId xmlns:a16="http://schemas.microsoft.com/office/drawing/2014/main" id="{00000000-0008-0000-1A00-00000E000000}"/>
            </a:ext>
          </a:extLst>
        </xdr:cNvPr>
        <xdr:cNvPicPr>
          <a:picLocks/>
        </xdr:cNvPicPr>
      </xdr:nvPicPr>
      <xdr:blipFill>
        <a:blip xmlns:r="http://schemas.openxmlformats.org/officeDocument/2006/relationships" r:embed="rId2"/>
        <a:srcRect/>
        <a:stretch>
          <a:fillRect/>
        </a:stretch>
      </xdr:blipFill>
      <xdr:spPr bwMode="auto">
        <a:xfrm>
          <a:off x="147638" y="7858125"/>
          <a:ext cx="0" cy="1326675"/>
        </a:xfrm>
        <a:prstGeom prst="rect">
          <a:avLst/>
        </a:prstGeom>
        <a:noFill/>
        <a:ln w="9525">
          <a:noFill/>
          <a:miter lim="800000"/>
          <a:headEnd/>
          <a:tailEnd/>
        </a:ln>
      </xdr:spPr>
    </xdr:pic>
    <xdr:clientData/>
  </xdr:twoCellAnchor>
  <xdr:twoCellAnchor editAs="oneCell">
    <xdr:from>
      <xdr:col>2</xdr:col>
      <xdr:colOff>263071</xdr:colOff>
      <xdr:row>42</xdr:row>
      <xdr:rowOff>54429</xdr:rowOff>
    </xdr:from>
    <xdr:to>
      <xdr:col>2</xdr:col>
      <xdr:colOff>263071</xdr:colOff>
      <xdr:row>45</xdr:row>
      <xdr:rowOff>3629</xdr:rowOff>
    </xdr:to>
    <xdr:pic>
      <xdr:nvPicPr>
        <xdr:cNvPr id="15" name="Picture 4">
          <a:extLst>
            <a:ext uri="{FF2B5EF4-FFF2-40B4-BE49-F238E27FC236}">
              <a16:creationId xmlns:a16="http://schemas.microsoft.com/office/drawing/2014/main" id="{00000000-0008-0000-1A00-00000F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8388804"/>
          <a:ext cx="0" cy="549275"/>
        </a:xfrm>
        <a:prstGeom prst="rect">
          <a:avLst/>
        </a:prstGeom>
        <a:noFill/>
        <a:ln>
          <a:noFill/>
        </a:ln>
      </xdr:spPr>
    </xdr:pic>
    <xdr:clientData/>
  </xdr:twoCellAnchor>
  <xdr:twoCellAnchor editAs="oneCell">
    <xdr:from>
      <xdr:col>1</xdr:col>
      <xdr:colOff>42863</xdr:colOff>
      <xdr:row>39</xdr:row>
      <xdr:rowOff>123825</xdr:rowOff>
    </xdr:from>
    <xdr:to>
      <xdr:col>1</xdr:col>
      <xdr:colOff>42863</xdr:colOff>
      <xdr:row>46</xdr:row>
      <xdr:rowOff>50325</xdr:rowOff>
    </xdr:to>
    <xdr:pic>
      <xdr:nvPicPr>
        <xdr:cNvPr id="16" name="Picture 6">
          <a:extLst>
            <a:ext uri="{FF2B5EF4-FFF2-40B4-BE49-F238E27FC236}">
              <a16:creationId xmlns:a16="http://schemas.microsoft.com/office/drawing/2014/main" id="{00000000-0008-0000-1A00-000010000000}"/>
            </a:ext>
          </a:extLst>
        </xdr:cNvPr>
        <xdr:cNvPicPr>
          <a:picLocks/>
        </xdr:cNvPicPr>
      </xdr:nvPicPr>
      <xdr:blipFill>
        <a:blip xmlns:r="http://schemas.openxmlformats.org/officeDocument/2006/relationships" r:embed="rId2"/>
        <a:srcRect/>
        <a:stretch>
          <a:fillRect/>
        </a:stretch>
      </xdr:blipFill>
      <xdr:spPr bwMode="auto">
        <a:xfrm>
          <a:off x="147638" y="7858125"/>
          <a:ext cx="0" cy="1326675"/>
        </a:xfrm>
        <a:prstGeom prst="rect">
          <a:avLst/>
        </a:prstGeom>
        <a:noFill/>
        <a:ln w="9525">
          <a:noFill/>
          <a:miter lim="800000"/>
          <a:headEnd/>
          <a:tailEnd/>
        </a:ln>
      </xdr:spPr>
    </xdr:pic>
    <xdr:clientData/>
  </xdr:twoCellAnchor>
  <xdr:twoCellAnchor editAs="oneCell">
    <xdr:from>
      <xdr:col>2</xdr:col>
      <xdr:colOff>263071</xdr:colOff>
      <xdr:row>42</xdr:row>
      <xdr:rowOff>54429</xdr:rowOff>
    </xdr:from>
    <xdr:to>
      <xdr:col>2</xdr:col>
      <xdr:colOff>263071</xdr:colOff>
      <xdr:row>45</xdr:row>
      <xdr:rowOff>3629</xdr:rowOff>
    </xdr:to>
    <xdr:pic>
      <xdr:nvPicPr>
        <xdr:cNvPr id="17" name="Picture 4">
          <a:extLst>
            <a:ext uri="{FF2B5EF4-FFF2-40B4-BE49-F238E27FC236}">
              <a16:creationId xmlns:a16="http://schemas.microsoft.com/office/drawing/2014/main" id="{00000000-0008-0000-1A00-000011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8388804"/>
          <a:ext cx="0" cy="549275"/>
        </a:xfrm>
        <a:prstGeom prst="rect">
          <a:avLst/>
        </a:prstGeom>
        <a:noFill/>
        <a:ln>
          <a:noFill/>
        </a:ln>
      </xdr:spPr>
    </xdr:pic>
    <xdr:clientData/>
  </xdr:twoCellAnchor>
  <xdr:twoCellAnchor editAs="oneCell">
    <xdr:from>
      <xdr:col>1</xdr:col>
      <xdr:colOff>42863</xdr:colOff>
      <xdr:row>39</xdr:row>
      <xdr:rowOff>123825</xdr:rowOff>
    </xdr:from>
    <xdr:to>
      <xdr:col>1</xdr:col>
      <xdr:colOff>42863</xdr:colOff>
      <xdr:row>46</xdr:row>
      <xdr:rowOff>50325</xdr:rowOff>
    </xdr:to>
    <xdr:pic>
      <xdr:nvPicPr>
        <xdr:cNvPr id="18" name="Picture 6">
          <a:extLst>
            <a:ext uri="{FF2B5EF4-FFF2-40B4-BE49-F238E27FC236}">
              <a16:creationId xmlns:a16="http://schemas.microsoft.com/office/drawing/2014/main" id="{00000000-0008-0000-1A00-000012000000}"/>
            </a:ext>
          </a:extLst>
        </xdr:cNvPr>
        <xdr:cNvPicPr>
          <a:picLocks/>
        </xdr:cNvPicPr>
      </xdr:nvPicPr>
      <xdr:blipFill>
        <a:blip xmlns:r="http://schemas.openxmlformats.org/officeDocument/2006/relationships" r:embed="rId2"/>
        <a:srcRect/>
        <a:stretch>
          <a:fillRect/>
        </a:stretch>
      </xdr:blipFill>
      <xdr:spPr bwMode="auto">
        <a:xfrm>
          <a:off x="147638" y="7858125"/>
          <a:ext cx="0" cy="1326675"/>
        </a:xfrm>
        <a:prstGeom prst="rect">
          <a:avLst/>
        </a:prstGeom>
        <a:noFill/>
        <a:ln w="9525">
          <a:noFill/>
          <a:miter lim="800000"/>
          <a:headEnd/>
          <a:tailEnd/>
        </a:ln>
      </xdr:spPr>
    </xdr:pic>
    <xdr:clientData/>
  </xdr:twoCellAnchor>
  <xdr:twoCellAnchor editAs="oneCell">
    <xdr:from>
      <xdr:col>2</xdr:col>
      <xdr:colOff>263071</xdr:colOff>
      <xdr:row>41</xdr:row>
      <xdr:rowOff>54429</xdr:rowOff>
    </xdr:from>
    <xdr:to>
      <xdr:col>2</xdr:col>
      <xdr:colOff>263071</xdr:colOff>
      <xdr:row>44</xdr:row>
      <xdr:rowOff>3629</xdr:rowOff>
    </xdr:to>
    <xdr:pic>
      <xdr:nvPicPr>
        <xdr:cNvPr id="19" name="Picture 4">
          <a:extLst>
            <a:ext uri="{FF2B5EF4-FFF2-40B4-BE49-F238E27FC236}">
              <a16:creationId xmlns:a16="http://schemas.microsoft.com/office/drawing/2014/main" id="{00000000-0008-0000-1A00-000013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8188779"/>
          <a:ext cx="0" cy="549275"/>
        </a:xfrm>
        <a:prstGeom prst="rect">
          <a:avLst/>
        </a:prstGeom>
        <a:noFill/>
        <a:ln>
          <a:noFill/>
        </a:ln>
      </xdr:spPr>
    </xdr:pic>
    <xdr:clientData/>
  </xdr:twoCellAnchor>
  <xdr:twoCellAnchor editAs="oneCell">
    <xdr:from>
      <xdr:col>1</xdr:col>
      <xdr:colOff>42863</xdr:colOff>
      <xdr:row>38</xdr:row>
      <xdr:rowOff>123825</xdr:rowOff>
    </xdr:from>
    <xdr:to>
      <xdr:col>1</xdr:col>
      <xdr:colOff>42863</xdr:colOff>
      <xdr:row>45</xdr:row>
      <xdr:rowOff>50325</xdr:rowOff>
    </xdr:to>
    <xdr:pic>
      <xdr:nvPicPr>
        <xdr:cNvPr id="20" name="Picture 6">
          <a:extLst>
            <a:ext uri="{FF2B5EF4-FFF2-40B4-BE49-F238E27FC236}">
              <a16:creationId xmlns:a16="http://schemas.microsoft.com/office/drawing/2014/main" id="{00000000-0008-0000-1A00-000014000000}"/>
            </a:ext>
          </a:extLst>
        </xdr:cNvPr>
        <xdr:cNvPicPr>
          <a:picLocks/>
        </xdr:cNvPicPr>
      </xdr:nvPicPr>
      <xdr:blipFill>
        <a:blip xmlns:r="http://schemas.openxmlformats.org/officeDocument/2006/relationships" r:embed="rId2"/>
        <a:srcRect/>
        <a:stretch>
          <a:fillRect/>
        </a:stretch>
      </xdr:blipFill>
      <xdr:spPr bwMode="auto">
        <a:xfrm>
          <a:off x="147638" y="7658100"/>
          <a:ext cx="0" cy="1326675"/>
        </a:xfrm>
        <a:prstGeom prst="rect">
          <a:avLst/>
        </a:prstGeom>
        <a:noFill/>
        <a:ln w="9525">
          <a:noFill/>
          <a:miter lim="800000"/>
          <a:headEnd/>
          <a:tailEnd/>
        </a:ln>
      </xdr:spPr>
    </xdr:pic>
    <xdr:clientData/>
  </xdr:twoCellAnchor>
  <xdr:twoCellAnchor editAs="oneCell">
    <xdr:from>
      <xdr:col>1</xdr:col>
      <xdr:colOff>42863</xdr:colOff>
      <xdr:row>38</xdr:row>
      <xdr:rowOff>123825</xdr:rowOff>
    </xdr:from>
    <xdr:to>
      <xdr:col>1</xdr:col>
      <xdr:colOff>42863</xdr:colOff>
      <xdr:row>45</xdr:row>
      <xdr:rowOff>50325</xdr:rowOff>
    </xdr:to>
    <xdr:pic>
      <xdr:nvPicPr>
        <xdr:cNvPr id="21" name="Picture 6">
          <a:extLst>
            <a:ext uri="{FF2B5EF4-FFF2-40B4-BE49-F238E27FC236}">
              <a16:creationId xmlns:a16="http://schemas.microsoft.com/office/drawing/2014/main" id="{00000000-0008-0000-1A00-000015000000}"/>
            </a:ext>
          </a:extLst>
        </xdr:cNvPr>
        <xdr:cNvPicPr>
          <a:picLocks/>
        </xdr:cNvPicPr>
      </xdr:nvPicPr>
      <xdr:blipFill>
        <a:blip xmlns:r="http://schemas.openxmlformats.org/officeDocument/2006/relationships" r:embed="rId2"/>
        <a:srcRect/>
        <a:stretch>
          <a:fillRect/>
        </a:stretch>
      </xdr:blipFill>
      <xdr:spPr bwMode="auto">
        <a:xfrm>
          <a:off x="147638" y="7658100"/>
          <a:ext cx="0" cy="1326675"/>
        </a:xfrm>
        <a:prstGeom prst="rect">
          <a:avLst/>
        </a:prstGeom>
        <a:noFill/>
        <a:ln w="9525">
          <a:noFill/>
          <a:miter lim="800000"/>
          <a:headEnd/>
          <a:tailEnd/>
        </a:ln>
      </xdr:spPr>
    </xdr:pic>
    <xdr:clientData/>
  </xdr:twoCellAnchor>
  <xdr:twoCellAnchor editAs="oneCell">
    <xdr:from>
      <xdr:col>2</xdr:col>
      <xdr:colOff>263071</xdr:colOff>
      <xdr:row>42</xdr:row>
      <xdr:rowOff>54429</xdr:rowOff>
    </xdr:from>
    <xdr:to>
      <xdr:col>2</xdr:col>
      <xdr:colOff>263071</xdr:colOff>
      <xdr:row>45</xdr:row>
      <xdr:rowOff>3629</xdr:rowOff>
    </xdr:to>
    <xdr:pic>
      <xdr:nvPicPr>
        <xdr:cNvPr id="22" name="Picture 4">
          <a:extLst>
            <a:ext uri="{FF2B5EF4-FFF2-40B4-BE49-F238E27FC236}">
              <a16:creationId xmlns:a16="http://schemas.microsoft.com/office/drawing/2014/main" id="{00000000-0008-0000-1A00-000016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8388804"/>
          <a:ext cx="0" cy="549275"/>
        </a:xfrm>
        <a:prstGeom prst="rect">
          <a:avLst/>
        </a:prstGeom>
        <a:noFill/>
        <a:ln>
          <a:noFill/>
        </a:ln>
      </xdr:spPr>
    </xdr:pic>
    <xdr:clientData/>
  </xdr:twoCellAnchor>
  <xdr:twoCellAnchor editAs="oneCell">
    <xdr:from>
      <xdr:col>1</xdr:col>
      <xdr:colOff>42863</xdr:colOff>
      <xdr:row>39</xdr:row>
      <xdr:rowOff>123825</xdr:rowOff>
    </xdr:from>
    <xdr:to>
      <xdr:col>1</xdr:col>
      <xdr:colOff>42863</xdr:colOff>
      <xdr:row>46</xdr:row>
      <xdr:rowOff>50325</xdr:rowOff>
    </xdr:to>
    <xdr:pic>
      <xdr:nvPicPr>
        <xdr:cNvPr id="23" name="Picture 6">
          <a:extLst>
            <a:ext uri="{FF2B5EF4-FFF2-40B4-BE49-F238E27FC236}">
              <a16:creationId xmlns:a16="http://schemas.microsoft.com/office/drawing/2014/main" id="{00000000-0008-0000-1A00-000017000000}"/>
            </a:ext>
          </a:extLst>
        </xdr:cNvPr>
        <xdr:cNvPicPr>
          <a:picLocks/>
        </xdr:cNvPicPr>
      </xdr:nvPicPr>
      <xdr:blipFill>
        <a:blip xmlns:r="http://schemas.openxmlformats.org/officeDocument/2006/relationships" r:embed="rId2"/>
        <a:srcRect/>
        <a:stretch>
          <a:fillRect/>
        </a:stretch>
      </xdr:blipFill>
      <xdr:spPr bwMode="auto">
        <a:xfrm>
          <a:off x="147638" y="7858125"/>
          <a:ext cx="0" cy="1326675"/>
        </a:xfrm>
        <a:prstGeom prst="rect">
          <a:avLst/>
        </a:prstGeom>
        <a:noFill/>
        <a:ln w="9525">
          <a:noFill/>
          <a:miter lim="800000"/>
          <a:headEnd/>
          <a:tailEnd/>
        </a:ln>
      </xdr:spPr>
    </xdr:pic>
    <xdr:clientData/>
  </xdr:twoCellAnchor>
  <xdr:twoCellAnchor editAs="oneCell">
    <xdr:from>
      <xdr:col>2</xdr:col>
      <xdr:colOff>263071</xdr:colOff>
      <xdr:row>42</xdr:row>
      <xdr:rowOff>54429</xdr:rowOff>
    </xdr:from>
    <xdr:to>
      <xdr:col>2</xdr:col>
      <xdr:colOff>263071</xdr:colOff>
      <xdr:row>45</xdr:row>
      <xdr:rowOff>3629</xdr:rowOff>
    </xdr:to>
    <xdr:pic>
      <xdr:nvPicPr>
        <xdr:cNvPr id="24" name="Picture 4">
          <a:extLst>
            <a:ext uri="{FF2B5EF4-FFF2-40B4-BE49-F238E27FC236}">
              <a16:creationId xmlns:a16="http://schemas.microsoft.com/office/drawing/2014/main" id="{00000000-0008-0000-1A00-000018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8388804"/>
          <a:ext cx="0" cy="549275"/>
        </a:xfrm>
        <a:prstGeom prst="rect">
          <a:avLst/>
        </a:prstGeom>
        <a:noFill/>
        <a:ln>
          <a:noFill/>
        </a:ln>
      </xdr:spPr>
    </xdr:pic>
    <xdr:clientData/>
  </xdr:twoCellAnchor>
  <xdr:twoCellAnchor editAs="oneCell">
    <xdr:from>
      <xdr:col>1</xdr:col>
      <xdr:colOff>42863</xdr:colOff>
      <xdr:row>39</xdr:row>
      <xdr:rowOff>123825</xdr:rowOff>
    </xdr:from>
    <xdr:to>
      <xdr:col>1</xdr:col>
      <xdr:colOff>42863</xdr:colOff>
      <xdr:row>46</xdr:row>
      <xdr:rowOff>50325</xdr:rowOff>
    </xdr:to>
    <xdr:pic>
      <xdr:nvPicPr>
        <xdr:cNvPr id="25" name="Picture 6">
          <a:extLst>
            <a:ext uri="{FF2B5EF4-FFF2-40B4-BE49-F238E27FC236}">
              <a16:creationId xmlns:a16="http://schemas.microsoft.com/office/drawing/2014/main" id="{00000000-0008-0000-1A00-000019000000}"/>
            </a:ext>
          </a:extLst>
        </xdr:cNvPr>
        <xdr:cNvPicPr>
          <a:picLocks/>
        </xdr:cNvPicPr>
      </xdr:nvPicPr>
      <xdr:blipFill>
        <a:blip xmlns:r="http://schemas.openxmlformats.org/officeDocument/2006/relationships" r:embed="rId2"/>
        <a:srcRect/>
        <a:stretch>
          <a:fillRect/>
        </a:stretch>
      </xdr:blipFill>
      <xdr:spPr bwMode="auto">
        <a:xfrm>
          <a:off x="147638" y="7858125"/>
          <a:ext cx="0" cy="1326675"/>
        </a:xfrm>
        <a:prstGeom prst="rect">
          <a:avLst/>
        </a:prstGeom>
        <a:noFill/>
        <a:ln w="9525">
          <a:noFill/>
          <a:miter lim="800000"/>
          <a:headEnd/>
          <a:tailEnd/>
        </a:ln>
      </xdr:spPr>
    </xdr:pic>
    <xdr:clientData/>
  </xdr:twoCellAnchor>
  <xdr:twoCellAnchor editAs="oneCell">
    <xdr:from>
      <xdr:col>2</xdr:col>
      <xdr:colOff>263071</xdr:colOff>
      <xdr:row>42</xdr:row>
      <xdr:rowOff>54429</xdr:rowOff>
    </xdr:from>
    <xdr:to>
      <xdr:col>2</xdr:col>
      <xdr:colOff>263071</xdr:colOff>
      <xdr:row>45</xdr:row>
      <xdr:rowOff>3629</xdr:rowOff>
    </xdr:to>
    <xdr:pic>
      <xdr:nvPicPr>
        <xdr:cNvPr id="26" name="Picture 4">
          <a:extLst>
            <a:ext uri="{FF2B5EF4-FFF2-40B4-BE49-F238E27FC236}">
              <a16:creationId xmlns:a16="http://schemas.microsoft.com/office/drawing/2014/main" id="{00000000-0008-0000-1A00-00001A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8388804"/>
          <a:ext cx="0" cy="549275"/>
        </a:xfrm>
        <a:prstGeom prst="rect">
          <a:avLst/>
        </a:prstGeom>
        <a:noFill/>
        <a:ln>
          <a:noFill/>
        </a:ln>
      </xdr:spPr>
    </xdr:pic>
    <xdr:clientData/>
  </xdr:twoCellAnchor>
  <xdr:twoCellAnchor editAs="oneCell">
    <xdr:from>
      <xdr:col>1</xdr:col>
      <xdr:colOff>42863</xdr:colOff>
      <xdr:row>39</xdr:row>
      <xdr:rowOff>123825</xdr:rowOff>
    </xdr:from>
    <xdr:to>
      <xdr:col>1</xdr:col>
      <xdr:colOff>42863</xdr:colOff>
      <xdr:row>46</xdr:row>
      <xdr:rowOff>50325</xdr:rowOff>
    </xdr:to>
    <xdr:pic>
      <xdr:nvPicPr>
        <xdr:cNvPr id="27" name="Picture 6">
          <a:extLst>
            <a:ext uri="{FF2B5EF4-FFF2-40B4-BE49-F238E27FC236}">
              <a16:creationId xmlns:a16="http://schemas.microsoft.com/office/drawing/2014/main" id="{00000000-0008-0000-1A00-00001B000000}"/>
            </a:ext>
          </a:extLst>
        </xdr:cNvPr>
        <xdr:cNvPicPr>
          <a:picLocks/>
        </xdr:cNvPicPr>
      </xdr:nvPicPr>
      <xdr:blipFill>
        <a:blip xmlns:r="http://schemas.openxmlformats.org/officeDocument/2006/relationships" r:embed="rId2"/>
        <a:srcRect/>
        <a:stretch>
          <a:fillRect/>
        </a:stretch>
      </xdr:blipFill>
      <xdr:spPr bwMode="auto">
        <a:xfrm>
          <a:off x="147638" y="7858125"/>
          <a:ext cx="0" cy="1326675"/>
        </a:xfrm>
        <a:prstGeom prst="rect">
          <a:avLst/>
        </a:prstGeom>
        <a:noFill/>
        <a:ln w="9525">
          <a:noFill/>
          <a:miter lim="800000"/>
          <a:headEnd/>
          <a:tailEnd/>
        </a:ln>
      </xdr:spPr>
    </xdr:pic>
    <xdr:clientData/>
  </xdr:twoCellAnchor>
  <xdr:twoCellAnchor editAs="oneCell">
    <xdr:from>
      <xdr:col>2</xdr:col>
      <xdr:colOff>263071</xdr:colOff>
      <xdr:row>41</xdr:row>
      <xdr:rowOff>54429</xdr:rowOff>
    </xdr:from>
    <xdr:to>
      <xdr:col>2</xdr:col>
      <xdr:colOff>263071</xdr:colOff>
      <xdr:row>44</xdr:row>
      <xdr:rowOff>3629</xdr:rowOff>
    </xdr:to>
    <xdr:pic>
      <xdr:nvPicPr>
        <xdr:cNvPr id="28" name="Picture 4">
          <a:extLst>
            <a:ext uri="{FF2B5EF4-FFF2-40B4-BE49-F238E27FC236}">
              <a16:creationId xmlns:a16="http://schemas.microsoft.com/office/drawing/2014/main" id="{00000000-0008-0000-1A00-00001C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8188779"/>
          <a:ext cx="0" cy="549275"/>
        </a:xfrm>
        <a:prstGeom prst="rect">
          <a:avLst/>
        </a:prstGeom>
        <a:noFill/>
        <a:ln>
          <a:noFill/>
        </a:ln>
      </xdr:spPr>
    </xdr:pic>
    <xdr:clientData/>
  </xdr:twoCellAnchor>
  <xdr:twoCellAnchor editAs="oneCell">
    <xdr:from>
      <xdr:col>1</xdr:col>
      <xdr:colOff>42863</xdr:colOff>
      <xdr:row>38</xdr:row>
      <xdr:rowOff>123825</xdr:rowOff>
    </xdr:from>
    <xdr:to>
      <xdr:col>1</xdr:col>
      <xdr:colOff>42863</xdr:colOff>
      <xdr:row>45</xdr:row>
      <xdr:rowOff>50325</xdr:rowOff>
    </xdr:to>
    <xdr:pic>
      <xdr:nvPicPr>
        <xdr:cNvPr id="29" name="Picture 6">
          <a:extLst>
            <a:ext uri="{FF2B5EF4-FFF2-40B4-BE49-F238E27FC236}">
              <a16:creationId xmlns:a16="http://schemas.microsoft.com/office/drawing/2014/main" id="{00000000-0008-0000-1A00-00001D000000}"/>
            </a:ext>
          </a:extLst>
        </xdr:cNvPr>
        <xdr:cNvPicPr>
          <a:picLocks/>
        </xdr:cNvPicPr>
      </xdr:nvPicPr>
      <xdr:blipFill>
        <a:blip xmlns:r="http://schemas.openxmlformats.org/officeDocument/2006/relationships" r:embed="rId2"/>
        <a:srcRect/>
        <a:stretch>
          <a:fillRect/>
        </a:stretch>
      </xdr:blipFill>
      <xdr:spPr bwMode="auto">
        <a:xfrm>
          <a:off x="147638" y="7658100"/>
          <a:ext cx="0" cy="1326675"/>
        </a:xfrm>
        <a:prstGeom prst="rect">
          <a:avLst/>
        </a:prstGeom>
        <a:noFill/>
        <a:ln w="9525">
          <a:noFill/>
          <a:miter lim="800000"/>
          <a:headEnd/>
          <a:tailEnd/>
        </a:ln>
      </xdr:spPr>
    </xdr:pic>
    <xdr:clientData/>
  </xdr:twoCellAnchor>
  <xdr:twoCellAnchor editAs="oneCell">
    <xdr:from>
      <xdr:col>1</xdr:col>
      <xdr:colOff>42863</xdr:colOff>
      <xdr:row>38</xdr:row>
      <xdr:rowOff>123825</xdr:rowOff>
    </xdr:from>
    <xdr:to>
      <xdr:col>1</xdr:col>
      <xdr:colOff>42863</xdr:colOff>
      <xdr:row>45</xdr:row>
      <xdr:rowOff>50325</xdr:rowOff>
    </xdr:to>
    <xdr:pic>
      <xdr:nvPicPr>
        <xdr:cNvPr id="30" name="Picture 6">
          <a:extLst>
            <a:ext uri="{FF2B5EF4-FFF2-40B4-BE49-F238E27FC236}">
              <a16:creationId xmlns:a16="http://schemas.microsoft.com/office/drawing/2014/main" id="{00000000-0008-0000-1A00-00001E000000}"/>
            </a:ext>
          </a:extLst>
        </xdr:cNvPr>
        <xdr:cNvPicPr>
          <a:picLocks/>
        </xdr:cNvPicPr>
      </xdr:nvPicPr>
      <xdr:blipFill>
        <a:blip xmlns:r="http://schemas.openxmlformats.org/officeDocument/2006/relationships" r:embed="rId2"/>
        <a:srcRect/>
        <a:stretch>
          <a:fillRect/>
        </a:stretch>
      </xdr:blipFill>
      <xdr:spPr bwMode="auto">
        <a:xfrm>
          <a:off x="147638" y="7658100"/>
          <a:ext cx="0" cy="1326675"/>
        </a:xfrm>
        <a:prstGeom prst="rect">
          <a:avLst/>
        </a:prstGeom>
        <a:noFill/>
        <a:ln w="9525">
          <a:noFill/>
          <a:miter lim="800000"/>
          <a:headEnd/>
          <a:tailEnd/>
        </a:ln>
      </xdr:spPr>
    </xdr:pic>
    <xdr:clientData/>
  </xdr:twoCellAnchor>
  <xdr:oneCellAnchor>
    <xdr:from>
      <xdr:col>1</xdr:col>
      <xdr:colOff>85725</xdr:colOff>
      <xdr:row>0</xdr:row>
      <xdr:rowOff>85726</xdr:rowOff>
    </xdr:from>
    <xdr:ext cx="1543050" cy="1531218"/>
    <xdr:pic>
      <xdr:nvPicPr>
        <xdr:cNvPr id="31" name="Picture 30">
          <a:extLst>
            <a:ext uri="{FF2B5EF4-FFF2-40B4-BE49-F238E27FC236}">
              <a16:creationId xmlns:a16="http://schemas.microsoft.com/office/drawing/2014/main" id="{00000000-0008-0000-1A00-00001F000000}"/>
            </a:ext>
          </a:extLst>
        </xdr:cNvPr>
        <xdr:cNvPicPr>
          <a:picLocks noChangeAspect="1"/>
        </xdr:cNvPicPr>
      </xdr:nvPicPr>
      <xdr:blipFill>
        <a:blip xmlns:r="http://schemas.openxmlformats.org/officeDocument/2006/relationships" r:embed="rId3"/>
        <a:stretch>
          <a:fillRect/>
        </a:stretch>
      </xdr:blipFill>
      <xdr:spPr>
        <a:xfrm>
          <a:off x="190500" y="85726"/>
          <a:ext cx="1543050" cy="1531218"/>
        </a:xfrm>
        <a:prstGeom prst="rect">
          <a:avLst/>
        </a:prstGeom>
      </xdr:spPr>
    </xdr:pic>
    <xdr:clientData/>
  </xdr:oneCellAnchor>
  <xdr:twoCellAnchor editAs="oneCell">
    <xdr:from>
      <xdr:col>2</xdr:col>
      <xdr:colOff>263071</xdr:colOff>
      <xdr:row>41</xdr:row>
      <xdr:rowOff>54429</xdr:rowOff>
    </xdr:from>
    <xdr:to>
      <xdr:col>2</xdr:col>
      <xdr:colOff>263071</xdr:colOff>
      <xdr:row>44</xdr:row>
      <xdr:rowOff>3629</xdr:rowOff>
    </xdr:to>
    <xdr:pic>
      <xdr:nvPicPr>
        <xdr:cNvPr id="32" name="Picture 4">
          <a:extLst>
            <a:ext uri="{FF2B5EF4-FFF2-40B4-BE49-F238E27FC236}">
              <a16:creationId xmlns:a16="http://schemas.microsoft.com/office/drawing/2014/main" id="{00000000-0008-0000-1A00-000020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8188779"/>
          <a:ext cx="0" cy="549275"/>
        </a:xfrm>
        <a:prstGeom prst="rect">
          <a:avLst/>
        </a:prstGeom>
        <a:noFill/>
        <a:ln>
          <a:noFill/>
        </a:ln>
      </xdr:spPr>
    </xdr:pic>
    <xdr:clientData/>
  </xdr:twoCellAnchor>
  <xdr:twoCellAnchor editAs="oneCell">
    <xdr:from>
      <xdr:col>1</xdr:col>
      <xdr:colOff>42863</xdr:colOff>
      <xdr:row>38</xdr:row>
      <xdr:rowOff>123825</xdr:rowOff>
    </xdr:from>
    <xdr:to>
      <xdr:col>1</xdr:col>
      <xdr:colOff>42863</xdr:colOff>
      <xdr:row>45</xdr:row>
      <xdr:rowOff>50325</xdr:rowOff>
    </xdr:to>
    <xdr:pic>
      <xdr:nvPicPr>
        <xdr:cNvPr id="33" name="Picture 6">
          <a:extLst>
            <a:ext uri="{FF2B5EF4-FFF2-40B4-BE49-F238E27FC236}">
              <a16:creationId xmlns:a16="http://schemas.microsoft.com/office/drawing/2014/main" id="{00000000-0008-0000-1A00-000021000000}"/>
            </a:ext>
          </a:extLst>
        </xdr:cNvPr>
        <xdr:cNvPicPr>
          <a:picLocks/>
        </xdr:cNvPicPr>
      </xdr:nvPicPr>
      <xdr:blipFill>
        <a:blip xmlns:r="http://schemas.openxmlformats.org/officeDocument/2006/relationships" r:embed="rId2"/>
        <a:srcRect/>
        <a:stretch>
          <a:fillRect/>
        </a:stretch>
      </xdr:blipFill>
      <xdr:spPr bwMode="auto">
        <a:xfrm>
          <a:off x="147638" y="7658100"/>
          <a:ext cx="0" cy="1326675"/>
        </a:xfrm>
        <a:prstGeom prst="rect">
          <a:avLst/>
        </a:prstGeom>
        <a:noFill/>
        <a:ln w="9525">
          <a:noFill/>
          <a:miter lim="800000"/>
          <a:headEnd/>
          <a:tailEnd/>
        </a:ln>
      </xdr:spPr>
    </xdr:pic>
    <xdr:clientData/>
  </xdr:twoCellAnchor>
  <xdr:oneCellAnchor>
    <xdr:from>
      <xdr:col>1</xdr:col>
      <xdr:colOff>85725</xdr:colOff>
      <xdr:row>0</xdr:row>
      <xdr:rowOff>85726</xdr:rowOff>
    </xdr:from>
    <xdr:ext cx="1543050" cy="1531218"/>
    <xdr:pic>
      <xdr:nvPicPr>
        <xdr:cNvPr id="34" name="Picture 33">
          <a:extLst>
            <a:ext uri="{FF2B5EF4-FFF2-40B4-BE49-F238E27FC236}">
              <a16:creationId xmlns:a16="http://schemas.microsoft.com/office/drawing/2014/main" id="{00000000-0008-0000-1A00-000022000000}"/>
            </a:ext>
          </a:extLst>
        </xdr:cNvPr>
        <xdr:cNvPicPr>
          <a:picLocks noChangeAspect="1"/>
        </xdr:cNvPicPr>
      </xdr:nvPicPr>
      <xdr:blipFill>
        <a:blip xmlns:r="http://schemas.openxmlformats.org/officeDocument/2006/relationships" r:embed="rId3"/>
        <a:stretch>
          <a:fillRect/>
        </a:stretch>
      </xdr:blipFill>
      <xdr:spPr>
        <a:xfrm>
          <a:off x="190500" y="85726"/>
          <a:ext cx="1543050" cy="1531218"/>
        </a:xfrm>
        <a:prstGeom prst="rect">
          <a:avLst/>
        </a:prstGeom>
      </xdr:spPr>
    </xdr:pic>
    <xdr:clientData/>
  </xdr:oneCellAnchor>
  <xdr:twoCellAnchor editAs="oneCell">
    <xdr:from>
      <xdr:col>1</xdr:col>
      <xdr:colOff>42863</xdr:colOff>
      <xdr:row>38</xdr:row>
      <xdr:rowOff>123825</xdr:rowOff>
    </xdr:from>
    <xdr:to>
      <xdr:col>1</xdr:col>
      <xdr:colOff>42863</xdr:colOff>
      <xdr:row>45</xdr:row>
      <xdr:rowOff>50325</xdr:rowOff>
    </xdr:to>
    <xdr:pic>
      <xdr:nvPicPr>
        <xdr:cNvPr id="35" name="Picture 6">
          <a:extLst>
            <a:ext uri="{FF2B5EF4-FFF2-40B4-BE49-F238E27FC236}">
              <a16:creationId xmlns:a16="http://schemas.microsoft.com/office/drawing/2014/main" id="{00000000-0008-0000-1A00-000023000000}"/>
            </a:ext>
          </a:extLst>
        </xdr:cNvPr>
        <xdr:cNvPicPr>
          <a:picLocks/>
        </xdr:cNvPicPr>
      </xdr:nvPicPr>
      <xdr:blipFill>
        <a:blip xmlns:r="http://schemas.openxmlformats.org/officeDocument/2006/relationships" r:embed="rId2"/>
        <a:srcRect/>
        <a:stretch>
          <a:fillRect/>
        </a:stretch>
      </xdr:blipFill>
      <xdr:spPr bwMode="auto">
        <a:xfrm>
          <a:off x="147638" y="7658100"/>
          <a:ext cx="0" cy="1326675"/>
        </a:xfrm>
        <a:prstGeom prst="rect">
          <a:avLst/>
        </a:prstGeom>
        <a:noFill/>
        <a:ln w="9525">
          <a:noFill/>
          <a:miter lim="800000"/>
          <a:headEnd/>
          <a:tailEnd/>
        </a:ln>
      </xdr:spPr>
    </xdr:pic>
    <xdr:clientData/>
  </xdr:twoCellAnchor>
  <xdr:twoCellAnchor>
    <xdr:from>
      <xdr:col>13</xdr:col>
      <xdr:colOff>38100</xdr:colOff>
      <xdr:row>1</xdr:row>
      <xdr:rowOff>28575</xdr:rowOff>
    </xdr:from>
    <xdr:to>
      <xdr:col>15</xdr:col>
      <xdr:colOff>428625</xdr:colOff>
      <xdr:row>5</xdr:row>
      <xdr:rowOff>28575</xdr:rowOff>
    </xdr:to>
    <xdr:sp macro="[0]!Home" textlink="">
      <xdr:nvSpPr>
        <xdr:cNvPr id="36" name="Arrow: Left 35">
          <a:extLst>
            <a:ext uri="{FF2B5EF4-FFF2-40B4-BE49-F238E27FC236}">
              <a16:creationId xmlns:a16="http://schemas.microsoft.com/office/drawing/2014/main" id="{00000000-0008-0000-1A00-000024000000}"/>
            </a:ext>
          </a:extLst>
        </xdr:cNvPr>
        <xdr:cNvSpPr/>
      </xdr:nvSpPr>
      <xdr:spPr>
        <a:xfrm>
          <a:off x="7686675" y="123825"/>
          <a:ext cx="1114425" cy="800100"/>
        </a:xfrm>
        <a:prstGeom prst="leftArrow">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800">
              <a:latin typeface="Times New Roman" panose="02020603050405020304" pitchFamily="18" charset="0"/>
              <a:cs typeface="Times New Roman" panose="02020603050405020304" pitchFamily="18" charset="0"/>
            </a:rPr>
            <a:t>HOME</a:t>
          </a:r>
        </a:p>
      </xdr:txBody>
    </xdr:sp>
    <xdr:clientData/>
  </xdr:twoCellAnchor>
  <xdr:twoCellAnchor editAs="oneCell">
    <xdr:from>
      <xdr:col>2</xdr:col>
      <xdr:colOff>172583</xdr:colOff>
      <xdr:row>41</xdr:row>
      <xdr:rowOff>16329</xdr:rowOff>
    </xdr:from>
    <xdr:to>
      <xdr:col>4</xdr:col>
      <xdr:colOff>1137783</xdr:colOff>
      <xdr:row>43</xdr:row>
      <xdr:rowOff>136979</xdr:rowOff>
    </xdr:to>
    <xdr:pic>
      <xdr:nvPicPr>
        <xdr:cNvPr id="37" name="Picture 4">
          <a:extLst>
            <a:ext uri="{FF2B5EF4-FFF2-40B4-BE49-F238E27FC236}">
              <a16:creationId xmlns:a16="http://schemas.microsoft.com/office/drawing/2014/main" id="{00000000-0008-0000-1A00-000025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534533" y="8150679"/>
          <a:ext cx="2155825" cy="520700"/>
        </a:xfrm>
        <a:prstGeom prst="rect">
          <a:avLst/>
        </a:prstGeom>
        <a:noFill/>
        <a:ln>
          <a:noFill/>
        </a:ln>
      </xdr:spPr>
    </xdr:pic>
    <xdr:clientData/>
  </xdr:twoCellAnchor>
  <xdr:twoCellAnchor editAs="oneCell">
    <xdr:from>
      <xdr:col>1</xdr:col>
      <xdr:colOff>57150</xdr:colOff>
      <xdr:row>39</xdr:row>
      <xdr:rowOff>9525</xdr:rowOff>
    </xdr:from>
    <xdr:to>
      <xdr:col>2</xdr:col>
      <xdr:colOff>1059975</xdr:colOff>
      <xdr:row>45</xdr:row>
      <xdr:rowOff>69375</xdr:rowOff>
    </xdr:to>
    <xdr:pic>
      <xdr:nvPicPr>
        <xdr:cNvPr id="38" name="Picture 6">
          <a:extLst>
            <a:ext uri="{FF2B5EF4-FFF2-40B4-BE49-F238E27FC236}">
              <a16:creationId xmlns:a16="http://schemas.microsoft.com/office/drawing/2014/main" id="{00000000-0008-0000-1A00-000026000000}"/>
            </a:ext>
          </a:extLst>
        </xdr:cNvPr>
        <xdr:cNvPicPr>
          <a:picLocks/>
        </xdr:cNvPicPr>
      </xdr:nvPicPr>
      <xdr:blipFill>
        <a:blip xmlns:r="http://schemas.openxmlformats.org/officeDocument/2006/relationships" r:embed="rId2"/>
        <a:srcRect/>
        <a:stretch>
          <a:fillRect/>
        </a:stretch>
      </xdr:blipFill>
      <xdr:spPr bwMode="auto">
        <a:xfrm>
          <a:off x="161925" y="7743825"/>
          <a:ext cx="1260000" cy="1260000"/>
        </a:xfrm>
        <a:prstGeom prst="rect">
          <a:avLst/>
        </a:prstGeom>
        <a:noFill/>
        <a:ln w="9525">
          <a:noFill/>
          <a:miter lim="800000"/>
          <a:headEnd/>
          <a:tailEnd/>
        </a:ln>
      </xdr:spPr>
    </xdr:pic>
    <xdr:clientData/>
  </xdr:twoCellAnchor>
  <xdr:twoCellAnchor>
    <xdr:from>
      <xdr:col>14</xdr:col>
      <xdr:colOff>161925</xdr:colOff>
      <xdr:row>14</xdr:row>
      <xdr:rowOff>161925</xdr:rowOff>
    </xdr:from>
    <xdr:to>
      <xdr:col>15</xdr:col>
      <xdr:colOff>523875</xdr:colOff>
      <xdr:row>17</xdr:row>
      <xdr:rowOff>47625</xdr:rowOff>
    </xdr:to>
    <xdr:sp macro="[0]!Cetak" textlink="">
      <xdr:nvSpPr>
        <xdr:cNvPr id="40" name="Rectangle: Single Corner Snipped 39">
          <a:extLst>
            <a:ext uri="{FF2B5EF4-FFF2-40B4-BE49-F238E27FC236}">
              <a16:creationId xmlns:a16="http://schemas.microsoft.com/office/drawing/2014/main" id="{00000000-0008-0000-1A00-000028000000}"/>
            </a:ext>
          </a:extLst>
        </xdr:cNvPr>
        <xdr:cNvSpPr/>
      </xdr:nvSpPr>
      <xdr:spPr>
        <a:xfrm>
          <a:off x="7924800" y="2647950"/>
          <a:ext cx="971550" cy="476250"/>
        </a:xfrm>
        <a:prstGeom prst="snip1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600" b="1">
              <a:solidFill>
                <a:schemeClr val="tx1"/>
              </a:solidFill>
              <a:latin typeface="Times New Roman" panose="02020603050405020304" pitchFamily="18" charset="0"/>
              <a:cs typeface="Times New Roman" panose="02020603050405020304" pitchFamily="18" charset="0"/>
            </a:rPr>
            <a:t>CETAK</a:t>
          </a:r>
        </a:p>
      </xdr:txBody>
    </xdr:sp>
    <xdr:clientData/>
  </xdr:twoCellAnchor>
  <xdr:twoCellAnchor>
    <xdr:from>
      <xdr:col>16</xdr:col>
      <xdr:colOff>95251</xdr:colOff>
      <xdr:row>14</xdr:row>
      <xdr:rowOff>161925</xdr:rowOff>
    </xdr:from>
    <xdr:to>
      <xdr:col>17</xdr:col>
      <xdr:colOff>971550</xdr:colOff>
      <xdr:row>17</xdr:row>
      <xdr:rowOff>47625</xdr:rowOff>
    </xdr:to>
    <xdr:sp macro="[0]!PDF" textlink="">
      <xdr:nvSpPr>
        <xdr:cNvPr id="41" name="Rectangle: Single Corner Snipped 40">
          <a:extLst>
            <a:ext uri="{FF2B5EF4-FFF2-40B4-BE49-F238E27FC236}">
              <a16:creationId xmlns:a16="http://schemas.microsoft.com/office/drawing/2014/main" id="{00000000-0008-0000-1A00-000029000000}"/>
            </a:ext>
          </a:extLst>
        </xdr:cNvPr>
        <xdr:cNvSpPr/>
      </xdr:nvSpPr>
      <xdr:spPr>
        <a:xfrm>
          <a:off x="9077326" y="2647950"/>
          <a:ext cx="1038224" cy="476250"/>
        </a:xfrm>
        <a:prstGeom prst="snip1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600" b="1">
              <a:solidFill>
                <a:schemeClr val="tx1"/>
              </a:solidFill>
              <a:latin typeface="Times New Roman" panose="02020603050405020304" pitchFamily="18" charset="0"/>
              <a:cs typeface="Times New Roman" panose="02020603050405020304" pitchFamily="18" charset="0"/>
            </a:rPr>
            <a:t>PDF</a:t>
          </a:r>
        </a:p>
      </xdr:txBody>
    </xdr:sp>
    <xdr:clientData/>
  </xdr:twoCellAnchor>
  <xdr:twoCellAnchor>
    <xdr:from>
      <xdr:col>15</xdr:col>
      <xdr:colOff>66675</xdr:colOff>
      <xdr:row>17</xdr:row>
      <xdr:rowOff>228600</xdr:rowOff>
    </xdr:from>
    <xdr:to>
      <xdr:col>17</xdr:col>
      <xdr:colOff>200025</xdr:colOff>
      <xdr:row>20</xdr:row>
      <xdr:rowOff>66675</xdr:rowOff>
    </xdr:to>
    <xdr:sp macro="[0]!_xludf.SAVE" textlink="">
      <xdr:nvSpPr>
        <xdr:cNvPr id="42" name="Rectangle: Top Corners Snipped 41">
          <a:extLst>
            <a:ext uri="{FF2B5EF4-FFF2-40B4-BE49-F238E27FC236}">
              <a16:creationId xmlns:a16="http://schemas.microsoft.com/office/drawing/2014/main" id="{00000000-0008-0000-1A00-00002A000000}"/>
            </a:ext>
          </a:extLst>
        </xdr:cNvPr>
        <xdr:cNvSpPr/>
      </xdr:nvSpPr>
      <xdr:spPr>
        <a:xfrm>
          <a:off x="8439150" y="3305175"/>
          <a:ext cx="904875" cy="638175"/>
        </a:xfrm>
        <a:prstGeom prst="snip2Same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ctr"/>
          <a:r>
            <a:rPr lang="en-US" sz="1200" b="1">
              <a:solidFill>
                <a:schemeClr val="tx1"/>
              </a:solidFill>
              <a:latin typeface="Times New Roman" panose="02020603050405020304" pitchFamily="18" charset="0"/>
              <a:cs typeface="Times New Roman" panose="02020603050405020304" pitchFamily="18" charset="0"/>
            </a:rPr>
            <a:t>SIMPAN DOKUMEN</a:t>
          </a:r>
        </a:p>
      </xdr:txBody>
    </xdr:sp>
    <xdr:clientData/>
  </xdr:twoCellAnchor>
  <mc:AlternateContent xmlns:mc="http://schemas.openxmlformats.org/markup-compatibility/2006">
    <mc:Choice xmlns:a14="http://schemas.microsoft.com/office/drawing/2010/main" Requires="a14">
      <xdr:twoCellAnchor>
        <xdr:from>
          <xdr:col>14</xdr:col>
          <xdr:colOff>28575</xdr:colOff>
          <xdr:row>8</xdr:row>
          <xdr:rowOff>0</xdr:rowOff>
        </xdr:from>
        <xdr:to>
          <xdr:col>14</xdr:col>
          <xdr:colOff>466725</xdr:colOff>
          <xdr:row>14</xdr:row>
          <xdr:rowOff>19050</xdr:rowOff>
        </xdr:to>
        <xdr:sp macro="" textlink="">
          <xdr:nvSpPr>
            <xdr:cNvPr id="26625" name="Spinner 1" hidden="1">
              <a:extLst>
                <a:ext uri="{63B3BB69-23CF-44E3-9099-C40C66FF867C}">
                  <a14:compatExt spid="_x0000_s26625"/>
                </a:ext>
                <a:ext uri="{FF2B5EF4-FFF2-40B4-BE49-F238E27FC236}">
                  <a16:creationId xmlns:a16="http://schemas.microsoft.com/office/drawing/2014/main" id="{00000000-0008-0000-1A00-0000016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xdr:twoCellAnchor editAs="oneCell">
    <xdr:from>
      <xdr:col>2</xdr:col>
      <xdr:colOff>263071</xdr:colOff>
      <xdr:row>42</xdr:row>
      <xdr:rowOff>54429</xdr:rowOff>
    </xdr:from>
    <xdr:to>
      <xdr:col>2</xdr:col>
      <xdr:colOff>263071</xdr:colOff>
      <xdr:row>45</xdr:row>
      <xdr:rowOff>32204</xdr:rowOff>
    </xdr:to>
    <xdr:pic>
      <xdr:nvPicPr>
        <xdr:cNvPr id="3" name="Picture 4">
          <a:extLst>
            <a:ext uri="{FF2B5EF4-FFF2-40B4-BE49-F238E27FC236}">
              <a16:creationId xmlns:a16="http://schemas.microsoft.com/office/drawing/2014/main" id="{00000000-0008-0000-1B00-000003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9274629"/>
          <a:ext cx="2155825" cy="520700"/>
        </a:xfrm>
        <a:prstGeom prst="rect">
          <a:avLst/>
        </a:prstGeom>
        <a:noFill/>
        <a:ln>
          <a:noFill/>
        </a:ln>
      </xdr:spPr>
    </xdr:pic>
    <xdr:clientData/>
  </xdr:twoCellAnchor>
  <xdr:twoCellAnchor editAs="oneCell">
    <xdr:from>
      <xdr:col>2</xdr:col>
      <xdr:colOff>263071</xdr:colOff>
      <xdr:row>42</xdr:row>
      <xdr:rowOff>54429</xdr:rowOff>
    </xdr:from>
    <xdr:to>
      <xdr:col>2</xdr:col>
      <xdr:colOff>263071</xdr:colOff>
      <xdr:row>45</xdr:row>
      <xdr:rowOff>32204</xdr:rowOff>
    </xdr:to>
    <xdr:pic>
      <xdr:nvPicPr>
        <xdr:cNvPr id="7" name="Picture 4">
          <a:extLst>
            <a:ext uri="{FF2B5EF4-FFF2-40B4-BE49-F238E27FC236}">
              <a16:creationId xmlns:a16="http://schemas.microsoft.com/office/drawing/2014/main" id="{00000000-0008-0000-1B00-000007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9522279"/>
          <a:ext cx="0" cy="549275"/>
        </a:xfrm>
        <a:prstGeom prst="rect">
          <a:avLst/>
        </a:prstGeom>
        <a:noFill/>
        <a:ln>
          <a:noFill/>
        </a:ln>
      </xdr:spPr>
    </xdr:pic>
    <xdr:clientData/>
  </xdr:twoCellAnchor>
  <xdr:twoCellAnchor editAs="oneCell">
    <xdr:from>
      <xdr:col>2</xdr:col>
      <xdr:colOff>263071</xdr:colOff>
      <xdr:row>42</xdr:row>
      <xdr:rowOff>54429</xdr:rowOff>
    </xdr:from>
    <xdr:to>
      <xdr:col>2</xdr:col>
      <xdr:colOff>263071</xdr:colOff>
      <xdr:row>45</xdr:row>
      <xdr:rowOff>32204</xdr:rowOff>
    </xdr:to>
    <xdr:pic>
      <xdr:nvPicPr>
        <xdr:cNvPr id="10" name="Picture 4">
          <a:extLst>
            <a:ext uri="{FF2B5EF4-FFF2-40B4-BE49-F238E27FC236}">
              <a16:creationId xmlns:a16="http://schemas.microsoft.com/office/drawing/2014/main" id="{00000000-0008-0000-1B00-00000A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9522279"/>
          <a:ext cx="0" cy="549275"/>
        </a:xfrm>
        <a:prstGeom prst="rect">
          <a:avLst/>
        </a:prstGeom>
        <a:noFill/>
        <a:ln>
          <a:noFill/>
        </a:ln>
      </xdr:spPr>
    </xdr:pic>
    <xdr:clientData/>
  </xdr:twoCellAnchor>
  <xdr:twoCellAnchor editAs="oneCell">
    <xdr:from>
      <xdr:col>2</xdr:col>
      <xdr:colOff>263071</xdr:colOff>
      <xdr:row>42</xdr:row>
      <xdr:rowOff>54429</xdr:rowOff>
    </xdr:from>
    <xdr:to>
      <xdr:col>2</xdr:col>
      <xdr:colOff>263071</xdr:colOff>
      <xdr:row>45</xdr:row>
      <xdr:rowOff>32204</xdr:rowOff>
    </xdr:to>
    <xdr:pic>
      <xdr:nvPicPr>
        <xdr:cNvPr id="13" name="Picture 4">
          <a:extLst>
            <a:ext uri="{FF2B5EF4-FFF2-40B4-BE49-F238E27FC236}">
              <a16:creationId xmlns:a16="http://schemas.microsoft.com/office/drawing/2014/main" id="{00000000-0008-0000-1B00-00000D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9522279"/>
          <a:ext cx="0" cy="549275"/>
        </a:xfrm>
        <a:prstGeom prst="rect">
          <a:avLst/>
        </a:prstGeom>
        <a:noFill/>
        <a:ln>
          <a:noFill/>
        </a:ln>
      </xdr:spPr>
    </xdr:pic>
    <xdr:clientData/>
  </xdr:twoCellAnchor>
  <xdr:twoCellAnchor editAs="oneCell">
    <xdr:from>
      <xdr:col>2</xdr:col>
      <xdr:colOff>263071</xdr:colOff>
      <xdr:row>41</xdr:row>
      <xdr:rowOff>54429</xdr:rowOff>
    </xdr:from>
    <xdr:to>
      <xdr:col>2</xdr:col>
      <xdr:colOff>263071</xdr:colOff>
      <xdr:row>44</xdr:row>
      <xdr:rowOff>32204</xdr:rowOff>
    </xdr:to>
    <xdr:pic>
      <xdr:nvPicPr>
        <xdr:cNvPr id="17" name="Picture 4">
          <a:extLst>
            <a:ext uri="{FF2B5EF4-FFF2-40B4-BE49-F238E27FC236}">
              <a16:creationId xmlns:a16="http://schemas.microsoft.com/office/drawing/2014/main" id="{00000000-0008-0000-1B00-000011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9322254"/>
          <a:ext cx="0" cy="549275"/>
        </a:xfrm>
        <a:prstGeom prst="rect">
          <a:avLst/>
        </a:prstGeom>
        <a:noFill/>
        <a:ln>
          <a:noFill/>
        </a:ln>
      </xdr:spPr>
    </xdr:pic>
    <xdr:clientData/>
  </xdr:twoCellAnchor>
  <xdr:twoCellAnchor editAs="oneCell">
    <xdr:from>
      <xdr:col>2</xdr:col>
      <xdr:colOff>263071</xdr:colOff>
      <xdr:row>42</xdr:row>
      <xdr:rowOff>54429</xdr:rowOff>
    </xdr:from>
    <xdr:to>
      <xdr:col>2</xdr:col>
      <xdr:colOff>263071</xdr:colOff>
      <xdr:row>45</xdr:row>
      <xdr:rowOff>32204</xdr:rowOff>
    </xdr:to>
    <xdr:pic>
      <xdr:nvPicPr>
        <xdr:cNvPr id="24" name="Picture 4">
          <a:extLst>
            <a:ext uri="{FF2B5EF4-FFF2-40B4-BE49-F238E27FC236}">
              <a16:creationId xmlns:a16="http://schemas.microsoft.com/office/drawing/2014/main" id="{00000000-0008-0000-1B00-000018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9541329"/>
          <a:ext cx="0" cy="549275"/>
        </a:xfrm>
        <a:prstGeom prst="rect">
          <a:avLst/>
        </a:prstGeom>
        <a:noFill/>
        <a:ln>
          <a:noFill/>
        </a:ln>
      </xdr:spPr>
    </xdr:pic>
    <xdr:clientData/>
  </xdr:twoCellAnchor>
  <xdr:twoCellAnchor editAs="oneCell">
    <xdr:from>
      <xdr:col>2</xdr:col>
      <xdr:colOff>263071</xdr:colOff>
      <xdr:row>42</xdr:row>
      <xdr:rowOff>54429</xdr:rowOff>
    </xdr:from>
    <xdr:to>
      <xdr:col>2</xdr:col>
      <xdr:colOff>263071</xdr:colOff>
      <xdr:row>45</xdr:row>
      <xdr:rowOff>32204</xdr:rowOff>
    </xdr:to>
    <xdr:pic>
      <xdr:nvPicPr>
        <xdr:cNvPr id="26" name="Picture 4">
          <a:extLst>
            <a:ext uri="{FF2B5EF4-FFF2-40B4-BE49-F238E27FC236}">
              <a16:creationId xmlns:a16="http://schemas.microsoft.com/office/drawing/2014/main" id="{00000000-0008-0000-1B00-00001A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9541329"/>
          <a:ext cx="0" cy="549275"/>
        </a:xfrm>
        <a:prstGeom prst="rect">
          <a:avLst/>
        </a:prstGeom>
        <a:noFill/>
        <a:ln>
          <a:noFill/>
        </a:ln>
      </xdr:spPr>
    </xdr:pic>
    <xdr:clientData/>
  </xdr:twoCellAnchor>
  <xdr:twoCellAnchor editAs="oneCell">
    <xdr:from>
      <xdr:col>2</xdr:col>
      <xdr:colOff>263071</xdr:colOff>
      <xdr:row>42</xdr:row>
      <xdr:rowOff>54429</xdr:rowOff>
    </xdr:from>
    <xdr:to>
      <xdr:col>2</xdr:col>
      <xdr:colOff>263071</xdr:colOff>
      <xdr:row>45</xdr:row>
      <xdr:rowOff>32204</xdr:rowOff>
    </xdr:to>
    <xdr:pic>
      <xdr:nvPicPr>
        <xdr:cNvPr id="28" name="Picture 4">
          <a:extLst>
            <a:ext uri="{FF2B5EF4-FFF2-40B4-BE49-F238E27FC236}">
              <a16:creationId xmlns:a16="http://schemas.microsoft.com/office/drawing/2014/main" id="{00000000-0008-0000-1B00-00001C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9541329"/>
          <a:ext cx="0" cy="549275"/>
        </a:xfrm>
        <a:prstGeom prst="rect">
          <a:avLst/>
        </a:prstGeom>
        <a:noFill/>
        <a:ln>
          <a:noFill/>
        </a:ln>
      </xdr:spPr>
    </xdr:pic>
    <xdr:clientData/>
  </xdr:twoCellAnchor>
  <xdr:twoCellAnchor editAs="oneCell">
    <xdr:from>
      <xdr:col>2</xdr:col>
      <xdr:colOff>263071</xdr:colOff>
      <xdr:row>41</xdr:row>
      <xdr:rowOff>54429</xdr:rowOff>
    </xdr:from>
    <xdr:to>
      <xdr:col>2</xdr:col>
      <xdr:colOff>263071</xdr:colOff>
      <xdr:row>44</xdr:row>
      <xdr:rowOff>32204</xdr:rowOff>
    </xdr:to>
    <xdr:pic>
      <xdr:nvPicPr>
        <xdr:cNvPr id="30" name="Picture 4">
          <a:extLst>
            <a:ext uri="{FF2B5EF4-FFF2-40B4-BE49-F238E27FC236}">
              <a16:creationId xmlns:a16="http://schemas.microsoft.com/office/drawing/2014/main" id="{00000000-0008-0000-1B00-00001E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9341304"/>
          <a:ext cx="0" cy="549275"/>
        </a:xfrm>
        <a:prstGeom prst="rect">
          <a:avLst/>
        </a:prstGeom>
        <a:noFill/>
        <a:ln>
          <a:noFill/>
        </a:ln>
      </xdr:spPr>
    </xdr:pic>
    <xdr:clientData/>
  </xdr:twoCellAnchor>
  <xdr:twoCellAnchor editAs="oneCell">
    <xdr:from>
      <xdr:col>2</xdr:col>
      <xdr:colOff>263071</xdr:colOff>
      <xdr:row>42</xdr:row>
      <xdr:rowOff>54429</xdr:rowOff>
    </xdr:from>
    <xdr:to>
      <xdr:col>2</xdr:col>
      <xdr:colOff>263071</xdr:colOff>
      <xdr:row>45</xdr:row>
      <xdr:rowOff>32204</xdr:rowOff>
    </xdr:to>
    <xdr:pic>
      <xdr:nvPicPr>
        <xdr:cNvPr id="33" name="Picture 4">
          <a:extLst>
            <a:ext uri="{FF2B5EF4-FFF2-40B4-BE49-F238E27FC236}">
              <a16:creationId xmlns:a16="http://schemas.microsoft.com/office/drawing/2014/main" id="{00000000-0008-0000-1B00-000021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9541329"/>
          <a:ext cx="0" cy="549275"/>
        </a:xfrm>
        <a:prstGeom prst="rect">
          <a:avLst/>
        </a:prstGeom>
        <a:noFill/>
        <a:ln>
          <a:noFill/>
        </a:ln>
      </xdr:spPr>
    </xdr:pic>
    <xdr:clientData/>
  </xdr:twoCellAnchor>
  <xdr:twoCellAnchor editAs="oneCell">
    <xdr:from>
      <xdr:col>2</xdr:col>
      <xdr:colOff>263071</xdr:colOff>
      <xdr:row>42</xdr:row>
      <xdr:rowOff>54429</xdr:rowOff>
    </xdr:from>
    <xdr:to>
      <xdr:col>2</xdr:col>
      <xdr:colOff>263071</xdr:colOff>
      <xdr:row>45</xdr:row>
      <xdr:rowOff>32204</xdr:rowOff>
    </xdr:to>
    <xdr:pic>
      <xdr:nvPicPr>
        <xdr:cNvPr id="35" name="Picture 4">
          <a:extLst>
            <a:ext uri="{FF2B5EF4-FFF2-40B4-BE49-F238E27FC236}">
              <a16:creationId xmlns:a16="http://schemas.microsoft.com/office/drawing/2014/main" id="{00000000-0008-0000-1B00-000023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9541329"/>
          <a:ext cx="0" cy="549275"/>
        </a:xfrm>
        <a:prstGeom prst="rect">
          <a:avLst/>
        </a:prstGeom>
        <a:noFill/>
        <a:ln>
          <a:noFill/>
        </a:ln>
      </xdr:spPr>
    </xdr:pic>
    <xdr:clientData/>
  </xdr:twoCellAnchor>
  <xdr:twoCellAnchor editAs="oneCell">
    <xdr:from>
      <xdr:col>2</xdr:col>
      <xdr:colOff>263071</xdr:colOff>
      <xdr:row>42</xdr:row>
      <xdr:rowOff>54429</xdr:rowOff>
    </xdr:from>
    <xdr:to>
      <xdr:col>2</xdr:col>
      <xdr:colOff>263071</xdr:colOff>
      <xdr:row>45</xdr:row>
      <xdr:rowOff>32204</xdr:rowOff>
    </xdr:to>
    <xdr:pic>
      <xdr:nvPicPr>
        <xdr:cNvPr id="37" name="Picture 4">
          <a:extLst>
            <a:ext uri="{FF2B5EF4-FFF2-40B4-BE49-F238E27FC236}">
              <a16:creationId xmlns:a16="http://schemas.microsoft.com/office/drawing/2014/main" id="{00000000-0008-0000-1B00-000025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9541329"/>
          <a:ext cx="0" cy="549275"/>
        </a:xfrm>
        <a:prstGeom prst="rect">
          <a:avLst/>
        </a:prstGeom>
        <a:noFill/>
        <a:ln>
          <a:noFill/>
        </a:ln>
      </xdr:spPr>
    </xdr:pic>
    <xdr:clientData/>
  </xdr:twoCellAnchor>
  <xdr:twoCellAnchor editAs="oneCell">
    <xdr:from>
      <xdr:col>2</xdr:col>
      <xdr:colOff>263071</xdr:colOff>
      <xdr:row>41</xdr:row>
      <xdr:rowOff>54429</xdr:rowOff>
    </xdr:from>
    <xdr:to>
      <xdr:col>2</xdr:col>
      <xdr:colOff>263071</xdr:colOff>
      <xdr:row>44</xdr:row>
      <xdr:rowOff>32204</xdr:rowOff>
    </xdr:to>
    <xdr:pic>
      <xdr:nvPicPr>
        <xdr:cNvPr id="39" name="Picture 4">
          <a:extLst>
            <a:ext uri="{FF2B5EF4-FFF2-40B4-BE49-F238E27FC236}">
              <a16:creationId xmlns:a16="http://schemas.microsoft.com/office/drawing/2014/main" id="{00000000-0008-0000-1B00-000027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9341304"/>
          <a:ext cx="0" cy="549275"/>
        </a:xfrm>
        <a:prstGeom prst="rect">
          <a:avLst/>
        </a:prstGeom>
        <a:noFill/>
        <a:ln>
          <a:noFill/>
        </a:ln>
      </xdr:spPr>
    </xdr:pic>
    <xdr:clientData/>
  </xdr:twoCellAnchor>
  <xdr:oneCellAnchor>
    <xdr:from>
      <xdr:col>1</xdr:col>
      <xdr:colOff>85725</xdr:colOff>
      <xdr:row>0</xdr:row>
      <xdr:rowOff>85726</xdr:rowOff>
    </xdr:from>
    <xdr:ext cx="1543050" cy="1531218"/>
    <xdr:pic>
      <xdr:nvPicPr>
        <xdr:cNvPr id="42" name="Picture 41">
          <a:extLst>
            <a:ext uri="{FF2B5EF4-FFF2-40B4-BE49-F238E27FC236}">
              <a16:creationId xmlns:a16="http://schemas.microsoft.com/office/drawing/2014/main" id="{00000000-0008-0000-1B00-00002A000000}"/>
            </a:ext>
          </a:extLst>
        </xdr:cNvPr>
        <xdr:cNvPicPr>
          <a:picLocks noChangeAspect="1"/>
        </xdr:cNvPicPr>
      </xdr:nvPicPr>
      <xdr:blipFill>
        <a:blip xmlns:r="http://schemas.openxmlformats.org/officeDocument/2006/relationships" r:embed="rId2"/>
        <a:stretch>
          <a:fillRect/>
        </a:stretch>
      </xdr:blipFill>
      <xdr:spPr>
        <a:xfrm>
          <a:off x="190500" y="85726"/>
          <a:ext cx="1543050" cy="1531218"/>
        </a:xfrm>
        <a:prstGeom prst="rect">
          <a:avLst/>
        </a:prstGeom>
      </xdr:spPr>
    </xdr:pic>
    <xdr:clientData/>
  </xdr:oneCellAnchor>
  <xdr:twoCellAnchor editAs="oneCell">
    <xdr:from>
      <xdr:col>2</xdr:col>
      <xdr:colOff>263071</xdr:colOff>
      <xdr:row>41</xdr:row>
      <xdr:rowOff>54429</xdr:rowOff>
    </xdr:from>
    <xdr:to>
      <xdr:col>2</xdr:col>
      <xdr:colOff>263071</xdr:colOff>
      <xdr:row>44</xdr:row>
      <xdr:rowOff>32204</xdr:rowOff>
    </xdr:to>
    <xdr:pic>
      <xdr:nvPicPr>
        <xdr:cNvPr id="43" name="Picture 4">
          <a:extLst>
            <a:ext uri="{FF2B5EF4-FFF2-40B4-BE49-F238E27FC236}">
              <a16:creationId xmlns:a16="http://schemas.microsoft.com/office/drawing/2014/main" id="{00000000-0008-0000-1B00-00002B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9341304"/>
          <a:ext cx="0" cy="549275"/>
        </a:xfrm>
        <a:prstGeom prst="rect">
          <a:avLst/>
        </a:prstGeom>
        <a:noFill/>
        <a:ln>
          <a:noFill/>
        </a:ln>
      </xdr:spPr>
    </xdr:pic>
    <xdr:clientData/>
  </xdr:twoCellAnchor>
  <xdr:oneCellAnchor>
    <xdr:from>
      <xdr:col>1</xdr:col>
      <xdr:colOff>85725</xdr:colOff>
      <xdr:row>0</xdr:row>
      <xdr:rowOff>85726</xdr:rowOff>
    </xdr:from>
    <xdr:ext cx="1543050" cy="1531218"/>
    <xdr:pic>
      <xdr:nvPicPr>
        <xdr:cNvPr id="45" name="Picture 44">
          <a:extLst>
            <a:ext uri="{FF2B5EF4-FFF2-40B4-BE49-F238E27FC236}">
              <a16:creationId xmlns:a16="http://schemas.microsoft.com/office/drawing/2014/main" id="{00000000-0008-0000-1B00-00002D000000}"/>
            </a:ext>
          </a:extLst>
        </xdr:cNvPr>
        <xdr:cNvPicPr>
          <a:picLocks noChangeAspect="1"/>
        </xdr:cNvPicPr>
      </xdr:nvPicPr>
      <xdr:blipFill>
        <a:blip xmlns:r="http://schemas.openxmlformats.org/officeDocument/2006/relationships" r:embed="rId2"/>
        <a:stretch>
          <a:fillRect/>
        </a:stretch>
      </xdr:blipFill>
      <xdr:spPr>
        <a:xfrm>
          <a:off x="190500" y="85726"/>
          <a:ext cx="1543050" cy="1531218"/>
        </a:xfrm>
        <a:prstGeom prst="rect">
          <a:avLst/>
        </a:prstGeom>
      </xdr:spPr>
    </xdr:pic>
    <xdr:clientData/>
  </xdr:oneCellAnchor>
  <xdr:twoCellAnchor>
    <xdr:from>
      <xdr:col>13</xdr:col>
      <xdr:colOff>38100</xdr:colOff>
      <xdr:row>1</xdr:row>
      <xdr:rowOff>28575</xdr:rowOff>
    </xdr:from>
    <xdr:to>
      <xdr:col>15</xdr:col>
      <xdr:colOff>428625</xdr:colOff>
      <xdr:row>5</xdr:row>
      <xdr:rowOff>28575</xdr:rowOff>
    </xdr:to>
    <xdr:sp macro="[0]!Home" textlink="">
      <xdr:nvSpPr>
        <xdr:cNvPr id="47" name="Arrow: Left 46">
          <a:extLst>
            <a:ext uri="{FF2B5EF4-FFF2-40B4-BE49-F238E27FC236}">
              <a16:creationId xmlns:a16="http://schemas.microsoft.com/office/drawing/2014/main" id="{00000000-0008-0000-1B00-00002F000000}"/>
            </a:ext>
          </a:extLst>
        </xdr:cNvPr>
        <xdr:cNvSpPr/>
      </xdr:nvSpPr>
      <xdr:spPr>
        <a:xfrm>
          <a:off x="7515225" y="123825"/>
          <a:ext cx="1114425" cy="800100"/>
        </a:xfrm>
        <a:prstGeom prst="leftArrow">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800">
              <a:latin typeface="Times New Roman" panose="02020603050405020304" pitchFamily="18" charset="0"/>
              <a:cs typeface="Times New Roman" panose="02020603050405020304" pitchFamily="18" charset="0"/>
            </a:rPr>
            <a:t>HOME</a:t>
          </a:r>
        </a:p>
      </xdr:txBody>
    </xdr:sp>
    <xdr:clientData/>
  </xdr:twoCellAnchor>
  <xdr:twoCellAnchor>
    <xdr:from>
      <xdr:col>14</xdr:col>
      <xdr:colOff>161925</xdr:colOff>
      <xdr:row>14</xdr:row>
      <xdr:rowOff>161925</xdr:rowOff>
    </xdr:from>
    <xdr:to>
      <xdr:col>15</xdr:col>
      <xdr:colOff>523875</xdr:colOff>
      <xdr:row>17</xdr:row>
      <xdr:rowOff>47625</xdr:rowOff>
    </xdr:to>
    <xdr:sp macro="[0]!Cetak" textlink="">
      <xdr:nvSpPr>
        <xdr:cNvPr id="50" name="Rectangle: Single Corner Snipped 49">
          <a:extLst>
            <a:ext uri="{FF2B5EF4-FFF2-40B4-BE49-F238E27FC236}">
              <a16:creationId xmlns:a16="http://schemas.microsoft.com/office/drawing/2014/main" id="{00000000-0008-0000-1B00-000032000000}"/>
            </a:ext>
          </a:extLst>
        </xdr:cNvPr>
        <xdr:cNvSpPr/>
      </xdr:nvSpPr>
      <xdr:spPr>
        <a:xfrm>
          <a:off x="7753350" y="2647950"/>
          <a:ext cx="971550" cy="476250"/>
        </a:xfrm>
        <a:prstGeom prst="snip1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600" b="1">
              <a:solidFill>
                <a:schemeClr val="tx1"/>
              </a:solidFill>
              <a:latin typeface="Times New Roman" panose="02020603050405020304" pitchFamily="18" charset="0"/>
              <a:cs typeface="Times New Roman" panose="02020603050405020304" pitchFamily="18" charset="0"/>
            </a:rPr>
            <a:t>CETAK</a:t>
          </a:r>
        </a:p>
      </xdr:txBody>
    </xdr:sp>
    <xdr:clientData/>
  </xdr:twoCellAnchor>
  <xdr:twoCellAnchor>
    <xdr:from>
      <xdr:col>16</xdr:col>
      <xdr:colOff>95251</xdr:colOff>
      <xdr:row>14</xdr:row>
      <xdr:rowOff>161925</xdr:rowOff>
    </xdr:from>
    <xdr:to>
      <xdr:col>17</xdr:col>
      <xdr:colOff>971550</xdr:colOff>
      <xdr:row>17</xdr:row>
      <xdr:rowOff>47625</xdr:rowOff>
    </xdr:to>
    <xdr:sp macro="[0]!PDF" textlink="">
      <xdr:nvSpPr>
        <xdr:cNvPr id="51" name="Rectangle: Single Corner Snipped 50">
          <a:extLst>
            <a:ext uri="{FF2B5EF4-FFF2-40B4-BE49-F238E27FC236}">
              <a16:creationId xmlns:a16="http://schemas.microsoft.com/office/drawing/2014/main" id="{00000000-0008-0000-1B00-000033000000}"/>
            </a:ext>
          </a:extLst>
        </xdr:cNvPr>
        <xdr:cNvSpPr/>
      </xdr:nvSpPr>
      <xdr:spPr>
        <a:xfrm>
          <a:off x="9077326" y="2647950"/>
          <a:ext cx="1038224" cy="476250"/>
        </a:xfrm>
        <a:prstGeom prst="snip1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600" b="1">
              <a:solidFill>
                <a:schemeClr val="tx1"/>
              </a:solidFill>
              <a:latin typeface="Times New Roman" panose="02020603050405020304" pitchFamily="18" charset="0"/>
              <a:cs typeface="Times New Roman" panose="02020603050405020304" pitchFamily="18" charset="0"/>
            </a:rPr>
            <a:t>PDF</a:t>
          </a:r>
        </a:p>
      </xdr:txBody>
    </xdr:sp>
    <xdr:clientData/>
  </xdr:twoCellAnchor>
  <xdr:twoCellAnchor>
    <xdr:from>
      <xdr:col>15</xdr:col>
      <xdr:colOff>66675</xdr:colOff>
      <xdr:row>17</xdr:row>
      <xdr:rowOff>228600</xdr:rowOff>
    </xdr:from>
    <xdr:to>
      <xdr:col>17</xdr:col>
      <xdr:colOff>200025</xdr:colOff>
      <xdr:row>20</xdr:row>
      <xdr:rowOff>66675</xdr:rowOff>
    </xdr:to>
    <xdr:sp macro="[0]!_xludf.SAVE" textlink="">
      <xdr:nvSpPr>
        <xdr:cNvPr id="52" name="Rectangle: Top Corners Snipped 51">
          <a:extLst>
            <a:ext uri="{FF2B5EF4-FFF2-40B4-BE49-F238E27FC236}">
              <a16:creationId xmlns:a16="http://schemas.microsoft.com/office/drawing/2014/main" id="{00000000-0008-0000-1B00-000034000000}"/>
            </a:ext>
          </a:extLst>
        </xdr:cNvPr>
        <xdr:cNvSpPr/>
      </xdr:nvSpPr>
      <xdr:spPr>
        <a:xfrm>
          <a:off x="8267700" y="3305175"/>
          <a:ext cx="1133475" cy="638175"/>
        </a:xfrm>
        <a:prstGeom prst="snip2Same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ctr"/>
          <a:r>
            <a:rPr lang="en-US" sz="1200" b="1">
              <a:solidFill>
                <a:schemeClr val="tx1"/>
              </a:solidFill>
              <a:latin typeface="Times New Roman" panose="02020603050405020304" pitchFamily="18" charset="0"/>
              <a:cs typeface="Times New Roman" panose="02020603050405020304" pitchFamily="18" charset="0"/>
            </a:rPr>
            <a:t>SIMPAN DOKUMEN</a:t>
          </a:r>
        </a:p>
      </xdr:txBody>
    </xdr:sp>
    <xdr:clientData/>
  </xdr:twoCellAnchor>
  <xdr:twoCellAnchor editAs="oneCell">
    <xdr:from>
      <xdr:col>2</xdr:col>
      <xdr:colOff>263071</xdr:colOff>
      <xdr:row>42</xdr:row>
      <xdr:rowOff>54429</xdr:rowOff>
    </xdr:from>
    <xdr:to>
      <xdr:col>2</xdr:col>
      <xdr:colOff>263071</xdr:colOff>
      <xdr:row>45</xdr:row>
      <xdr:rowOff>10772</xdr:rowOff>
    </xdr:to>
    <xdr:pic>
      <xdr:nvPicPr>
        <xdr:cNvPr id="53" name="Picture 4">
          <a:extLst>
            <a:ext uri="{FF2B5EF4-FFF2-40B4-BE49-F238E27FC236}">
              <a16:creationId xmlns:a16="http://schemas.microsoft.com/office/drawing/2014/main" id="{00000000-0008-0000-1B00-000035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8350704"/>
          <a:ext cx="0" cy="556418"/>
        </a:xfrm>
        <a:prstGeom prst="rect">
          <a:avLst/>
        </a:prstGeom>
        <a:noFill/>
        <a:ln>
          <a:noFill/>
        </a:ln>
      </xdr:spPr>
    </xdr:pic>
    <xdr:clientData/>
  </xdr:twoCellAnchor>
  <xdr:twoCellAnchor editAs="oneCell">
    <xdr:from>
      <xdr:col>2</xdr:col>
      <xdr:colOff>263071</xdr:colOff>
      <xdr:row>42</xdr:row>
      <xdr:rowOff>54429</xdr:rowOff>
    </xdr:from>
    <xdr:to>
      <xdr:col>2</xdr:col>
      <xdr:colOff>263071</xdr:colOff>
      <xdr:row>45</xdr:row>
      <xdr:rowOff>10772</xdr:rowOff>
    </xdr:to>
    <xdr:pic>
      <xdr:nvPicPr>
        <xdr:cNvPr id="54" name="Picture 4">
          <a:extLst>
            <a:ext uri="{FF2B5EF4-FFF2-40B4-BE49-F238E27FC236}">
              <a16:creationId xmlns:a16="http://schemas.microsoft.com/office/drawing/2014/main" id="{00000000-0008-0000-1B00-000036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8350704"/>
          <a:ext cx="0" cy="556418"/>
        </a:xfrm>
        <a:prstGeom prst="rect">
          <a:avLst/>
        </a:prstGeom>
        <a:noFill/>
        <a:ln>
          <a:noFill/>
        </a:ln>
      </xdr:spPr>
    </xdr:pic>
    <xdr:clientData/>
  </xdr:twoCellAnchor>
  <xdr:twoCellAnchor editAs="oneCell">
    <xdr:from>
      <xdr:col>2</xdr:col>
      <xdr:colOff>263071</xdr:colOff>
      <xdr:row>42</xdr:row>
      <xdr:rowOff>54429</xdr:rowOff>
    </xdr:from>
    <xdr:to>
      <xdr:col>2</xdr:col>
      <xdr:colOff>263071</xdr:colOff>
      <xdr:row>45</xdr:row>
      <xdr:rowOff>10772</xdr:rowOff>
    </xdr:to>
    <xdr:pic>
      <xdr:nvPicPr>
        <xdr:cNvPr id="55" name="Picture 4">
          <a:extLst>
            <a:ext uri="{FF2B5EF4-FFF2-40B4-BE49-F238E27FC236}">
              <a16:creationId xmlns:a16="http://schemas.microsoft.com/office/drawing/2014/main" id="{00000000-0008-0000-1B00-000037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8350704"/>
          <a:ext cx="0" cy="556418"/>
        </a:xfrm>
        <a:prstGeom prst="rect">
          <a:avLst/>
        </a:prstGeom>
        <a:noFill/>
        <a:ln>
          <a:noFill/>
        </a:ln>
      </xdr:spPr>
    </xdr:pic>
    <xdr:clientData/>
  </xdr:twoCellAnchor>
  <xdr:twoCellAnchor editAs="oneCell">
    <xdr:from>
      <xdr:col>2</xdr:col>
      <xdr:colOff>263071</xdr:colOff>
      <xdr:row>41</xdr:row>
      <xdr:rowOff>54429</xdr:rowOff>
    </xdr:from>
    <xdr:to>
      <xdr:col>2</xdr:col>
      <xdr:colOff>263071</xdr:colOff>
      <xdr:row>44</xdr:row>
      <xdr:rowOff>10773</xdr:rowOff>
    </xdr:to>
    <xdr:pic>
      <xdr:nvPicPr>
        <xdr:cNvPr id="56" name="Picture 4">
          <a:extLst>
            <a:ext uri="{FF2B5EF4-FFF2-40B4-BE49-F238E27FC236}">
              <a16:creationId xmlns:a16="http://schemas.microsoft.com/office/drawing/2014/main" id="{00000000-0008-0000-1B00-000038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8160204"/>
          <a:ext cx="0" cy="556419"/>
        </a:xfrm>
        <a:prstGeom prst="rect">
          <a:avLst/>
        </a:prstGeom>
        <a:noFill/>
        <a:ln>
          <a:noFill/>
        </a:ln>
      </xdr:spPr>
    </xdr:pic>
    <xdr:clientData/>
  </xdr:twoCellAnchor>
  <xdr:twoCellAnchor editAs="oneCell">
    <xdr:from>
      <xdr:col>2</xdr:col>
      <xdr:colOff>263071</xdr:colOff>
      <xdr:row>42</xdr:row>
      <xdr:rowOff>54429</xdr:rowOff>
    </xdr:from>
    <xdr:to>
      <xdr:col>2</xdr:col>
      <xdr:colOff>263071</xdr:colOff>
      <xdr:row>45</xdr:row>
      <xdr:rowOff>10772</xdr:rowOff>
    </xdr:to>
    <xdr:pic>
      <xdr:nvPicPr>
        <xdr:cNvPr id="57" name="Picture 4">
          <a:extLst>
            <a:ext uri="{FF2B5EF4-FFF2-40B4-BE49-F238E27FC236}">
              <a16:creationId xmlns:a16="http://schemas.microsoft.com/office/drawing/2014/main" id="{00000000-0008-0000-1B00-000039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8350704"/>
          <a:ext cx="0" cy="556418"/>
        </a:xfrm>
        <a:prstGeom prst="rect">
          <a:avLst/>
        </a:prstGeom>
        <a:noFill/>
        <a:ln>
          <a:noFill/>
        </a:ln>
      </xdr:spPr>
    </xdr:pic>
    <xdr:clientData/>
  </xdr:twoCellAnchor>
  <xdr:twoCellAnchor editAs="oneCell">
    <xdr:from>
      <xdr:col>2</xdr:col>
      <xdr:colOff>263071</xdr:colOff>
      <xdr:row>42</xdr:row>
      <xdr:rowOff>54429</xdr:rowOff>
    </xdr:from>
    <xdr:to>
      <xdr:col>2</xdr:col>
      <xdr:colOff>263071</xdr:colOff>
      <xdr:row>45</xdr:row>
      <xdr:rowOff>10772</xdr:rowOff>
    </xdr:to>
    <xdr:pic>
      <xdr:nvPicPr>
        <xdr:cNvPr id="58" name="Picture 4">
          <a:extLst>
            <a:ext uri="{FF2B5EF4-FFF2-40B4-BE49-F238E27FC236}">
              <a16:creationId xmlns:a16="http://schemas.microsoft.com/office/drawing/2014/main" id="{00000000-0008-0000-1B00-00003A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8350704"/>
          <a:ext cx="0" cy="556418"/>
        </a:xfrm>
        <a:prstGeom prst="rect">
          <a:avLst/>
        </a:prstGeom>
        <a:noFill/>
        <a:ln>
          <a:noFill/>
        </a:ln>
      </xdr:spPr>
    </xdr:pic>
    <xdr:clientData/>
  </xdr:twoCellAnchor>
  <xdr:twoCellAnchor editAs="oneCell">
    <xdr:from>
      <xdr:col>2</xdr:col>
      <xdr:colOff>263071</xdr:colOff>
      <xdr:row>42</xdr:row>
      <xdr:rowOff>54429</xdr:rowOff>
    </xdr:from>
    <xdr:to>
      <xdr:col>2</xdr:col>
      <xdr:colOff>263071</xdr:colOff>
      <xdr:row>45</xdr:row>
      <xdr:rowOff>10772</xdr:rowOff>
    </xdr:to>
    <xdr:pic>
      <xdr:nvPicPr>
        <xdr:cNvPr id="59" name="Picture 4">
          <a:extLst>
            <a:ext uri="{FF2B5EF4-FFF2-40B4-BE49-F238E27FC236}">
              <a16:creationId xmlns:a16="http://schemas.microsoft.com/office/drawing/2014/main" id="{00000000-0008-0000-1B00-00003B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8350704"/>
          <a:ext cx="0" cy="556418"/>
        </a:xfrm>
        <a:prstGeom prst="rect">
          <a:avLst/>
        </a:prstGeom>
        <a:noFill/>
        <a:ln>
          <a:noFill/>
        </a:ln>
      </xdr:spPr>
    </xdr:pic>
    <xdr:clientData/>
  </xdr:twoCellAnchor>
  <xdr:twoCellAnchor editAs="oneCell">
    <xdr:from>
      <xdr:col>2</xdr:col>
      <xdr:colOff>263071</xdr:colOff>
      <xdr:row>41</xdr:row>
      <xdr:rowOff>54429</xdr:rowOff>
    </xdr:from>
    <xdr:to>
      <xdr:col>2</xdr:col>
      <xdr:colOff>263071</xdr:colOff>
      <xdr:row>44</xdr:row>
      <xdr:rowOff>10773</xdr:rowOff>
    </xdr:to>
    <xdr:pic>
      <xdr:nvPicPr>
        <xdr:cNvPr id="60" name="Picture 4">
          <a:extLst>
            <a:ext uri="{FF2B5EF4-FFF2-40B4-BE49-F238E27FC236}">
              <a16:creationId xmlns:a16="http://schemas.microsoft.com/office/drawing/2014/main" id="{00000000-0008-0000-1B00-00003C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8160204"/>
          <a:ext cx="0" cy="556419"/>
        </a:xfrm>
        <a:prstGeom prst="rect">
          <a:avLst/>
        </a:prstGeom>
        <a:noFill/>
        <a:ln>
          <a:noFill/>
        </a:ln>
      </xdr:spPr>
    </xdr:pic>
    <xdr:clientData/>
  </xdr:twoCellAnchor>
  <xdr:twoCellAnchor editAs="oneCell">
    <xdr:from>
      <xdr:col>2</xdr:col>
      <xdr:colOff>263071</xdr:colOff>
      <xdr:row>41</xdr:row>
      <xdr:rowOff>54429</xdr:rowOff>
    </xdr:from>
    <xdr:to>
      <xdr:col>2</xdr:col>
      <xdr:colOff>263071</xdr:colOff>
      <xdr:row>44</xdr:row>
      <xdr:rowOff>10773</xdr:rowOff>
    </xdr:to>
    <xdr:pic>
      <xdr:nvPicPr>
        <xdr:cNvPr id="61" name="Picture 4">
          <a:extLst>
            <a:ext uri="{FF2B5EF4-FFF2-40B4-BE49-F238E27FC236}">
              <a16:creationId xmlns:a16="http://schemas.microsoft.com/office/drawing/2014/main" id="{00000000-0008-0000-1B00-00003D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8160204"/>
          <a:ext cx="0" cy="556419"/>
        </a:xfrm>
        <a:prstGeom prst="rect">
          <a:avLst/>
        </a:prstGeom>
        <a:noFill/>
        <a:ln>
          <a:noFill/>
        </a:ln>
      </xdr:spPr>
    </xdr:pic>
    <xdr:clientData/>
  </xdr:twoCellAnchor>
  <xdr:twoCellAnchor editAs="oneCell">
    <xdr:from>
      <xdr:col>1</xdr:col>
      <xdr:colOff>42863</xdr:colOff>
      <xdr:row>39</xdr:row>
      <xdr:rowOff>123825</xdr:rowOff>
    </xdr:from>
    <xdr:to>
      <xdr:col>1</xdr:col>
      <xdr:colOff>42863</xdr:colOff>
      <xdr:row>45</xdr:row>
      <xdr:rowOff>126525</xdr:rowOff>
    </xdr:to>
    <xdr:pic>
      <xdr:nvPicPr>
        <xdr:cNvPr id="62" name="Picture 6">
          <a:extLst>
            <a:ext uri="{FF2B5EF4-FFF2-40B4-BE49-F238E27FC236}">
              <a16:creationId xmlns:a16="http://schemas.microsoft.com/office/drawing/2014/main" id="{00000000-0008-0000-1B00-00003E000000}"/>
            </a:ext>
          </a:extLst>
        </xdr:cNvPr>
        <xdr:cNvPicPr>
          <a:picLocks/>
        </xdr:cNvPicPr>
      </xdr:nvPicPr>
      <xdr:blipFill>
        <a:blip xmlns:r="http://schemas.openxmlformats.org/officeDocument/2006/relationships" r:embed="rId3"/>
        <a:srcRect/>
        <a:stretch>
          <a:fillRect/>
        </a:stretch>
      </xdr:blipFill>
      <xdr:spPr bwMode="auto">
        <a:xfrm>
          <a:off x="147638" y="7848600"/>
          <a:ext cx="0" cy="1202850"/>
        </a:xfrm>
        <a:prstGeom prst="rect">
          <a:avLst/>
        </a:prstGeom>
        <a:noFill/>
        <a:ln w="9525">
          <a:noFill/>
          <a:miter lim="800000"/>
          <a:headEnd/>
          <a:tailEnd/>
        </a:ln>
      </xdr:spPr>
    </xdr:pic>
    <xdr:clientData/>
  </xdr:twoCellAnchor>
  <xdr:twoCellAnchor editAs="oneCell">
    <xdr:from>
      <xdr:col>1</xdr:col>
      <xdr:colOff>42863</xdr:colOff>
      <xdr:row>39</xdr:row>
      <xdr:rowOff>123825</xdr:rowOff>
    </xdr:from>
    <xdr:to>
      <xdr:col>1</xdr:col>
      <xdr:colOff>42863</xdr:colOff>
      <xdr:row>45</xdr:row>
      <xdr:rowOff>126525</xdr:rowOff>
    </xdr:to>
    <xdr:pic>
      <xdr:nvPicPr>
        <xdr:cNvPr id="63" name="Picture 6">
          <a:extLst>
            <a:ext uri="{FF2B5EF4-FFF2-40B4-BE49-F238E27FC236}">
              <a16:creationId xmlns:a16="http://schemas.microsoft.com/office/drawing/2014/main" id="{00000000-0008-0000-1B00-00003F000000}"/>
            </a:ext>
          </a:extLst>
        </xdr:cNvPr>
        <xdr:cNvPicPr>
          <a:picLocks/>
        </xdr:cNvPicPr>
      </xdr:nvPicPr>
      <xdr:blipFill>
        <a:blip xmlns:r="http://schemas.openxmlformats.org/officeDocument/2006/relationships" r:embed="rId3"/>
        <a:srcRect/>
        <a:stretch>
          <a:fillRect/>
        </a:stretch>
      </xdr:blipFill>
      <xdr:spPr bwMode="auto">
        <a:xfrm>
          <a:off x="147638" y="7848600"/>
          <a:ext cx="0" cy="1202850"/>
        </a:xfrm>
        <a:prstGeom prst="rect">
          <a:avLst/>
        </a:prstGeom>
        <a:noFill/>
        <a:ln w="9525">
          <a:noFill/>
          <a:miter lim="800000"/>
          <a:headEnd/>
          <a:tailEnd/>
        </a:ln>
      </xdr:spPr>
    </xdr:pic>
    <xdr:clientData/>
  </xdr:twoCellAnchor>
  <xdr:twoCellAnchor editAs="oneCell">
    <xdr:from>
      <xdr:col>2</xdr:col>
      <xdr:colOff>263071</xdr:colOff>
      <xdr:row>58</xdr:row>
      <xdr:rowOff>54429</xdr:rowOff>
    </xdr:from>
    <xdr:to>
      <xdr:col>2</xdr:col>
      <xdr:colOff>263071</xdr:colOff>
      <xdr:row>60</xdr:row>
      <xdr:rowOff>203653</xdr:rowOff>
    </xdr:to>
    <xdr:pic>
      <xdr:nvPicPr>
        <xdr:cNvPr id="64" name="Picture 4">
          <a:extLst>
            <a:ext uri="{FF2B5EF4-FFF2-40B4-BE49-F238E27FC236}">
              <a16:creationId xmlns:a16="http://schemas.microsoft.com/office/drawing/2014/main" id="{00000000-0008-0000-1B00-000040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11455854"/>
          <a:ext cx="0" cy="549274"/>
        </a:xfrm>
        <a:prstGeom prst="rect">
          <a:avLst/>
        </a:prstGeom>
        <a:noFill/>
        <a:ln>
          <a:noFill/>
        </a:ln>
      </xdr:spPr>
    </xdr:pic>
    <xdr:clientData/>
  </xdr:twoCellAnchor>
  <xdr:twoCellAnchor editAs="oneCell">
    <xdr:from>
      <xdr:col>2</xdr:col>
      <xdr:colOff>263071</xdr:colOff>
      <xdr:row>58</xdr:row>
      <xdr:rowOff>54429</xdr:rowOff>
    </xdr:from>
    <xdr:to>
      <xdr:col>2</xdr:col>
      <xdr:colOff>263071</xdr:colOff>
      <xdr:row>60</xdr:row>
      <xdr:rowOff>203653</xdr:rowOff>
    </xdr:to>
    <xdr:pic>
      <xdr:nvPicPr>
        <xdr:cNvPr id="65" name="Picture 4">
          <a:extLst>
            <a:ext uri="{FF2B5EF4-FFF2-40B4-BE49-F238E27FC236}">
              <a16:creationId xmlns:a16="http://schemas.microsoft.com/office/drawing/2014/main" id="{00000000-0008-0000-1B00-000041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11455854"/>
          <a:ext cx="0" cy="549274"/>
        </a:xfrm>
        <a:prstGeom prst="rect">
          <a:avLst/>
        </a:prstGeom>
        <a:noFill/>
        <a:ln>
          <a:noFill/>
        </a:ln>
      </xdr:spPr>
    </xdr:pic>
    <xdr:clientData/>
  </xdr:twoCellAnchor>
  <xdr:twoCellAnchor editAs="oneCell">
    <xdr:from>
      <xdr:col>2</xdr:col>
      <xdr:colOff>263071</xdr:colOff>
      <xdr:row>58</xdr:row>
      <xdr:rowOff>54429</xdr:rowOff>
    </xdr:from>
    <xdr:to>
      <xdr:col>2</xdr:col>
      <xdr:colOff>263071</xdr:colOff>
      <xdr:row>60</xdr:row>
      <xdr:rowOff>203653</xdr:rowOff>
    </xdr:to>
    <xdr:pic>
      <xdr:nvPicPr>
        <xdr:cNvPr id="66" name="Picture 4">
          <a:extLst>
            <a:ext uri="{FF2B5EF4-FFF2-40B4-BE49-F238E27FC236}">
              <a16:creationId xmlns:a16="http://schemas.microsoft.com/office/drawing/2014/main" id="{00000000-0008-0000-1B00-000042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11455854"/>
          <a:ext cx="0" cy="549274"/>
        </a:xfrm>
        <a:prstGeom prst="rect">
          <a:avLst/>
        </a:prstGeom>
        <a:noFill/>
        <a:ln>
          <a:noFill/>
        </a:ln>
      </xdr:spPr>
    </xdr:pic>
    <xdr:clientData/>
  </xdr:twoCellAnchor>
  <xdr:twoCellAnchor editAs="oneCell">
    <xdr:from>
      <xdr:col>2</xdr:col>
      <xdr:colOff>263071</xdr:colOff>
      <xdr:row>58</xdr:row>
      <xdr:rowOff>54429</xdr:rowOff>
    </xdr:from>
    <xdr:to>
      <xdr:col>2</xdr:col>
      <xdr:colOff>263071</xdr:colOff>
      <xdr:row>60</xdr:row>
      <xdr:rowOff>203653</xdr:rowOff>
    </xdr:to>
    <xdr:pic>
      <xdr:nvPicPr>
        <xdr:cNvPr id="67" name="Picture 4">
          <a:extLst>
            <a:ext uri="{FF2B5EF4-FFF2-40B4-BE49-F238E27FC236}">
              <a16:creationId xmlns:a16="http://schemas.microsoft.com/office/drawing/2014/main" id="{00000000-0008-0000-1B00-000043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11455854"/>
          <a:ext cx="0" cy="549274"/>
        </a:xfrm>
        <a:prstGeom prst="rect">
          <a:avLst/>
        </a:prstGeom>
        <a:noFill/>
        <a:ln>
          <a:noFill/>
        </a:ln>
      </xdr:spPr>
    </xdr:pic>
    <xdr:clientData/>
  </xdr:twoCellAnchor>
  <xdr:twoCellAnchor editAs="oneCell">
    <xdr:from>
      <xdr:col>2</xdr:col>
      <xdr:colOff>263071</xdr:colOff>
      <xdr:row>58</xdr:row>
      <xdr:rowOff>54429</xdr:rowOff>
    </xdr:from>
    <xdr:to>
      <xdr:col>2</xdr:col>
      <xdr:colOff>263071</xdr:colOff>
      <xdr:row>60</xdr:row>
      <xdr:rowOff>203653</xdr:rowOff>
    </xdr:to>
    <xdr:pic>
      <xdr:nvPicPr>
        <xdr:cNvPr id="68" name="Picture 4">
          <a:extLst>
            <a:ext uri="{FF2B5EF4-FFF2-40B4-BE49-F238E27FC236}">
              <a16:creationId xmlns:a16="http://schemas.microsoft.com/office/drawing/2014/main" id="{00000000-0008-0000-1B00-000044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11455854"/>
          <a:ext cx="0" cy="549274"/>
        </a:xfrm>
        <a:prstGeom prst="rect">
          <a:avLst/>
        </a:prstGeom>
        <a:noFill/>
        <a:ln>
          <a:noFill/>
        </a:ln>
      </xdr:spPr>
    </xdr:pic>
    <xdr:clientData/>
  </xdr:twoCellAnchor>
  <xdr:twoCellAnchor editAs="oneCell">
    <xdr:from>
      <xdr:col>2</xdr:col>
      <xdr:colOff>263071</xdr:colOff>
      <xdr:row>57</xdr:row>
      <xdr:rowOff>54429</xdr:rowOff>
    </xdr:from>
    <xdr:to>
      <xdr:col>2</xdr:col>
      <xdr:colOff>263071</xdr:colOff>
      <xdr:row>60</xdr:row>
      <xdr:rowOff>3628</xdr:rowOff>
    </xdr:to>
    <xdr:pic>
      <xdr:nvPicPr>
        <xdr:cNvPr id="69" name="Picture 4">
          <a:extLst>
            <a:ext uri="{FF2B5EF4-FFF2-40B4-BE49-F238E27FC236}">
              <a16:creationId xmlns:a16="http://schemas.microsoft.com/office/drawing/2014/main" id="{00000000-0008-0000-1B00-000045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11255829"/>
          <a:ext cx="0" cy="549274"/>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xdr:from>
          <xdr:col>14</xdr:col>
          <xdr:colOff>28575</xdr:colOff>
          <xdr:row>8</xdr:row>
          <xdr:rowOff>0</xdr:rowOff>
        </xdr:from>
        <xdr:to>
          <xdr:col>14</xdr:col>
          <xdr:colOff>466725</xdr:colOff>
          <xdr:row>14</xdr:row>
          <xdr:rowOff>19050</xdr:rowOff>
        </xdr:to>
        <xdr:sp macro="" textlink="">
          <xdr:nvSpPr>
            <xdr:cNvPr id="20481" name="Spinner 1" hidden="1">
              <a:extLst>
                <a:ext uri="{63B3BB69-23CF-44E3-9099-C40C66FF867C}">
                  <a14:compatExt spid="_x0000_s20481"/>
                </a:ext>
                <a:ext uri="{FF2B5EF4-FFF2-40B4-BE49-F238E27FC236}">
                  <a16:creationId xmlns:a16="http://schemas.microsoft.com/office/drawing/2014/main" id="{00000000-0008-0000-1B00-0000015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xdr:oneCellAnchor>
    <xdr:from>
      <xdr:col>1</xdr:col>
      <xdr:colOff>85725</xdr:colOff>
      <xdr:row>0</xdr:row>
      <xdr:rowOff>85726</xdr:rowOff>
    </xdr:from>
    <xdr:ext cx="1543050" cy="1531218"/>
    <xdr:pic>
      <xdr:nvPicPr>
        <xdr:cNvPr id="2" name="Picture 1">
          <a:extLst>
            <a:ext uri="{FF2B5EF4-FFF2-40B4-BE49-F238E27FC236}">
              <a16:creationId xmlns:a16="http://schemas.microsoft.com/office/drawing/2014/main" id="{00000000-0008-0000-1C00-000002000000}"/>
            </a:ext>
          </a:extLst>
        </xdr:cNvPr>
        <xdr:cNvPicPr>
          <a:picLocks noChangeAspect="1"/>
        </xdr:cNvPicPr>
      </xdr:nvPicPr>
      <xdr:blipFill>
        <a:blip xmlns:r="http://schemas.openxmlformats.org/officeDocument/2006/relationships" r:embed="rId1"/>
        <a:stretch>
          <a:fillRect/>
        </a:stretch>
      </xdr:blipFill>
      <xdr:spPr>
        <a:xfrm>
          <a:off x="190500" y="85726"/>
          <a:ext cx="1543050" cy="1531218"/>
        </a:xfrm>
        <a:prstGeom prst="rect">
          <a:avLst/>
        </a:prstGeom>
      </xdr:spPr>
    </xdr:pic>
    <xdr:clientData/>
  </xdr:oneCellAnchor>
  <xdr:twoCellAnchor editAs="oneCell">
    <xdr:from>
      <xdr:col>2</xdr:col>
      <xdr:colOff>263071</xdr:colOff>
      <xdr:row>39</xdr:row>
      <xdr:rowOff>54429</xdr:rowOff>
    </xdr:from>
    <xdr:to>
      <xdr:col>2</xdr:col>
      <xdr:colOff>263071</xdr:colOff>
      <xdr:row>42</xdr:row>
      <xdr:rowOff>3629</xdr:rowOff>
    </xdr:to>
    <xdr:pic>
      <xdr:nvPicPr>
        <xdr:cNvPr id="3" name="Picture 4">
          <a:extLst>
            <a:ext uri="{FF2B5EF4-FFF2-40B4-BE49-F238E27FC236}">
              <a16:creationId xmlns:a16="http://schemas.microsoft.com/office/drawing/2014/main" id="{00000000-0008-0000-1C00-000003000000}"/>
            </a:ext>
          </a:extLst>
        </xdr:cNvPr>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82171" y="12827454"/>
          <a:ext cx="0" cy="549275"/>
        </a:xfrm>
        <a:prstGeom prst="rect">
          <a:avLst/>
        </a:prstGeom>
        <a:noFill/>
        <a:ln>
          <a:noFill/>
        </a:ln>
      </xdr:spPr>
    </xdr:pic>
    <xdr:clientData/>
  </xdr:twoCellAnchor>
  <xdr:oneCellAnchor>
    <xdr:from>
      <xdr:col>1</xdr:col>
      <xdr:colOff>85725</xdr:colOff>
      <xdr:row>0</xdr:row>
      <xdr:rowOff>85726</xdr:rowOff>
    </xdr:from>
    <xdr:ext cx="1543050" cy="1531218"/>
    <xdr:pic>
      <xdr:nvPicPr>
        <xdr:cNvPr id="4" name="Picture 3">
          <a:extLst>
            <a:ext uri="{FF2B5EF4-FFF2-40B4-BE49-F238E27FC236}">
              <a16:creationId xmlns:a16="http://schemas.microsoft.com/office/drawing/2014/main" id="{00000000-0008-0000-1C00-000004000000}"/>
            </a:ext>
          </a:extLst>
        </xdr:cNvPr>
        <xdr:cNvPicPr>
          <a:picLocks noChangeAspect="1"/>
        </xdr:cNvPicPr>
      </xdr:nvPicPr>
      <xdr:blipFill>
        <a:blip xmlns:r="http://schemas.openxmlformats.org/officeDocument/2006/relationships" r:embed="rId1"/>
        <a:stretch>
          <a:fillRect/>
        </a:stretch>
      </xdr:blipFill>
      <xdr:spPr>
        <a:xfrm>
          <a:off x="190500" y="85726"/>
          <a:ext cx="1543050" cy="1531218"/>
        </a:xfrm>
        <a:prstGeom prst="rect">
          <a:avLst/>
        </a:prstGeom>
      </xdr:spPr>
    </xdr:pic>
    <xdr:clientData/>
  </xdr:oneCellAnchor>
  <xdr:twoCellAnchor>
    <xdr:from>
      <xdr:col>13</xdr:col>
      <xdr:colOff>38100</xdr:colOff>
      <xdr:row>1</xdr:row>
      <xdr:rowOff>28575</xdr:rowOff>
    </xdr:from>
    <xdr:to>
      <xdr:col>15</xdr:col>
      <xdr:colOff>428625</xdr:colOff>
      <xdr:row>5</xdr:row>
      <xdr:rowOff>28575</xdr:rowOff>
    </xdr:to>
    <xdr:sp macro="[0]!Home" textlink="">
      <xdr:nvSpPr>
        <xdr:cNvPr id="5" name="Arrow: Left 4">
          <a:extLst>
            <a:ext uri="{FF2B5EF4-FFF2-40B4-BE49-F238E27FC236}">
              <a16:creationId xmlns:a16="http://schemas.microsoft.com/office/drawing/2014/main" id="{00000000-0008-0000-1C00-000005000000}"/>
            </a:ext>
          </a:extLst>
        </xdr:cNvPr>
        <xdr:cNvSpPr/>
      </xdr:nvSpPr>
      <xdr:spPr>
        <a:xfrm>
          <a:off x="7648575" y="123825"/>
          <a:ext cx="1114425" cy="800100"/>
        </a:xfrm>
        <a:prstGeom prst="leftArrow">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800">
              <a:latin typeface="Times New Roman" panose="02020603050405020304" pitchFamily="18" charset="0"/>
              <a:cs typeface="Times New Roman" panose="02020603050405020304" pitchFamily="18" charset="0"/>
            </a:rPr>
            <a:t>HOME</a:t>
          </a:r>
        </a:p>
      </xdr:txBody>
    </xdr:sp>
    <xdr:clientData/>
  </xdr:twoCellAnchor>
  <xdr:twoCellAnchor>
    <xdr:from>
      <xdr:col>14</xdr:col>
      <xdr:colOff>161925</xdr:colOff>
      <xdr:row>14</xdr:row>
      <xdr:rowOff>161925</xdr:rowOff>
    </xdr:from>
    <xdr:to>
      <xdr:col>15</xdr:col>
      <xdr:colOff>523875</xdr:colOff>
      <xdr:row>18</xdr:row>
      <xdr:rowOff>0</xdr:rowOff>
    </xdr:to>
    <xdr:sp macro="[0]!Cetak" textlink="">
      <xdr:nvSpPr>
        <xdr:cNvPr id="7" name="Rectangle: Single Corner Snipped 6">
          <a:extLst>
            <a:ext uri="{FF2B5EF4-FFF2-40B4-BE49-F238E27FC236}">
              <a16:creationId xmlns:a16="http://schemas.microsoft.com/office/drawing/2014/main" id="{00000000-0008-0000-1C00-000007000000}"/>
            </a:ext>
          </a:extLst>
        </xdr:cNvPr>
        <xdr:cNvSpPr/>
      </xdr:nvSpPr>
      <xdr:spPr>
        <a:xfrm>
          <a:off x="7886700" y="2647950"/>
          <a:ext cx="971550" cy="923925"/>
        </a:xfrm>
        <a:prstGeom prst="snip1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600" b="1">
              <a:solidFill>
                <a:schemeClr val="tx1"/>
              </a:solidFill>
              <a:latin typeface="Times New Roman" panose="02020603050405020304" pitchFamily="18" charset="0"/>
              <a:cs typeface="Times New Roman" panose="02020603050405020304" pitchFamily="18" charset="0"/>
            </a:rPr>
            <a:t>CETAK</a:t>
          </a:r>
        </a:p>
      </xdr:txBody>
    </xdr:sp>
    <xdr:clientData/>
  </xdr:twoCellAnchor>
  <xdr:twoCellAnchor>
    <xdr:from>
      <xdr:col>16</xdr:col>
      <xdr:colOff>95250</xdr:colOff>
      <xdr:row>14</xdr:row>
      <xdr:rowOff>161925</xdr:rowOff>
    </xdr:from>
    <xdr:to>
      <xdr:col>17</xdr:col>
      <xdr:colOff>974910</xdr:colOff>
      <xdr:row>18</xdr:row>
      <xdr:rowOff>0</xdr:rowOff>
    </xdr:to>
    <xdr:sp macro="[0]!PDF" textlink="">
      <xdr:nvSpPr>
        <xdr:cNvPr id="8" name="Rectangle: Single Corner Snipped 7">
          <a:extLst>
            <a:ext uri="{FF2B5EF4-FFF2-40B4-BE49-F238E27FC236}">
              <a16:creationId xmlns:a16="http://schemas.microsoft.com/office/drawing/2014/main" id="{00000000-0008-0000-1C00-000008000000}"/>
            </a:ext>
          </a:extLst>
        </xdr:cNvPr>
        <xdr:cNvSpPr/>
      </xdr:nvSpPr>
      <xdr:spPr>
        <a:xfrm>
          <a:off x="9039225" y="2647950"/>
          <a:ext cx="1041585" cy="923925"/>
        </a:xfrm>
        <a:prstGeom prst="snip1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600" b="1">
              <a:solidFill>
                <a:schemeClr val="tx1"/>
              </a:solidFill>
              <a:latin typeface="Times New Roman" panose="02020603050405020304" pitchFamily="18" charset="0"/>
              <a:cs typeface="Times New Roman" panose="02020603050405020304" pitchFamily="18" charset="0"/>
            </a:rPr>
            <a:t>PDF</a:t>
          </a:r>
        </a:p>
      </xdr:txBody>
    </xdr:sp>
    <xdr:clientData/>
  </xdr:twoCellAnchor>
  <xdr:twoCellAnchor>
    <xdr:from>
      <xdr:col>15</xdr:col>
      <xdr:colOff>178734</xdr:colOff>
      <xdr:row>18</xdr:row>
      <xdr:rowOff>201706</xdr:rowOff>
    </xdr:from>
    <xdr:to>
      <xdr:col>17</xdr:col>
      <xdr:colOff>312084</xdr:colOff>
      <xdr:row>19</xdr:row>
      <xdr:rowOff>268381</xdr:rowOff>
    </xdr:to>
    <xdr:sp macro="[0]!_xludf.SAVE" textlink="">
      <xdr:nvSpPr>
        <xdr:cNvPr id="9" name="Rectangle: Top Corners Snipped 8">
          <a:extLst>
            <a:ext uri="{FF2B5EF4-FFF2-40B4-BE49-F238E27FC236}">
              <a16:creationId xmlns:a16="http://schemas.microsoft.com/office/drawing/2014/main" id="{00000000-0008-0000-1C00-000009000000}"/>
            </a:ext>
          </a:extLst>
        </xdr:cNvPr>
        <xdr:cNvSpPr/>
      </xdr:nvSpPr>
      <xdr:spPr>
        <a:xfrm>
          <a:off x="8513109" y="3773581"/>
          <a:ext cx="904875" cy="542925"/>
        </a:xfrm>
        <a:prstGeom prst="snip2Same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ctr"/>
          <a:r>
            <a:rPr lang="en-US" sz="1200" b="1">
              <a:solidFill>
                <a:schemeClr val="tx1"/>
              </a:solidFill>
              <a:latin typeface="Times New Roman" panose="02020603050405020304" pitchFamily="18" charset="0"/>
              <a:cs typeface="Times New Roman" panose="02020603050405020304" pitchFamily="18" charset="0"/>
            </a:rPr>
            <a:t>SIMPAN DOKUMEN</a:t>
          </a:r>
        </a:p>
      </xdr:txBody>
    </xdr:sp>
    <xdr:clientData/>
  </xdr:twoCellAnchor>
  <mc:AlternateContent xmlns:mc="http://schemas.openxmlformats.org/markup-compatibility/2006">
    <mc:Choice xmlns:a14="http://schemas.microsoft.com/office/drawing/2010/main" Requires="a14">
      <xdr:twoCellAnchor>
        <xdr:from>
          <xdr:col>14</xdr:col>
          <xdr:colOff>28575</xdr:colOff>
          <xdr:row>8</xdr:row>
          <xdr:rowOff>0</xdr:rowOff>
        </xdr:from>
        <xdr:to>
          <xdr:col>14</xdr:col>
          <xdr:colOff>466725</xdr:colOff>
          <xdr:row>14</xdr:row>
          <xdr:rowOff>19050</xdr:rowOff>
        </xdr:to>
        <xdr:sp macro="" textlink="">
          <xdr:nvSpPr>
            <xdr:cNvPr id="83969" name="Spinner 1" hidden="1">
              <a:extLst>
                <a:ext uri="{63B3BB69-23CF-44E3-9099-C40C66FF867C}">
                  <a14:compatExt spid="_x0000_s83969"/>
                </a:ext>
                <a:ext uri="{FF2B5EF4-FFF2-40B4-BE49-F238E27FC236}">
                  <a16:creationId xmlns:a16="http://schemas.microsoft.com/office/drawing/2014/main" id="{00000000-0008-0000-1C00-00000148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xdr:twoCellAnchor>
    <xdr:from>
      <xdr:col>10</xdr:col>
      <xdr:colOff>0</xdr:colOff>
      <xdr:row>1</xdr:row>
      <xdr:rowOff>0</xdr:rowOff>
    </xdr:from>
    <xdr:to>
      <xdr:col>12</xdr:col>
      <xdr:colOff>47625</xdr:colOff>
      <xdr:row>5</xdr:row>
      <xdr:rowOff>38100</xdr:rowOff>
    </xdr:to>
    <xdr:sp macro="[0]!Home" textlink="">
      <xdr:nvSpPr>
        <xdr:cNvPr id="2" name="Arrow: Left 1">
          <a:extLst>
            <a:ext uri="{FF2B5EF4-FFF2-40B4-BE49-F238E27FC236}">
              <a16:creationId xmlns:a16="http://schemas.microsoft.com/office/drawing/2014/main" id="{00000000-0008-0000-1D00-000002000000}"/>
            </a:ext>
          </a:extLst>
        </xdr:cNvPr>
        <xdr:cNvSpPr/>
      </xdr:nvSpPr>
      <xdr:spPr>
        <a:xfrm>
          <a:off x="6096000" y="190500"/>
          <a:ext cx="1266825" cy="800100"/>
        </a:xfrm>
        <a:prstGeom prst="leftArrow">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800">
              <a:latin typeface="Times New Roman" panose="02020603050405020304" pitchFamily="18" charset="0"/>
              <a:cs typeface="Times New Roman" panose="02020603050405020304" pitchFamily="18" charset="0"/>
            </a:rPr>
            <a:t>HOME</a:t>
          </a:r>
        </a:p>
      </xdr:txBody>
    </xdr:sp>
    <xdr:clientData/>
  </xdr:twoCellAnchor>
  <xdr:twoCellAnchor>
    <xdr:from>
      <xdr:col>5</xdr:col>
      <xdr:colOff>2181225</xdr:colOff>
      <xdr:row>0</xdr:row>
      <xdr:rowOff>95250</xdr:rowOff>
    </xdr:from>
    <xdr:to>
      <xdr:col>6</xdr:col>
      <xdr:colOff>876300</xdr:colOff>
      <xdr:row>1</xdr:row>
      <xdr:rowOff>781050</xdr:rowOff>
    </xdr:to>
    <xdr:sp macro="[0]!Home" textlink="">
      <xdr:nvSpPr>
        <xdr:cNvPr id="3" name="Arrow: Left 2">
          <a:extLst>
            <a:ext uri="{FF2B5EF4-FFF2-40B4-BE49-F238E27FC236}">
              <a16:creationId xmlns:a16="http://schemas.microsoft.com/office/drawing/2014/main" id="{00000000-0008-0000-1D00-000003000000}"/>
            </a:ext>
          </a:extLst>
        </xdr:cNvPr>
        <xdr:cNvSpPr/>
      </xdr:nvSpPr>
      <xdr:spPr>
        <a:xfrm>
          <a:off x="3886200" y="95250"/>
          <a:ext cx="1200150" cy="790575"/>
        </a:xfrm>
        <a:prstGeom prst="leftArrow">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800">
              <a:latin typeface="Times New Roman" panose="02020603050405020304" pitchFamily="18" charset="0"/>
              <a:cs typeface="Times New Roman" panose="02020603050405020304" pitchFamily="18" charset="0"/>
            </a:rPr>
            <a:t>HOME</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2</xdr:col>
      <xdr:colOff>52820</xdr:colOff>
      <xdr:row>1</xdr:row>
      <xdr:rowOff>88325</xdr:rowOff>
    </xdr:from>
    <xdr:to>
      <xdr:col>2</xdr:col>
      <xdr:colOff>1420091</xdr:colOff>
      <xdr:row>1</xdr:row>
      <xdr:rowOff>936049</xdr:rowOff>
    </xdr:to>
    <xdr:sp macro="[0]!Home" textlink="">
      <xdr:nvSpPr>
        <xdr:cNvPr id="3" name="Arrow: Left 2">
          <a:extLst>
            <a:ext uri="{FF2B5EF4-FFF2-40B4-BE49-F238E27FC236}">
              <a16:creationId xmlns:a16="http://schemas.microsoft.com/office/drawing/2014/main" id="{00000000-0008-0000-1E00-000003000000}"/>
            </a:ext>
          </a:extLst>
        </xdr:cNvPr>
        <xdr:cNvSpPr/>
      </xdr:nvSpPr>
      <xdr:spPr>
        <a:xfrm>
          <a:off x="576695" y="183575"/>
          <a:ext cx="1367271" cy="847724"/>
        </a:xfrm>
        <a:prstGeom prst="leftArrow">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800">
              <a:latin typeface="Times New Roman" panose="02020603050405020304" pitchFamily="18" charset="0"/>
              <a:cs typeface="Times New Roman" panose="02020603050405020304" pitchFamily="18" charset="0"/>
            </a:rPr>
            <a:t>HOME</a:t>
          </a:r>
        </a:p>
      </xdr:txBody>
    </xdr:sp>
    <xdr:clientData/>
  </xdr:twoCellAnchor>
</xdr:wsDr>
</file>

<file path=xl/drawings/drawing32.xml><?xml version="1.0" encoding="utf-8"?>
<xdr:wsDr xmlns:xdr="http://schemas.openxmlformats.org/drawingml/2006/spreadsheetDrawing" xmlns:a="http://schemas.openxmlformats.org/drawingml/2006/main">
  <xdr:twoCellAnchor editAs="oneCell">
    <xdr:from>
      <xdr:col>2</xdr:col>
      <xdr:colOff>263071</xdr:colOff>
      <xdr:row>40</xdr:row>
      <xdr:rowOff>54429</xdr:rowOff>
    </xdr:from>
    <xdr:to>
      <xdr:col>2</xdr:col>
      <xdr:colOff>263071</xdr:colOff>
      <xdr:row>43</xdr:row>
      <xdr:rowOff>3629</xdr:rowOff>
    </xdr:to>
    <xdr:pic>
      <xdr:nvPicPr>
        <xdr:cNvPr id="2" name="Picture 4">
          <a:extLst>
            <a:ext uri="{FF2B5EF4-FFF2-40B4-BE49-F238E27FC236}">
              <a16:creationId xmlns:a16="http://schemas.microsoft.com/office/drawing/2014/main" id="{00000000-0008-0000-1F00-000002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7988754"/>
          <a:ext cx="0" cy="549275"/>
        </a:xfrm>
        <a:prstGeom prst="rect">
          <a:avLst/>
        </a:prstGeom>
        <a:noFill/>
        <a:ln>
          <a:noFill/>
        </a:ln>
      </xdr:spPr>
    </xdr:pic>
    <xdr:clientData/>
  </xdr:twoCellAnchor>
  <xdr:twoCellAnchor editAs="oneCell">
    <xdr:from>
      <xdr:col>1</xdr:col>
      <xdr:colOff>42863</xdr:colOff>
      <xdr:row>37</xdr:row>
      <xdr:rowOff>123825</xdr:rowOff>
    </xdr:from>
    <xdr:to>
      <xdr:col>1</xdr:col>
      <xdr:colOff>42863</xdr:colOff>
      <xdr:row>44</xdr:row>
      <xdr:rowOff>50325</xdr:rowOff>
    </xdr:to>
    <xdr:pic>
      <xdr:nvPicPr>
        <xdr:cNvPr id="3" name="Picture 6">
          <a:extLst>
            <a:ext uri="{FF2B5EF4-FFF2-40B4-BE49-F238E27FC236}">
              <a16:creationId xmlns:a16="http://schemas.microsoft.com/office/drawing/2014/main" id="{00000000-0008-0000-1F00-000003000000}"/>
            </a:ext>
          </a:extLst>
        </xdr:cNvPr>
        <xdr:cNvPicPr>
          <a:picLocks/>
        </xdr:cNvPicPr>
      </xdr:nvPicPr>
      <xdr:blipFill>
        <a:blip xmlns:r="http://schemas.openxmlformats.org/officeDocument/2006/relationships" r:embed="rId2"/>
        <a:srcRect/>
        <a:stretch>
          <a:fillRect/>
        </a:stretch>
      </xdr:blipFill>
      <xdr:spPr bwMode="auto">
        <a:xfrm>
          <a:off x="147638" y="7458075"/>
          <a:ext cx="0" cy="1326675"/>
        </a:xfrm>
        <a:prstGeom prst="rect">
          <a:avLst/>
        </a:prstGeom>
        <a:noFill/>
        <a:ln w="9525">
          <a:noFill/>
          <a:miter lim="800000"/>
          <a:headEnd/>
          <a:tailEnd/>
        </a:ln>
      </xdr:spPr>
    </xdr:pic>
    <xdr:clientData/>
  </xdr:twoCellAnchor>
  <xdr:twoCellAnchor editAs="oneCell">
    <xdr:from>
      <xdr:col>2</xdr:col>
      <xdr:colOff>263071</xdr:colOff>
      <xdr:row>40</xdr:row>
      <xdr:rowOff>54429</xdr:rowOff>
    </xdr:from>
    <xdr:to>
      <xdr:col>2</xdr:col>
      <xdr:colOff>263071</xdr:colOff>
      <xdr:row>43</xdr:row>
      <xdr:rowOff>3629</xdr:rowOff>
    </xdr:to>
    <xdr:pic>
      <xdr:nvPicPr>
        <xdr:cNvPr id="4" name="Picture 4">
          <a:extLst>
            <a:ext uri="{FF2B5EF4-FFF2-40B4-BE49-F238E27FC236}">
              <a16:creationId xmlns:a16="http://schemas.microsoft.com/office/drawing/2014/main" id="{00000000-0008-0000-1F00-000004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7988754"/>
          <a:ext cx="0" cy="549275"/>
        </a:xfrm>
        <a:prstGeom prst="rect">
          <a:avLst/>
        </a:prstGeom>
        <a:noFill/>
        <a:ln>
          <a:noFill/>
        </a:ln>
      </xdr:spPr>
    </xdr:pic>
    <xdr:clientData/>
  </xdr:twoCellAnchor>
  <xdr:twoCellAnchor editAs="oneCell">
    <xdr:from>
      <xdr:col>1</xdr:col>
      <xdr:colOff>42863</xdr:colOff>
      <xdr:row>37</xdr:row>
      <xdr:rowOff>123825</xdr:rowOff>
    </xdr:from>
    <xdr:to>
      <xdr:col>1</xdr:col>
      <xdr:colOff>42863</xdr:colOff>
      <xdr:row>44</xdr:row>
      <xdr:rowOff>50325</xdr:rowOff>
    </xdr:to>
    <xdr:pic>
      <xdr:nvPicPr>
        <xdr:cNvPr id="5" name="Picture 6">
          <a:extLst>
            <a:ext uri="{FF2B5EF4-FFF2-40B4-BE49-F238E27FC236}">
              <a16:creationId xmlns:a16="http://schemas.microsoft.com/office/drawing/2014/main" id="{00000000-0008-0000-1F00-000005000000}"/>
            </a:ext>
          </a:extLst>
        </xdr:cNvPr>
        <xdr:cNvPicPr>
          <a:picLocks/>
        </xdr:cNvPicPr>
      </xdr:nvPicPr>
      <xdr:blipFill>
        <a:blip xmlns:r="http://schemas.openxmlformats.org/officeDocument/2006/relationships" r:embed="rId2"/>
        <a:srcRect/>
        <a:stretch>
          <a:fillRect/>
        </a:stretch>
      </xdr:blipFill>
      <xdr:spPr bwMode="auto">
        <a:xfrm>
          <a:off x="147638" y="7458075"/>
          <a:ext cx="0" cy="1326675"/>
        </a:xfrm>
        <a:prstGeom prst="rect">
          <a:avLst/>
        </a:prstGeom>
        <a:noFill/>
        <a:ln w="9525">
          <a:noFill/>
          <a:miter lim="800000"/>
          <a:headEnd/>
          <a:tailEnd/>
        </a:ln>
      </xdr:spPr>
    </xdr:pic>
    <xdr:clientData/>
  </xdr:twoCellAnchor>
  <xdr:twoCellAnchor editAs="oneCell">
    <xdr:from>
      <xdr:col>2</xdr:col>
      <xdr:colOff>263071</xdr:colOff>
      <xdr:row>40</xdr:row>
      <xdr:rowOff>54429</xdr:rowOff>
    </xdr:from>
    <xdr:to>
      <xdr:col>2</xdr:col>
      <xdr:colOff>263071</xdr:colOff>
      <xdr:row>43</xdr:row>
      <xdr:rowOff>3629</xdr:rowOff>
    </xdr:to>
    <xdr:pic>
      <xdr:nvPicPr>
        <xdr:cNvPr id="6" name="Picture 4">
          <a:extLst>
            <a:ext uri="{FF2B5EF4-FFF2-40B4-BE49-F238E27FC236}">
              <a16:creationId xmlns:a16="http://schemas.microsoft.com/office/drawing/2014/main" id="{00000000-0008-0000-1F00-000006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7988754"/>
          <a:ext cx="0" cy="549275"/>
        </a:xfrm>
        <a:prstGeom prst="rect">
          <a:avLst/>
        </a:prstGeom>
        <a:noFill/>
        <a:ln>
          <a:noFill/>
        </a:ln>
      </xdr:spPr>
    </xdr:pic>
    <xdr:clientData/>
  </xdr:twoCellAnchor>
  <xdr:twoCellAnchor editAs="oneCell">
    <xdr:from>
      <xdr:col>1</xdr:col>
      <xdr:colOff>42863</xdr:colOff>
      <xdr:row>37</xdr:row>
      <xdr:rowOff>123825</xdr:rowOff>
    </xdr:from>
    <xdr:to>
      <xdr:col>1</xdr:col>
      <xdr:colOff>42863</xdr:colOff>
      <xdr:row>44</xdr:row>
      <xdr:rowOff>50325</xdr:rowOff>
    </xdr:to>
    <xdr:pic>
      <xdr:nvPicPr>
        <xdr:cNvPr id="7" name="Picture 6">
          <a:extLst>
            <a:ext uri="{FF2B5EF4-FFF2-40B4-BE49-F238E27FC236}">
              <a16:creationId xmlns:a16="http://schemas.microsoft.com/office/drawing/2014/main" id="{00000000-0008-0000-1F00-000007000000}"/>
            </a:ext>
          </a:extLst>
        </xdr:cNvPr>
        <xdr:cNvPicPr>
          <a:picLocks/>
        </xdr:cNvPicPr>
      </xdr:nvPicPr>
      <xdr:blipFill>
        <a:blip xmlns:r="http://schemas.openxmlformats.org/officeDocument/2006/relationships" r:embed="rId2"/>
        <a:srcRect/>
        <a:stretch>
          <a:fillRect/>
        </a:stretch>
      </xdr:blipFill>
      <xdr:spPr bwMode="auto">
        <a:xfrm>
          <a:off x="147638" y="7458075"/>
          <a:ext cx="0" cy="1326675"/>
        </a:xfrm>
        <a:prstGeom prst="rect">
          <a:avLst/>
        </a:prstGeom>
        <a:noFill/>
        <a:ln w="9525">
          <a:noFill/>
          <a:miter lim="800000"/>
          <a:headEnd/>
          <a:tailEnd/>
        </a:ln>
      </xdr:spPr>
    </xdr:pic>
    <xdr:clientData/>
  </xdr:twoCellAnchor>
  <xdr:twoCellAnchor editAs="oneCell">
    <xdr:from>
      <xdr:col>2</xdr:col>
      <xdr:colOff>263071</xdr:colOff>
      <xdr:row>40</xdr:row>
      <xdr:rowOff>54429</xdr:rowOff>
    </xdr:from>
    <xdr:to>
      <xdr:col>2</xdr:col>
      <xdr:colOff>263071</xdr:colOff>
      <xdr:row>43</xdr:row>
      <xdr:rowOff>3629</xdr:rowOff>
    </xdr:to>
    <xdr:pic>
      <xdr:nvPicPr>
        <xdr:cNvPr id="8" name="Picture 4">
          <a:extLst>
            <a:ext uri="{FF2B5EF4-FFF2-40B4-BE49-F238E27FC236}">
              <a16:creationId xmlns:a16="http://schemas.microsoft.com/office/drawing/2014/main" id="{00000000-0008-0000-1F00-000008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7988754"/>
          <a:ext cx="0" cy="549275"/>
        </a:xfrm>
        <a:prstGeom prst="rect">
          <a:avLst/>
        </a:prstGeom>
        <a:noFill/>
        <a:ln>
          <a:noFill/>
        </a:ln>
      </xdr:spPr>
    </xdr:pic>
    <xdr:clientData/>
  </xdr:twoCellAnchor>
  <xdr:twoCellAnchor editAs="oneCell">
    <xdr:from>
      <xdr:col>1</xdr:col>
      <xdr:colOff>42863</xdr:colOff>
      <xdr:row>37</xdr:row>
      <xdr:rowOff>123825</xdr:rowOff>
    </xdr:from>
    <xdr:to>
      <xdr:col>1</xdr:col>
      <xdr:colOff>42863</xdr:colOff>
      <xdr:row>44</xdr:row>
      <xdr:rowOff>50325</xdr:rowOff>
    </xdr:to>
    <xdr:pic>
      <xdr:nvPicPr>
        <xdr:cNvPr id="9" name="Picture 6">
          <a:extLst>
            <a:ext uri="{FF2B5EF4-FFF2-40B4-BE49-F238E27FC236}">
              <a16:creationId xmlns:a16="http://schemas.microsoft.com/office/drawing/2014/main" id="{00000000-0008-0000-1F00-000009000000}"/>
            </a:ext>
          </a:extLst>
        </xdr:cNvPr>
        <xdr:cNvPicPr>
          <a:picLocks/>
        </xdr:cNvPicPr>
      </xdr:nvPicPr>
      <xdr:blipFill>
        <a:blip xmlns:r="http://schemas.openxmlformats.org/officeDocument/2006/relationships" r:embed="rId2"/>
        <a:srcRect/>
        <a:stretch>
          <a:fillRect/>
        </a:stretch>
      </xdr:blipFill>
      <xdr:spPr bwMode="auto">
        <a:xfrm>
          <a:off x="147638" y="7458075"/>
          <a:ext cx="0" cy="1326675"/>
        </a:xfrm>
        <a:prstGeom prst="rect">
          <a:avLst/>
        </a:prstGeom>
        <a:noFill/>
        <a:ln w="9525">
          <a:noFill/>
          <a:miter lim="800000"/>
          <a:headEnd/>
          <a:tailEnd/>
        </a:ln>
      </xdr:spPr>
    </xdr:pic>
    <xdr:clientData/>
  </xdr:twoCellAnchor>
  <xdr:twoCellAnchor editAs="oneCell">
    <xdr:from>
      <xdr:col>2</xdr:col>
      <xdr:colOff>263071</xdr:colOff>
      <xdr:row>39</xdr:row>
      <xdr:rowOff>54429</xdr:rowOff>
    </xdr:from>
    <xdr:to>
      <xdr:col>2</xdr:col>
      <xdr:colOff>263071</xdr:colOff>
      <xdr:row>42</xdr:row>
      <xdr:rowOff>3629</xdr:rowOff>
    </xdr:to>
    <xdr:pic>
      <xdr:nvPicPr>
        <xdr:cNvPr id="10" name="Picture 4">
          <a:extLst>
            <a:ext uri="{FF2B5EF4-FFF2-40B4-BE49-F238E27FC236}">
              <a16:creationId xmlns:a16="http://schemas.microsoft.com/office/drawing/2014/main" id="{00000000-0008-0000-1F00-00000A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7788729"/>
          <a:ext cx="0" cy="549275"/>
        </a:xfrm>
        <a:prstGeom prst="rect">
          <a:avLst/>
        </a:prstGeom>
        <a:noFill/>
        <a:ln>
          <a:noFill/>
        </a:ln>
      </xdr:spPr>
    </xdr:pic>
    <xdr:clientData/>
  </xdr:twoCellAnchor>
  <xdr:twoCellAnchor editAs="oneCell">
    <xdr:from>
      <xdr:col>1</xdr:col>
      <xdr:colOff>42863</xdr:colOff>
      <xdr:row>36</xdr:row>
      <xdr:rowOff>123825</xdr:rowOff>
    </xdr:from>
    <xdr:to>
      <xdr:col>1</xdr:col>
      <xdr:colOff>42863</xdr:colOff>
      <xdr:row>43</xdr:row>
      <xdr:rowOff>40800</xdr:rowOff>
    </xdr:to>
    <xdr:pic>
      <xdr:nvPicPr>
        <xdr:cNvPr id="11" name="Picture 6">
          <a:extLst>
            <a:ext uri="{FF2B5EF4-FFF2-40B4-BE49-F238E27FC236}">
              <a16:creationId xmlns:a16="http://schemas.microsoft.com/office/drawing/2014/main" id="{00000000-0008-0000-1F00-00000B000000}"/>
            </a:ext>
          </a:extLst>
        </xdr:cNvPr>
        <xdr:cNvPicPr>
          <a:picLocks/>
        </xdr:cNvPicPr>
      </xdr:nvPicPr>
      <xdr:blipFill>
        <a:blip xmlns:r="http://schemas.openxmlformats.org/officeDocument/2006/relationships" r:embed="rId2"/>
        <a:srcRect/>
        <a:stretch>
          <a:fillRect/>
        </a:stretch>
      </xdr:blipFill>
      <xdr:spPr bwMode="auto">
        <a:xfrm>
          <a:off x="147638" y="7248525"/>
          <a:ext cx="0" cy="1326675"/>
        </a:xfrm>
        <a:prstGeom prst="rect">
          <a:avLst/>
        </a:prstGeom>
        <a:noFill/>
        <a:ln w="9525">
          <a:noFill/>
          <a:miter lim="800000"/>
          <a:headEnd/>
          <a:tailEnd/>
        </a:ln>
      </xdr:spPr>
    </xdr:pic>
    <xdr:clientData/>
  </xdr:twoCellAnchor>
  <xdr:twoCellAnchor editAs="oneCell">
    <xdr:from>
      <xdr:col>1</xdr:col>
      <xdr:colOff>42863</xdr:colOff>
      <xdr:row>36</xdr:row>
      <xdr:rowOff>123825</xdr:rowOff>
    </xdr:from>
    <xdr:to>
      <xdr:col>1</xdr:col>
      <xdr:colOff>42863</xdr:colOff>
      <xdr:row>43</xdr:row>
      <xdr:rowOff>40800</xdr:rowOff>
    </xdr:to>
    <xdr:pic>
      <xdr:nvPicPr>
        <xdr:cNvPr id="12" name="Picture 6">
          <a:extLst>
            <a:ext uri="{FF2B5EF4-FFF2-40B4-BE49-F238E27FC236}">
              <a16:creationId xmlns:a16="http://schemas.microsoft.com/office/drawing/2014/main" id="{00000000-0008-0000-1F00-00000C000000}"/>
            </a:ext>
          </a:extLst>
        </xdr:cNvPr>
        <xdr:cNvPicPr>
          <a:picLocks/>
        </xdr:cNvPicPr>
      </xdr:nvPicPr>
      <xdr:blipFill>
        <a:blip xmlns:r="http://schemas.openxmlformats.org/officeDocument/2006/relationships" r:embed="rId2"/>
        <a:srcRect/>
        <a:stretch>
          <a:fillRect/>
        </a:stretch>
      </xdr:blipFill>
      <xdr:spPr bwMode="auto">
        <a:xfrm>
          <a:off x="147638" y="7248525"/>
          <a:ext cx="0" cy="1326675"/>
        </a:xfrm>
        <a:prstGeom prst="rect">
          <a:avLst/>
        </a:prstGeom>
        <a:noFill/>
        <a:ln w="9525">
          <a:noFill/>
          <a:miter lim="800000"/>
          <a:headEnd/>
          <a:tailEnd/>
        </a:ln>
      </xdr:spPr>
    </xdr:pic>
    <xdr:clientData/>
  </xdr:twoCellAnchor>
  <xdr:twoCellAnchor editAs="oneCell">
    <xdr:from>
      <xdr:col>2</xdr:col>
      <xdr:colOff>263071</xdr:colOff>
      <xdr:row>40</xdr:row>
      <xdr:rowOff>54429</xdr:rowOff>
    </xdr:from>
    <xdr:to>
      <xdr:col>2</xdr:col>
      <xdr:colOff>263071</xdr:colOff>
      <xdr:row>43</xdr:row>
      <xdr:rowOff>3629</xdr:rowOff>
    </xdr:to>
    <xdr:pic>
      <xdr:nvPicPr>
        <xdr:cNvPr id="13" name="Picture 4">
          <a:extLst>
            <a:ext uri="{FF2B5EF4-FFF2-40B4-BE49-F238E27FC236}">
              <a16:creationId xmlns:a16="http://schemas.microsoft.com/office/drawing/2014/main" id="{00000000-0008-0000-1F00-00000D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7988754"/>
          <a:ext cx="0" cy="549275"/>
        </a:xfrm>
        <a:prstGeom prst="rect">
          <a:avLst/>
        </a:prstGeom>
        <a:noFill/>
        <a:ln>
          <a:noFill/>
        </a:ln>
      </xdr:spPr>
    </xdr:pic>
    <xdr:clientData/>
  </xdr:twoCellAnchor>
  <xdr:twoCellAnchor editAs="oneCell">
    <xdr:from>
      <xdr:col>1</xdr:col>
      <xdr:colOff>42863</xdr:colOff>
      <xdr:row>37</xdr:row>
      <xdr:rowOff>123825</xdr:rowOff>
    </xdr:from>
    <xdr:to>
      <xdr:col>1</xdr:col>
      <xdr:colOff>42863</xdr:colOff>
      <xdr:row>44</xdr:row>
      <xdr:rowOff>50325</xdr:rowOff>
    </xdr:to>
    <xdr:pic>
      <xdr:nvPicPr>
        <xdr:cNvPr id="14" name="Picture 6">
          <a:extLst>
            <a:ext uri="{FF2B5EF4-FFF2-40B4-BE49-F238E27FC236}">
              <a16:creationId xmlns:a16="http://schemas.microsoft.com/office/drawing/2014/main" id="{00000000-0008-0000-1F00-00000E000000}"/>
            </a:ext>
          </a:extLst>
        </xdr:cNvPr>
        <xdr:cNvPicPr>
          <a:picLocks/>
        </xdr:cNvPicPr>
      </xdr:nvPicPr>
      <xdr:blipFill>
        <a:blip xmlns:r="http://schemas.openxmlformats.org/officeDocument/2006/relationships" r:embed="rId2"/>
        <a:srcRect/>
        <a:stretch>
          <a:fillRect/>
        </a:stretch>
      </xdr:blipFill>
      <xdr:spPr bwMode="auto">
        <a:xfrm>
          <a:off x="147638" y="7458075"/>
          <a:ext cx="0" cy="1326675"/>
        </a:xfrm>
        <a:prstGeom prst="rect">
          <a:avLst/>
        </a:prstGeom>
        <a:noFill/>
        <a:ln w="9525">
          <a:noFill/>
          <a:miter lim="800000"/>
          <a:headEnd/>
          <a:tailEnd/>
        </a:ln>
      </xdr:spPr>
    </xdr:pic>
    <xdr:clientData/>
  </xdr:twoCellAnchor>
  <xdr:twoCellAnchor editAs="oneCell">
    <xdr:from>
      <xdr:col>2</xdr:col>
      <xdr:colOff>263071</xdr:colOff>
      <xdr:row>40</xdr:row>
      <xdr:rowOff>54429</xdr:rowOff>
    </xdr:from>
    <xdr:to>
      <xdr:col>2</xdr:col>
      <xdr:colOff>263071</xdr:colOff>
      <xdr:row>43</xdr:row>
      <xdr:rowOff>3629</xdr:rowOff>
    </xdr:to>
    <xdr:pic>
      <xdr:nvPicPr>
        <xdr:cNvPr id="15" name="Picture 4">
          <a:extLst>
            <a:ext uri="{FF2B5EF4-FFF2-40B4-BE49-F238E27FC236}">
              <a16:creationId xmlns:a16="http://schemas.microsoft.com/office/drawing/2014/main" id="{00000000-0008-0000-1F00-00000F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7988754"/>
          <a:ext cx="0" cy="549275"/>
        </a:xfrm>
        <a:prstGeom prst="rect">
          <a:avLst/>
        </a:prstGeom>
        <a:noFill/>
        <a:ln>
          <a:noFill/>
        </a:ln>
      </xdr:spPr>
    </xdr:pic>
    <xdr:clientData/>
  </xdr:twoCellAnchor>
  <xdr:twoCellAnchor editAs="oneCell">
    <xdr:from>
      <xdr:col>1</xdr:col>
      <xdr:colOff>42863</xdr:colOff>
      <xdr:row>37</xdr:row>
      <xdr:rowOff>123825</xdr:rowOff>
    </xdr:from>
    <xdr:to>
      <xdr:col>1</xdr:col>
      <xdr:colOff>42863</xdr:colOff>
      <xdr:row>44</xdr:row>
      <xdr:rowOff>50325</xdr:rowOff>
    </xdr:to>
    <xdr:pic>
      <xdr:nvPicPr>
        <xdr:cNvPr id="16" name="Picture 6">
          <a:extLst>
            <a:ext uri="{FF2B5EF4-FFF2-40B4-BE49-F238E27FC236}">
              <a16:creationId xmlns:a16="http://schemas.microsoft.com/office/drawing/2014/main" id="{00000000-0008-0000-1F00-000010000000}"/>
            </a:ext>
          </a:extLst>
        </xdr:cNvPr>
        <xdr:cNvPicPr>
          <a:picLocks/>
        </xdr:cNvPicPr>
      </xdr:nvPicPr>
      <xdr:blipFill>
        <a:blip xmlns:r="http://schemas.openxmlformats.org/officeDocument/2006/relationships" r:embed="rId2"/>
        <a:srcRect/>
        <a:stretch>
          <a:fillRect/>
        </a:stretch>
      </xdr:blipFill>
      <xdr:spPr bwMode="auto">
        <a:xfrm>
          <a:off x="147638" y="7458075"/>
          <a:ext cx="0" cy="1326675"/>
        </a:xfrm>
        <a:prstGeom prst="rect">
          <a:avLst/>
        </a:prstGeom>
        <a:noFill/>
        <a:ln w="9525">
          <a:noFill/>
          <a:miter lim="800000"/>
          <a:headEnd/>
          <a:tailEnd/>
        </a:ln>
      </xdr:spPr>
    </xdr:pic>
    <xdr:clientData/>
  </xdr:twoCellAnchor>
  <xdr:twoCellAnchor editAs="oneCell">
    <xdr:from>
      <xdr:col>2</xdr:col>
      <xdr:colOff>263071</xdr:colOff>
      <xdr:row>40</xdr:row>
      <xdr:rowOff>54429</xdr:rowOff>
    </xdr:from>
    <xdr:to>
      <xdr:col>2</xdr:col>
      <xdr:colOff>263071</xdr:colOff>
      <xdr:row>43</xdr:row>
      <xdr:rowOff>3629</xdr:rowOff>
    </xdr:to>
    <xdr:pic>
      <xdr:nvPicPr>
        <xdr:cNvPr id="17" name="Picture 4">
          <a:extLst>
            <a:ext uri="{FF2B5EF4-FFF2-40B4-BE49-F238E27FC236}">
              <a16:creationId xmlns:a16="http://schemas.microsoft.com/office/drawing/2014/main" id="{00000000-0008-0000-1F00-000011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7988754"/>
          <a:ext cx="0" cy="549275"/>
        </a:xfrm>
        <a:prstGeom prst="rect">
          <a:avLst/>
        </a:prstGeom>
        <a:noFill/>
        <a:ln>
          <a:noFill/>
        </a:ln>
      </xdr:spPr>
    </xdr:pic>
    <xdr:clientData/>
  </xdr:twoCellAnchor>
  <xdr:twoCellAnchor editAs="oneCell">
    <xdr:from>
      <xdr:col>1</xdr:col>
      <xdr:colOff>42863</xdr:colOff>
      <xdr:row>37</xdr:row>
      <xdr:rowOff>123825</xdr:rowOff>
    </xdr:from>
    <xdr:to>
      <xdr:col>1</xdr:col>
      <xdr:colOff>42863</xdr:colOff>
      <xdr:row>44</xdr:row>
      <xdr:rowOff>50325</xdr:rowOff>
    </xdr:to>
    <xdr:pic>
      <xdr:nvPicPr>
        <xdr:cNvPr id="18" name="Picture 6">
          <a:extLst>
            <a:ext uri="{FF2B5EF4-FFF2-40B4-BE49-F238E27FC236}">
              <a16:creationId xmlns:a16="http://schemas.microsoft.com/office/drawing/2014/main" id="{00000000-0008-0000-1F00-000012000000}"/>
            </a:ext>
          </a:extLst>
        </xdr:cNvPr>
        <xdr:cNvPicPr>
          <a:picLocks/>
        </xdr:cNvPicPr>
      </xdr:nvPicPr>
      <xdr:blipFill>
        <a:blip xmlns:r="http://schemas.openxmlformats.org/officeDocument/2006/relationships" r:embed="rId2"/>
        <a:srcRect/>
        <a:stretch>
          <a:fillRect/>
        </a:stretch>
      </xdr:blipFill>
      <xdr:spPr bwMode="auto">
        <a:xfrm>
          <a:off x="147638" y="7458075"/>
          <a:ext cx="0" cy="1326675"/>
        </a:xfrm>
        <a:prstGeom prst="rect">
          <a:avLst/>
        </a:prstGeom>
        <a:noFill/>
        <a:ln w="9525">
          <a:noFill/>
          <a:miter lim="800000"/>
          <a:headEnd/>
          <a:tailEnd/>
        </a:ln>
      </xdr:spPr>
    </xdr:pic>
    <xdr:clientData/>
  </xdr:twoCellAnchor>
  <xdr:twoCellAnchor editAs="oneCell">
    <xdr:from>
      <xdr:col>2</xdr:col>
      <xdr:colOff>263071</xdr:colOff>
      <xdr:row>40</xdr:row>
      <xdr:rowOff>54429</xdr:rowOff>
    </xdr:from>
    <xdr:to>
      <xdr:col>2</xdr:col>
      <xdr:colOff>263071</xdr:colOff>
      <xdr:row>43</xdr:row>
      <xdr:rowOff>3629</xdr:rowOff>
    </xdr:to>
    <xdr:pic>
      <xdr:nvPicPr>
        <xdr:cNvPr id="19" name="Picture 4">
          <a:extLst>
            <a:ext uri="{FF2B5EF4-FFF2-40B4-BE49-F238E27FC236}">
              <a16:creationId xmlns:a16="http://schemas.microsoft.com/office/drawing/2014/main" id="{00000000-0008-0000-1F00-000013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7988754"/>
          <a:ext cx="0" cy="549275"/>
        </a:xfrm>
        <a:prstGeom prst="rect">
          <a:avLst/>
        </a:prstGeom>
        <a:noFill/>
        <a:ln>
          <a:noFill/>
        </a:ln>
      </xdr:spPr>
    </xdr:pic>
    <xdr:clientData/>
  </xdr:twoCellAnchor>
  <xdr:twoCellAnchor editAs="oneCell">
    <xdr:from>
      <xdr:col>1</xdr:col>
      <xdr:colOff>42863</xdr:colOff>
      <xdr:row>37</xdr:row>
      <xdr:rowOff>123825</xdr:rowOff>
    </xdr:from>
    <xdr:to>
      <xdr:col>1</xdr:col>
      <xdr:colOff>42863</xdr:colOff>
      <xdr:row>44</xdr:row>
      <xdr:rowOff>50325</xdr:rowOff>
    </xdr:to>
    <xdr:pic>
      <xdr:nvPicPr>
        <xdr:cNvPr id="20" name="Picture 6">
          <a:extLst>
            <a:ext uri="{FF2B5EF4-FFF2-40B4-BE49-F238E27FC236}">
              <a16:creationId xmlns:a16="http://schemas.microsoft.com/office/drawing/2014/main" id="{00000000-0008-0000-1F00-000014000000}"/>
            </a:ext>
          </a:extLst>
        </xdr:cNvPr>
        <xdr:cNvPicPr>
          <a:picLocks/>
        </xdr:cNvPicPr>
      </xdr:nvPicPr>
      <xdr:blipFill>
        <a:blip xmlns:r="http://schemas.openxmlformats.org/officeDocument/2006/relationships" r:embed="rId2"/>
        <a:srcRect/>
        <a:stretch>
          <a:fillRect/>
        </a:stretch>
      </xdr:blipFill>
      <xdr:spPr bwMode="auto">
        <a:xfrm>
          <a:off x="147638" y="7458075"/>
          <a:ext cx="0" cy="1326675"/>
        </a:xfrm>
        <a:prstGeom prst="rect">
          <a:avLst/>
        </a:prstGeom>
        <a:noFill/>
        <a:ln w="9525">
          <a:noFill/>
          <a:miter lim="800000"/>
          <a:headEnd/>
          <a:tailEnd/>
        </a:ln>
      </xdr:spPr>
    </xdr:pic>
    <xdr:clientData/>
  </xdr:twoCellAnchor>
  <xdr:twoCellAnchor editAs="oneCell">
    <xdr:from>
      <xdr:col>2</xdr:col>
      <xdr:colOff>263071</xdr:colOff>
      <xdr:row>39</xdr:row>
      <xdr:rowOff>54429</xdr:rowOff>
    </xdr:from>
    <xdr:to>
      <xdr:col>2</xdr:col>
      <xdr:colOff>263071</xdr:colOff>
      <xdr:row>42</xdr:row>
      <xdr:rowOff>3629</xdr:rowOff>
    </xdr:to>
    <xdr:pic>
      <xdr:nvPicPr>
        <xdr:cNvPr id="21" name="Picture 4">
          <a:extLst>
            <a:ext uri="{FF2B5EF4-FFF2-40B4-BE49-F238E27FC236}">
              <a16:creationId xmlns:a16="http://schemas.microsoft.com/office/drawing/2014/main" id="{00000000-0008-0000-1F00-000015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7788729"/>
          <a:ext cx="0" cy="549275"/>
        </a:xfrm>
        <a:prstGeom prst="rect">
          <a:avLst/>
        </a:prstGeom>
        <a:noFill/>
        <a:ln>
          <a:noFill/>
        </a:ln>
      </xdr:spPr>
    </xdr:pic>
    <xdr:clientData/>
  </xdr:twoCellAnchor>
  <xdr:twoCellAnchor editAs="oneCell">
    <xdr:from>
      <xdr:col>1</xdr:col>
      <xdr:colOff>42863</xdr:colOff>
      <xdr:row>36</xdr:row>
      <xdr:rowOff>123825</xdr:rowOff>
    </xdr:from>
    <xdr:to>
      <xdr:col>1</xdr:col>
      <xdr:colOff>42863</xdr:colOff>
      <xdr:row>43</xdr:row>
      <xdr:rowOff>40800</xdr:rowOff>
    </xdr:to>
    <xdr:pic>
      <xdr:nvPicPr>
        <xdr:cNvPr id="22" name="Picture 6">
          <a:extLst>
            <a:ext uri="{FF2B5EF4-FFF2-40B4-BE49-F238E27FC236}">
              <a16:creationId xmlns:a16="http://schemas.microsoft.com/office/drawing/2014/main" id="{00000000-0008-0000-1F00-000016000000}"/>
            </a:ext>
          </a:extLst>
        </xdr:cNvPr>
        <xdr:cNvPicPr>
          <a:picLocks/>
        </xdr:cNvPicPr>
      </xdr:nvPicPr>
      <xdr:blipFill>
        <a:blip xmlns:r="http://schemas.openxmlformats.org/officeDocument/2006/relationships" r:embed="rId2"/>
        <a:srcRect/>
        <a:stretch>
          <a:fillRect/>
        </a:stretch>
      </xdr:blipFill>
      <xdr:spPr bwMode="auto">
        <a:xfrm>
          <a:off x="147638" y="7248525"/>
          <a:ext cx="0" cy="1326675"/>
        </a:xfrm>
        <a:prstGeom prst="rect">
          <a:avLst/>
        </a:prstGeom>
        <a:noFill/>
        <a:ln w="9525">
          <a:noFill/>
          <a:miter lim="800000"/>
          <a:headEnd/>
          <a:tailEnd/>
        </a:ln>
      </xdr:spPr>
    </xdr:pic>
    <xdr:clientData/>
  </xdr:twoCellAnchor>
  <xdr:twoCellAnchor editAs="oneCell">
    <xdr:from>
      <xdr:col>1</xdr:col>
      <xdr:colOff>42863</xdr:colOff>
      <xdr:row>36</xdr:row>
      <xdr:rowOff>123825</xdr:rowOff>
    </xdr:from>
    <xdr:to>
      <xdr:col>1</xdr:col>
      <xdr:colOff>42863</xdr:colOff>
      <xdr:row>43</xdr:row>
      <xdr:rowOff>40800</xdr:rowOff>
    </xdr:to>
    <xdr:pic>
      <xdr:nvPicPr>
        <xdr:cNvPr id="23" name="Picture 6">
          <a:extLst>
            <a:ext uri="{FF2B5EF4-FFF2-40B4-BE49-F238E27FC236}">
              <a16:creationId xmlns:a16="http://schemas.microsoft.com/office/drawing/2014/main" id="{00000000-0008-0000-1F00-000017000000}"/>
            </a:ext>
          </a:extLst>
        </xdr:cNvPr>
        <xdr:cNvPicPr>
          <a:picLocks/>
        </xdr:cNvPicPr>
      </xdr:nvPicPr>
      <xdr:blipFill>
        <a:blip xmlns:r="http://schemas.openxmlformats.org/officeDocument/2006/relationships" r:embed="rId2"/>
        <a:srcRect/>
        <a:stretch>
          <a:fillRect/>
        </a:stretch>
      </xdr:blipFill>
      <xdr:spPr bwMode="auto">
        <a:xfrm>
          <a:off x="147638" y="7248525"/>
          <a:ext cx="0" cy="1326675"/>
        </a:xfrm>
        <a:prstGeom prst="rect">
          <a:avLst/>
        </a:prstGeom>
        <a:noFill/>
        <a:ln w="9525">
          <a:noFill/>
          <a:miter lim="800000"/>
          <a:headEnd/>
          <a:tailEnd/>
        </a:ln>
      </xdr:spPr>
    </xdr:pic>
    <xdr:clientData/>
  </xdr:twoCellAnchor>
  <xdr:twoCellAnchor editAs="oneCell">
    <xdr:from>
      <xdr:col>2</xdr:col>
      <xdr:colOff>263071</xdr:colOff>
      <xdr:row>40</xdr:row>
      <xdr:rowOff>54429</xdr:rowOff>
    </xdr:from>
    <xdr:to>
      <xdr:col>2</xdr:col>
      <xdr:colOff>263071</xdr:colOff>
      <xdr:row>43</xdr:row>
      <xdr:rowOff>3629</xdr:rowOff>
    </xdr:to>
    <xdr:pic>
      <xdr:nvPicPr>
        <xdr:cNvPr id="24" name="Picture 4">
          <a:extLst>
            <a:ext uri="{FF2B5EF4-FFF2-40B4-BE49-F238E27FC236}">
              <a16:creationId xmlns:a16="http://schemas.microsoft.com/office/drawing/2014/main" id="{00000000-0008-0000-1F00-000018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7988754"/>
          <a:ext cx="0" cy="549275"/>
        </a:xfrm>
        <a:prstGeom prst="rect">
          <a:avLst/>
        </a:prstGeom>
        <a:noFill/>
        <a:ln>
          <a:noFill/>
        </a:ln>
      </xdr:spPr>
    </xdr:pic>
    <xdr:clientData/>
  </xdr:twoCellAnchor>
  <xdr:twoCellAnchor editAs="oneCell">
    <xdr:from>
      <xdr:col>1</xdr:col>
      <xdr:colOff>42863</xdr:colOff>
      <xdr:row>37</xdr:row>
      <xdr:rowOff>123825</xdr:rowOff>
    </xdr:from>
    <xdr:to>
      <xdr:col>1</xdr:col>
      <xdr:colOff>42863</xdr:colOff>
      <xdr:row>44</xdr:row>
      <xdr:rowOff>50325</xdr:rowOff>
    </xdr:to>
    <xdr:pic>
      <xdr:nvPicPr>
        <xdr:cNvPr id="25" name="Picture 6">
          <a:extLst>
            <a:ext uri="{FF2B5EF4-FFF2-40B4-BE49-F238E27FC236}">
              <a16:creationId xmlns:a16="http://schemas.microsoft.com/office/drawing/2014/main" id="{00000000-0008-0000-1F00-000019000000}"/>
            </a:ext>
          </a:extLst>
        </xdr:cNvPr>
        <xdr:cNvPicPr>
          <a:picLocks/>
        </xdr:cNvPicPr>
      </xdr:nvPicPr>
      <xdr:blipFill>
        <a:blip xmlns:r="http://schemas.openxmlformats.org/officeDocument/2006/relationships" r:embed="rId2"/>
        <a:srcRect/>
        <a:stretch>
          <a:fillRect/>
        </a:stretch>
      </xdr:blipFill>
      <xdr:spPr bwMode="auto">
        <a:xfrm>
          <a:off x="147638" y="7458075"/>
          <a:ext cx="0" cy="1326675"/>
        </a:xfrm>
        <a:prstGeom prst="rect">
          <a:avLst/>
        </a:prstGeom>
        <a:noFill/>
        <a:ln w="9525">
          <a:noFill/>
          <a:miter lim="800000"/>
          <a:headEnd/>
          <a:tailEnd/>
        </a:ln>
      </xdr:spPr>
    </xdr:pic>
    <xdr:clientData/>
  </xdr:twoCellAnchor>
  <xdr:twoCellAnchor editAs="oneCell">
    <xdr:from>
      <xdr:col>2</xdr:col>
      <xdr:colOff>263071</xdr:colOff>
      <xdr:row>40</xdr:row>
      <xdr:rowOff>54429</xdr:rowOff>
    </xdr:from>
    <xdr:to>
      <xdr:col>2</xdr:col>
      <xdr:colOff>263071</xdr:colOff>
      <xdr:row>43</xdr:row>
      <xdr:rowOff>3629</xdr:rowOff>
    </xdr:to>
    <xdr:pic>
      <xdr:nvPicPr>
        <xdr:cNvPr id="26" name="Picture 4">
          <a:extLst>
            <a:ext uri="{FF2B5EF4-FFF2-40B4-BE49-F238E27FC236}">
              <a16:creationId xmlns:a16="http://schemas.microsoft.com/office/drawing/2014/main" id="{00000000-0008-0000-1F00-00001A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7988754"/>
          <a:ext cx="0" cy="549275"/>
        </a:xfrm>
        <a:prstGeom prst="rect">
          <a:avLst/>
        </a:prstGeom>
        <a:noFill/>
        <a:ln>
          <a:noFill/>
        </a:ln>
      </xdr:spPr>
    </xdr:pic>
    <xdr:clientData/>
  </xdr:twoCellAnchor>
  <xdr:twoCellAnchor editAs="oneCell">
    <xdr:from>
      <xdr:col>1</xdr:col>
      <xdr:colOff>42863</xdr:colOff>
      <xdr:row>37</xdr:row>
      <xdr:rowOff>123825</xdr:rowOff>
    </xdr:from>
    <xdr:to>
      <xdr:col>1</xdr:col>
      <xdr:colOff>42863</xdr:colOff>
      <xdr:row>44</xdr:row>
      <xdr:rowOff>50325</xdr:rowOff>
    </xdr:to>
    <xdr:pic>
      <xdr:nvPicPr>
        <xdr:cNvPr id="27" name="Picture 6">
          <a:extLst>
            <a:ext uri="{FF2B5EF4-FFF2-40B4-BE49-F238E27FC236}">
              <a16:creationId xmlns:a16="http://schemas.microsoft.com/office/drawing/2014/main" id="{00000000-0008-0000-1F00-00001B000000}"/>
            </a:ext>
          </a:extLst>
        </xdr:cNvPr>
        <xdr:cNvPicPr>
          <a:picLocks/>
        </xdr:cNvPicPr>
      </xdr:nvPicPr>
      <xdr:blipFill>
        <a:blip xmlns:r="http://schemas.openxmlformats.org/officeDocument/2006/relationships" r:embed="rId2"/>
        <a:srcRect/>
        <a:stretch>
          <a:fillRect/>
        </a:stretch>
      </xdr:blipFill>
      <xdr:spPr bwMode="auto">
        <a:xfrm>
          <a:off x="147638" y="7458075"/>
          <a:ext cx="0" cy="1326675"/>
        </a:xfrm>
        <a:prstGeom prst="rect">
          <a:avLst/>
        </a:prstGeom>
        <a:noFill/>
        <a:ln w="9525">
          <a:noFill/>
          <a:miter lim="800000"/>
          <a:headEnd/>
          <a:tailEnd/>
        </a:ln>
      </xdr:spPr>
    </xdr:pic>
    <xdr:clientData/>
  </xdr:twoCellAnchor>
  <xdr:twoCellAnchor editAs="oneCell">
    <xdr:from>
      <xdr:col>2</xdr:col>
      <xdr:colOff>263071</xdr:colOff>
      <xdr:row>40</xdr:row>
      <xdr:rowOff>54429</xdr:rowOff>
    </xdr:from>
    <xdr:to>
      <xdr:col>2</xdr:col>
      <xdr:colOff>263071</xdr:colOff>
      <xdr:row>43</xdr:row>
      <xdr:rowOff>3629</xdr:rowOff>
    </xdr:to>
    <xdr:pic>
      <xdr:nvPicPr>
        <xdr:cNvPr id="28" name="Picture 4">
          <a:extLst>
            <a:ext uri="{FF2B5EF4-FFF2-40B4-BE49-F238E27FC236}">
              <a16:creationId xmlns:a16="http://schemas.microsoft.com/office/drawing/2014/main" id="{00000000-0008-0000-1F00-00001C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7988754"/>
          <a:ext cx="0" cy="549275"/>
        </a:xfrm>
        <a:prstGeom prst="rect">
          <a:avLst/>
        </a:prstGeom>
        <a:noFill/>
        <a:ln>
          <a:noFill/>
        </a:ln>
      </xdr:spPr>
    </xdr:pic>
    <xdr:clientData/>
  </xdr:twoCellAnchor>
  <xdr:twoCellAnchor editAs="oneCell">
    <xdr:from>
      <xdr:col>1</xdr:col>
      <xdr:colOff>42863</xdr:colOff>
      <xdr:row>37</xdr:row>
      <xdr:rowOff>123825</xdr:rowOff>
    </xdr:from>
    <xdr:to>
      <xdr:col>1</xdr:col>
      <xdr:colOff>42863</xdr:colOff>
      <xdr:row>44</xdr:row>
      <xdr:rowOff>50325</xdr:rowOff>
    </xdr:to>
    <xdr:pic>
      <xdr:nvPicPr>
        <xdr:cNvPr id="29" name="Picture 6">
          <a:extLst>
            <a:ext uri="{FF2B5EF4-FFF2-40B4-BE49-F238E27FC236}">
              <a16:creationId xmlns:a16="http://schemas.microsoft.com/office/drawing/2014/main" id="{00000000-0008-0000-1F00-00001D000000}"/>
            </a:ext>
          </a:extLst>
        </xdr:cNvPr>
        <xdr:cNvPicPr>
          <a:picLocks/>
        </xdr:cNvPicPr>
      </xdr:nvPicPr>
      <xdr:blipFill>
        <a:blip xmlns:r="http://schemas.openxmlformats.org/officeDocument/2006/relationships" r:embed="rId2"/>
        <a:srcRect/>
        <a:stretch>
          <a:fillRect/>
        </a:stretch>
      </xdr:blipFill>
      <xdr:spPr bwMode="auto">
        <a:xfrm>
          <a:off x="147638" y="7458075"/>
          <a:ext cx="0" cy="1326675"/>
        </a:xfrm>
        <a:prstGeom prst="rect">
          <a:avLst/>
        </a:prstGeom>
        <a:noFill/>
        <a:ln w="9525">
          <a:noFill/>
          <a:miter lim="800000"/>
          <a:headEnd/>
          <a:tailEnd/>
        </a:ln>
      </xdr:spPr>
    </xdr:pic>
    <xdr:clientData/>
  </xdr:twoCellAnchor>
  <xdr:twoCellAnchor editAs="oneCell">
    <xdr:from>
      <xdr:col>2</xdr:col>
      <xdr:colOff>263071</xdr:colOff>
      <xdr:row>39</xdr:row>
      <xdr:rowOff>54429</xdr:rowOff>
    </xdr:from>
    <xdr:to>
      <xdr:col>2</xdr:col>
      <xdr:colOff>263071</xdr:colOff>
      <xdr:row>42</xdr:row>
      <xdr:rowOff>3629</xdr:rowOff>
    </xdr:to>
    <xdr:pic>
      <xdr:nvPicPr>
        <xdr:cNvPr id="30" name="Picture 4">
          <a:extLst>
            <a:ext uri="{FF2B5EF4-FFF2-40B4-BE49-F238E27FC236}">
              <a16:creationId xmlns:a16="http://schemas.microsoft.com/office/drawing/2014/main" id="{00000000-0008-0000-1F00-00001E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7788729"/>
          <a:ext cx="0" cy="549275"/>
        </a:xfrm>
        <a:prstGeom prst="rect">
          <a:avLst/>
        </a:prstGeom>
        <a:noFill/>
        <a:ln>
          <a:noFill/>
        </a:ln>
      </xdr:spPr>
    </xdr:pic>
    <xdr:clientData/>
  </xdr:twoCellAnchor>
  <xdr:twoCellAnchor editAs="oneCell">
    <xdr:from>
      <xdr:col>1</xdr:col>
      <xdr:colOff>42863</xdr:colOff>
      <xdr:row>36</xdr:row>
      <xdr:rowOff>123825</xdr:rowOff>
    </xdr:from>
    <xdr:to>
      <xdr:col>1</xdr:col>
      <xdr:colOff>42863</xdr:colOff>
      <xdr:row>43</xdr:row>
      <xdr:rowOff>40800</xdr:rowOff>
    </xdr:to>
    <xdr:pic>
      <xdr:nvPicPr>
        <xdr:cNvPr id="31" name="Picture 6">
          <a:extLst>
            <a:ext uri="{FF2B5EF4-FFF2-40B4-BE49-F238E27FC236}">
              <a16:creationId xmlns:a16="http://schemas.microsoft.com/office/drawing/2014/main" id="{00000000-0008-0000-1F00-00001F000000}"/>
            </a:ext>
          </a:extLst>
        </xdr:cNvPr>
        <xdr:cNvPicPr>
          <a:picLocks/>
        </xdr:cNvPicPr>
      </xdr:nvPicPr>
      <xdr:blipFill>
        <a:blip xmlns:r="http://schemas.openxmlformats.org/officeDocument/2006/relationships" r:embed="rId2"/>
        <a:srcRect/>
        <a:stretch>
          <a:fillRect/>
        </a:stretch>
      </xdr:blipFill>
      <xdr:spPr bwMode="auto">
        <a:xfrm>
          <a:off x="147638" y="7248525"/>
          <a:ext cx="0" cy="1326675"/>
        </a:xfrm>
        <a:prstGeom prst="rect">
          <a:avLst/>
        </a:prstGeom>
        <a:noFill/>
        <a:ln w="9525">
          <a:noFill/>
          <a:miter lim="800000"/>
          <a:headEnd/>
          <a:tailEnd/>
        </a:ln>
      </xdr:spPr>
    </xdr:pic>
    <xdr:clientData/>
  </xdr:twoCellAnchor>
  <xdr:twoCellAnchor editAs="oneCell">
    <xdr:from>
      <xdr:col>1</xdr:col>
      <xdr:colOff>42863</xdr:colOff>
      <xdr:row>36</xdr:row>
      <xdr:rowOff>123825</xdr:rowOff>
    </xdr:from>
    <xdr:to>
      <xdr:col>1</xdr:col>
      <xdr:colOff>42863</xdr:colOff>
      <xdr:row>43</xdr:row>
      <xdr:rowOff>40800</xdr:rowOff>
    </xdr:to>
    <xdr:pic>
      <xdr:nvPicPr>
        <xdr:cNvPr id="32" name="Picture 6">
          <a:extLst>
            <a:ext uri="{FF2B5EF4-FFF2-40B4-BE49-F238E27FC236}">
              <a16:creationId xmlns:a16="http://schemas.microsoft.com/office/drawing/2014/main" id="{00000000-0008-0000-1F00-000020000000}"/>
            </a:ext>
          </a:extLst>
        </xdr:cNvPr>
        <xdr:cNvPicPr>
          <a:picLocks/>
        </xdr:cNvPicPr>
      </xdr:nvPicPr>
      <xdr:blipFill>
        <a:blip xmlns:r="http://schemas.openxmlformats.org/officeDocument/2006/relationships" r:embed="rId2"/>
        <a:srcRect/>
        <a:stretch>
          <a:fillRect/>
        </a:stretch>
      </xdr:blipFill>
      <xdr:spPr bwMode="auto">
        <a:xfrm>
          <a:off x="147638" y="7248525"/>
          <a:ext cx="0" cy="1326675"/>
        </a:xfrm>
        <a:prstGeom prst="rect">
          <a:avLst/>
        </a:prstGeom>
        <a:noFill/>
        <a:ln w="9525">
          <a:noFill/>
          <a:miter lim="800000"/>
          <a:headEnd/>
          <a:tailEnd/>
        </a:ln>
      </xdr:spPr>
    </xdr:pic>
    <xdr:clientData/>
  </xdr:twoCellAnchor>
  <xdr:twoCellAnchor editAs="oneCell">
    <xdr:from>
      <xdr:col>2</xdr:col>
      <xdr:colOff>263071</xdr:colOff>
      <xdr:row>40</xdr:row>
      <xdr:rowOff>54429</xdr:rowOff>
    </xdr:from>
    <xdr:to>
      <xdr:col>2</xdr:col>
      <xdr:colOff>263071</xdr:colOff>
      <xdr:row>43</xdr:row>
      <xdr:rowOff>3629</xdr:rowOff>
    </xdr:to>
    <xdr:pic>
      <xdr:nvPicPr>
        <xdr:cNvPr id="33" name="Picture 4">
          <a:extLst>
            <a:ext uri="{FF2B5EF4-FFF2-40B4-BE49-F238E27FC236}">
              <a16:creationId xmlns:a16="http://schemas.microsoft.com/office/drawing/2014/main" id="{00000000-0008-0000-1F00-000021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7988754"/>
          <a:ext cx="0" cy="549275"/>
        </a:xfrm>
        <a:prstGeom prst="rect">
          <a:avLst/>
        </a:prstGeom>
        <a:noFill/>
        <a:ln>
          <a:noFill/>
        </a:ln>
      </xdr:spPr>
    </xdr:pic>
    <xdr:clientData/>
  </xdr:twoCellAnchor>
  <xdr:twoCellAnchor editAs="oneCell">
    <xdr:from>
      <xdr:col>1</xdr:col>
      <xdr:colOff>42863</xdr:colOff>
      <xdr:row>37</xdr:row>
      <xdr:rowOff>123825</xdr:rowOff>
    </xdr:from>
    <xdr:to>
      <xdr:col>1</xdr:col>
      <xdr:colOff>42863</xdr:colOff>
      <xdr:row>44</xdr:row>
      <xdr:rowOff>50325</xdr:rowOff>
    </xdr:to>
    <xdr:pic>
      <xdr:nvPicPr>
        <xdr:cNvPr id="34" name="Picture 6">
          <a:extLst>
            <a:ext uri="{FF2B5EF4-FFF2-40B4-BE49-F238E27FC236}">
              <a16:creationId xmlns:a16="http://schemas.microsoft.com/office/drawing/2014/main" id="{00000000-0008-0000-1F00-000022000000}"/>
            </a:ext>
          </a:extLst>
        </xdr:cNvPr>
        <xdr:cNvPicPr>
          <a:picLocks/>
        </xdr:cNvPicPr>
      </xdr:nvPicPr>
      <xdr:blipFill>
        <a:blip xmlns:r="http://schemas.openxmlformats.org/officeDocument/2006/relationships" r:embed="rId2"/>
        <a:srcRect/>
        <a:stretch>
          <a:fillRect/>
        </a:stretch>
      </xdr:blipFill>
      <xdr:spPr bwMode="auto">
        <a:xfrm>
          <a:off x="147638" y="7458075"/>
          <a:ext cx="0" cy="1326675"/>
        </a:xfrm>
        <a:prstGeom prst="rect">
          <a:avLst/>
        </a:prstGeom>
        <a:noFill/>
        <a:ln w="9525">
          <a:noFill/>
          <a:miter lim="800000"/>
          <a:headEnd/>
          <a:tailEnd/>
        </a:ln>
      </xdr:spPr>
    </xdr:pic>
    <xdr:clientData/>
  </xdr:twoCellAnchor>
  <xdr:twoCellAnchor editAs="oneCell">
    <xdr:from>
      <xdr:col>2</xdr:col>
      <xdr:colOff>263071</xdr:colOff>
      <xdr:row>40</xdr:row>
      <xdr:rowOff>54429</xdr:rowOff>
    </xdr:from>
    <xdr:to>
      <xdr:col>2</xdr:col>
      <xdr:colOff>263071</xdr:colOff>
      <xdr:row>43</xdr:row>
      <xdr:rowOff>3629</xdr:rowOff>
    </xdr:to>
    <xdr:pic>
      <xdr:nvPicPr>
        <xdr:cNvPr id="35" name="Picture 4">
          <a:extLst>
            <a:ext uri="{FF2B5EF4-FFF2-40B4-BE49-F238E27FC236}">
              <a16:creationId xmlns:a16="http://schemas.microsoft.com/office/drawing/2014/main" id="{00000000-0008-0000-1F00-000023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7988754"/>
          <a:ext cx="0" cy="549275"/>
        </a:xfrm>
        <a:prstGeom prst="rect">
          <a:avLst/>
        </a:prstGeom>
        <a:noFill/>
        <a:ln>
          <a:noFill/>
        </a:ln>
      </xdr:spPr>
    </xdr:pic>
    <xdr:clientData/>
  </xdr:twoCellAnchor>
  <xdr:twoCellAnchor editAs="oneCell">
    <xdr:from>
      <xdr:col>1</xdr:col>
      <xdr:colOff>42863</xdr:colOff>
      <xdr:row>37</xdr:row>
      <xdr:rowOff>123825</xdr:rowOff>
    </xdr:from>
    <xdr:to>
      <xdr:col>1</xdr:col>
      <xdr:colOff>42863</xdr:colOff>
      <xdr:row>44</xdr:row>
      <xdr:rowOff>50325</xdr:rowOff>
    </xdr:to>
    <xdr:pic>
      <xdr:nvPicPr>
        <xdr:cNvPr id="36" name="Picture 6">
          <a:extLst>
            <a:ext uri="{FF2B5EF4-FFF2-40B4-BE49-F238E27FC236}">
              <a16:creationId xmlns:a16="http://schemas.microsoft.com/office/drawing/2014/main" id="{00000000-0008-0000-1F00-000024000000}"/>
            </a:ext>
          </a:extLst>
        </xdr:cNvPr>
        <xdr:cNvPicPr>
          <a:picLocks/>
        </xdr:cNvPicPr>
      </xdr:nvPicPr>
      <xdr:blipFill>
        <a:blip xmlns:r="http://schemas.openxmlformats.org/officeDocument/2006/relationships" r:embed="rId2"/>
        <a:srcRect/>
        <a:stretch>
          <a:fillRect/>
        </a:stretch>
      </xdr:blipFill>
      <xdr:spPr bwMode="auto">
        <a:xfrm>
          <a:off x="147638" y="7458075"/>
          <a:ext cx="0" cy="1326675"/>
        </a:xfrm>
        <a:prstGeom prst="rect">
          <a:avLst/>
        </a:prstGeom>
        <a:noFill/>
        <a:ln w="9525">
          <a:noFill/>
          <a:miter lim="800000"/>
          <a:headEnd/>
          <a:tailEnd/>
        </a:ln>
      </xdr:spPr>
    </xdr:pic>
    <xdr:clientData/>
  </xdr:twoCellAnchor>
  <xdr:twoCellAnchor editAs="oneCell">
    <xdr:from>
      <xdr:col>2</xdr:col>
      <xdr:colOff>263071</xdr:colOff>
      <xdr:row>40</xdr:row>
      <xdr:rowOff>54429</xdr:rowOff>
    </xdr:from>
    <xdr:to>
      <xdr:col>2</xdr:col>
      <xdr:colOff>263071</xdr:colOff>
      <xdr:row>43</xdr:row>
      <xdr:rowOff>3629</xdr:rowOff>
    </xdr:to>
    <xdr:pic>
      <xdr:nvPicPr>
        <xdr:cNvPr id="37" name="Picture 4">
          <a:extLst>
            <a:ext uri="{FF2B5EF4-FFF2-40B4-BE49-F238E27FC236}">
              <a16:creationId xmlns:a16="http://schemas.microsoft.com/office/drawing/2014/main" id="{00000000-0008-0000-1F00-000025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7988754"/>
          <a:ext cx="0" cy="549275"/>
        </a:xfrm>
        <a:prstGeom prst="rect">
          <a:avLst/>
        </a:prstGeom>
        <a:noFill/>
        <a:ln>
          <a:noFill/>
        </a:ln>
      </xdr:spPr>
    </xdr:pic>
    <xdr:clientData/>
  </xdr:twoCellAnchor>
  <xdr:twoCellAnchor editAs="oneCell">
    <xdr:from>
      <xdr:col>1</xdr:col>
      <xdr:colOff>42863</xdr:colOff>
      <xdr:row>37</xdr:row>
      <xdr:rowOff>123825</xdr:rowOff>
    </xdr:from>
    <xdr:to>
      <xdr:col>1</xdr:col>
      <xdr:colOff>42863</xdr:colOff>
      <xdr:row>44</xdr:row>
      <xdr:rowOff>50325</xdr:rowOff>
    </xdr:to>
    <xdr:pic>
      <xdr:nvPicPr>
        <xdr:cNvPr id="38" name="Picture 6">
          <a:extLst>
            <a:ext uri="{FF2B5EF4-FFF2-40B4-BE49-F238E27FC236}">
              <a16:creationId xmlns:a16="http://schemas.microsoft.com/office/drawing/2014/main" id="{00000000-0008-0000-1F00-000026000000}"/>
            </a:ext>
          </a:extLst>
        </xdr:cNvPr>
        <xdr:cNvPicPr>
          <a:picLocks/>
        </xdr:cNvPicPr>
      </xdr:nvPicPr>
      <xdr:blipFill>
        <a:blip xmlns:r="http://schemas.openxmlformats.org/officeDocument/2006/relationships" r:embed="rId2"/>
        <a:srcRect/>
        <a:stretch>
          <a:fillRect/>
        </a:stretch>
      </xdr:blipFill>
      <xdr:spPr bwMode="auto">
        <a:xfrm>
          <a:off x="147638" y="7458075"/>
          <a:ext cx="0" cy="1326675"/>
        </a:xfrm>
        <a:prstGeom prst="rect">
          <a:avLst/>
        </a:prstGeom>
        <a:noFill/>
        <a:ln w="9525">
          <a:noFill/>
          <a:miter lim="800000"/>
          <a:headEnd/>
          <a:tailEnd/>
        </a:ln>
      </xdr:spPr>
    </xdr:pic>
    <xdr:clientData/>
  </xdr:twoCellAnchor>
  <xdr:twoCellAnchor editAs="oneCell">
    <xdr:from>
      <xdr:col>2</xdr:col>
      <xdr:colOff>263071</xdr:colOff>
      <xdr:row>39</xdr:row>
      <xdr:rowOff>54429</xdr:rowOff>
    </xdr:from>
    <xdr:to>
      <xdr:col>2</xdr:col>
      <xdr:colOff>263071</xdr:colOff>
      <xdr:row>42</xdr:row>
      <xdr:rowOff>3629</xdr:rowOff>
    </xdr:to>
    <xdr:pic>
      <xdr:nvPicPr>
        <xdr:cNvPr id="39" name="Picture 4">
          <a:extLst>
            <a:ext uri="{FF2B5EF4-FFF2-40B4-BE49-F238E27FC236}">
              <a16:creationId xmlns:a16="http://schemas.microsoft.com/office/drawing/2014/main" id="{00000000-0008-0000-1F00-000027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7788729"/>
          <a:ext cx="0" cy="549275"/>
        </a:xfrm>
        <a:prstGeom prst="rect">
          <a:avLst/>
        </a:prstGeom>
        <a:noFill/>
        <a:ln>
          <a:noFill/>
        </a:ln>
      </xdr:spPr>
    </xdr:pic>
    <xdr:clientData/>
  </xdr:twoCellAnchor>
  <xdr:twoCellAnchor editAs="oneCell">
    <xdr:from>
      <xdr:col>1</xdr:col>
      <xdr:colOff>42863</xdr:colOff>
      <xdr:row>36</xdr:row>
      <xdr:rowOff>123825</xdr:rowOff>
    </xdr:from>
    <xdr:to>
      <xdr:col>1</xdr:col>
      <xdr:colOff>42863</xdr:colOff>
      <xdr:row>43</xdr:row>
      <xdr:rowOff>40800</xdr:rowOff>
    </xdr:to>
    <xdr:pic>
      <xdr:nvPicPr>
        <xdr:cNvPr id="40" name="Picture 6">
          <a:extLst>
            <a:ext uri="{FF2B5EF4-FFF2-40B4-BE49-F238E27FC236}">
              <a16:creationId xmlns:a16="http://schemas.microsoft.com/office/drawing/2014/main" id="{00000000-0008-0000-1F00-000028000000}"/>
            </a:ext>
          </a:extLst>
        </xdr:cNvPr>
        <xdr:cNvPicPr>
          <a:picLocks/>
        </xdr:cNvPicPr>
      </xdr:nvPicPr>
      <xdr:blipFill>
        <a:blip xmlns:r="http://schemas.openxmlformats.org/officeDocument/2006/relationships" r:embed="rId2"/>
        <a:srcRect/>
        <a:stretch>
          <a:fillRect/>
        </a:stretch>
      </xdr:blipFill>
      <xdr:spPr bwMode="auto">
        <a:xfrm>
          <a:off x="147638" y="7248525"/>
          <a:ext cx="0" cy="1326675"/>
        </a:xfrm>
        <a:prstGeom prst="rect">
          <a:avLst/>
        </a:prstGeom>
        <a:noFill/>
        <a:ln w="9525">
          <a:noFill/>
          <a:miter lim="800000"/>
          <a:headEnd/>
          <a:tailEnd/>
        </a:ln>
      </xdr:spPr>
    </xdr:pic>
    <xdr:clientData/>
  </xdr:twoCellAnchor>
  <xdr:twoCellAnchor editAs="oneCell">
    <xdr:from>
      <xdr:col>1</xdr:col>
      <xdr:colOff>42863</xdr:colOff>
      <xdr:row>36</xdr:row>
      <xdr:rowOff>123825</xdr:rowOff>
    </xdr:from>
    <xdr:to>
      <xdr:col>1</xdr:col>
      <xdr:colOff>42863</xdr:colOff>
      <xdr:row>43</xdr:row>
      <xdr:rowOff>40800</xdr:rowOff>
    </xdr:to>
    <xdr:pic>
      <xdr:nvPicPr>
        <xdr:cNvPr id="41" name="Picture 6">
          <a:extLst>
            <a:ext uri="{FF2B5EF4-FFF2-40B4-BE49-F238E27FC236}">
              <a16:creationId xmlns:a16="http://schemas.microsoft.com/office/drawing/2014/main" id="{00000000-0008-0000-1F00-000029000000}"/>
            </a:ext>
          </a:extLst>
        </xdr:cNvPr>
        <xdr:cNvPicPr>
          <a:picLocks/>
        </xdr:cNvPicPr>
      </xdr:nvPicPr>
      <xdr:blipFill>
        <a:blip xmlns:r="http://schemas.openxmlformats.org/officeDocument/2006/relationships" r:embed="rId2"/>
        <a:srcRect/>
        <a:stretch>
          <a:fillRect/>
        </a:stretch>
      </xdr:blipFill>
      <xdr:spPr bwMode="auto">
        <a:xfrm>
          <a:off x="147638" y="7248525"/>
          <a:ext cx="0" cy="1326675"/>
        </a:xfrm>
        <a:prstGeom prst="rect">
          <a:avLst/>
        </a:prstGeom>
        <a:noFill/>
        <a:ln w="9525">
          <a:noFill/>
          <a:miter lim="800000"/>
          <a:headEnd/>
          <a:tailEnd/>
        </a:ln>
      </xdr:spPr>
    </xdr:pic>
    <xdr:clientData/>
  </xdr:twoCellAnchor>
  <xdr:oneCellAnchor>
    <xdr:from>
      <xdr:col>1</xdr:col>
      <xdr:colOff>85725</xdr:colOff>
      <xdr:row>0</xdr:row>
      <xdr:rowOff>85726</xdr:rowOff>
    </xdr:from>
    <xdr:ext cx="1543050" cy="1531218"/>
    <xdr:pic>
      <xdr:nvPicPr>
        <xdr:cNvPr id="42" name="Picture 41">
          <a:extLst>
            <a:ext uri="{FF2B5EF4-FFF2-40B4-BE49-F238E27FC236}">
              <a16:creationId xmlns:a16="http://schemas.microsoft.com/office/drawing/2014/main" id="{00000000-0008-0000-1F00-00002A000000}"/>
            </a:ext>
          </a:extLst>
        </xdr:cNvPr>
        <xdr:cNvPicPr>
          <a:picLocks noChangeAspect="1"/>
        </xdr:cNvPicPr>
      </xdr:nvPicPr>
      <xdr:blipFill>
        <a:blip xmlns:r="http://schemas.openxmlformats.org/officeDocument/2006/relationships" r:embed="rId3"/>
        <a:stretch>
          <a:fillRect/>
        </a:stretch>
      </xdr:blipFill>
      <xdr:spPr>
        <a:xfrm>
          <a:off x="190500" y="85726"/>
          <a:ext cx="1543050" cy="1531218"/>
        </a:xfrm>
        <a:prstGeom prst="rect">
          <a:avLst/>
        </a:prstGeom>
      </xdr:spPr>
    </xdr:pic>
    <xdr:clientData/>
  </xdr:oneCellAnchor>
  <xdr:twoCellAnchor editAs="oneCell">
    <xdr:from>
      <xdr:col>2</xdr:col>
      <xdr:colOff>263071</xdr:colOff>
      <xdr:row>39</xdr:row>
      <xdr:rowOff>54429</xdr:rowOff>
    </xdr:from>
    <xdr:to>
      <xdr:col>2</xdr:col>
      <xdr:colOff>263071</xdr:colOff>
      <xdr:row>42</xdr:row>
      <xdr:rowOff>3629</xdr:rowOff>
    </xdr:to>
    <xdr:pic>
      <xdr:nvPicPr>
        <xdr:cNvPr id="43" name="Picture 4">
          <a:extLst>
            <a:ext uri="{FF2B5EF4-FFF2-40B4-BE49-F238E27FC236}">
              <a16:creationId xmlns:a16="http://schemas.microsoft.com/office/drawing/2014/main" id="{00000000-0008-0000-1F00-00002B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7788729"/>
          <a:ext cx="0" cy="549275"/>
        </a:xfrm>
        <a:prstGeom prst="rect">
          <a:avLst/>
        </a:prstGeom>
        <a:noFill/>
        <a:ln>
          <a:noFill/>
        </a:ln>
      </xdr:spPr>
    </xdr:pic>
    <xdr:clientData/>
  </xdr:twoCellAnchor>
  <xdr:twoCellAnchor editAs="oneCell">
    <xdr:from>
      <xdr:col>1</xdr:col>
      <xdr:colOff>42863</xdr:colOff>
      <xdr:row>36</xdr:row>
      <xdr:rowOff>123825</xdr:rowOff>
    </xdr:from>
    <xdr:to>
      <xdr:col>1</xdr:col>
      <xdr:colOff>42863</xdr:colOff>
      <xdr:row>43</xdr:row>
      <xdr:rowOff>40800</xdr:rowOff>
    </xdr:to>
    <xdr:pic>
      <xdr:nvPicPr>
        <xdr:cNvPr id="44" name="Picture 6">
          <a:extLst>
            <a:ext uri="{FF2B5EF4-FFF2-40B4-BE49-F238E27FC236}">
              <a16:creationId xmlns:a16="http://schemas.microsoft.com/office/drawing/2014/main" id="{00000000-0008-0000-1F00-00002C000000}"/>
            </a:ext>
          </a:extLst>
        </xdr:cNvPr>
        <xdr:cNvPicPr>
          <a:picLocks/>
        </xdr:cNvPicPr>
      </xdr:nvPicPr>
      <xdr:blipFill>
        <a:blip xmlns:r="http://schemas.openxmlformats.org/officeDocument/2006/relationships" r:embed="rId2"/>
        <a:srcRect/>
        <a:stretch>
          <a:fillRect/>
        </a:stretch>
      </xdr:blipFill>
      <xdr:spPr bwMode="auto">
        <a:xfrm>
          <a:off x="147638" y="7248525"/>
          <a:ext cx="0" cy="1326675"/>
        </a:xfrm>
        <a:prstGeom prst="rect">
          <a:avLst/>
        </a:prstGeom>
        <a:noFill/>
        <a:ln w="9525">
          <a:noFill/>
          <a:miter lim="800000"/>
          <a:headEnd/>
          <a:tailEnd/>
        </a:ln>
      </xdr:spPr>
    </xdr:pic>
    <xdr:clientData/>
  </xdr:twoCellAnchor>
  <xdr:oneCellAnchor>
    <xdr:from>
      <xdr:col>1</xdr:col>
      <xdr:colOff>85725</xdr:colOff>
      <xdr:row>0</xdr:row>
      <xdr:rowOff>85726</xdr:rowOff>
    </xdr:from>
    <xdr:ext cx="1543050" cy="1531218"/>
    <xdr:pic>
      <xdr:nvPicPr>
        <xdr:cNvPr id="45" name="Picture 44">
          <a:extLst>
            <a:ext uri="{FF2B5EF4-FFF2-40B4-BE49-F238E27FC236}">
              <a16:creationId xmlns:a16="http://schemas.microsoft.com/office/drawing/2014/main" id="{00000000-0008-0000-1F00-00002D000000}"/>
            </a:ext>
          </a:extLst>
        </xdr:cNvPr>
        <xdr:cNvPicPr>
          <a:picLocks noChangeAspect="1"/>
        </xdr:cNvPicPr>
      </xdr:nvPicPr>
      <xdr:blipFill>
        <a:blip xmlns:r="http://schemas.openxmlformats.org/officeDocument/2006/relationships" r:embed="rId3"/>
        <a:stretch>
          <a:fillRect/>
        </a:stretch>
      </xdr:blipFill>
      <xdr:spPr>
        <a:xfrm>
          <a:off x="190500" y="85726"/>
          <a:ext cx="1543050" cy="1531218"/>
        </a:xfrm>
        <a:prstGeom prst="rect">
          <a:avLst/>
        </a:prstGeom>
      </xdr:spPr>
    </xdr:pic>
    <xdr:clientData/>
  </xdr:oneCellAnchor>
  <xdr:twoCellAnchor editAs="oneCell">
    <xdr:from>
      <xdr:col>1</xdr:col>
      <xdr:colOff>42863</xdr:colOff>
      <xdr:row>36</xdr:row>
      <xdr:rowOff>123825</xdr:rowOff>
    </xdr:from>
    <xdr:to>
      <xdr:col>1</xdr:col>
      <xdr:colOff>42863</xdr:colOff>
      <xdr:row>43</xdr:row>
      <xdr:rowOff>40800</xdr:rowOff>
    </xdr:to>
    <xdr:pic>
      <xdr:nvPicPr>
        <xdr:cNvPr id="46" name="Picture 6">
          <a:extLst>
            <a:ext uri="{FF2B5EF4-FFF2-40B4-BE49-F238E27FC236}">
              <a16:creationId xmlns:a16="http://schemas.microsoft.com/office/drawing/2014/main" id="{00000000-0008-0000-1F00-00002E000000}"/>
            </a:ext>
          </a:extLst>
        </xdr:cNvPr>
        <xdr:cNvPicPr>
          <a:picLocks/>
        </xdr:cNvPicPr>
      </xdr:nvPicPr>
      <xdr:blipFill>
        <a:blip xmlns:r="http://schemas.openxmlformats.org/officeDocument/2006/relationships" r:embed="rId2"/>
        <a:srcRect/>
        <a:stretch>
          <a:fillRect/>
        </a:stretch>
      </xdr:blipFill>
      <xdr:spPr bwMode="auto">
        <a:xfrm>
          <a:off x="147638" y="7248525"/>
          <a:ext cx="0" cy="1326675"/>
        </a:xfrm>
        <a:prstGeom prst="rect">
          <a:avLst/>
        </a:prstGeom>
        <a:noFill/>
        <a:ln w="9525">
          <a:noFill/>
          <a:miter lim="800000"/>
          <a:headEnd/>
          <a:tailEnd/>
        </a:ln>
      </xdr:spPr>
    </xdr:pic>
    <xdr:clientData/>
  </xdr:twoCellAnchor>
  <xdr:twoCellAnchor>
    <xdr:from>
      <xdr:col>13</xdr:col>
      <xdr:colOff>38100</xdr:colOff>
      <xdr:row>1</xdr:row>
      <xdr:rowOff>28575</xdr:rowOff>
    </xdr:from>
    <xdr:to>
      <xdr:col>15</xdr:col>
      <xdr:colOff>428625</xdr:colOff>
      <xdr:row>5</xdr:row>
      <xdr:rowOff>28575</xdr:rowOff>
    </xdr:to>
    <xdr:sp macro="[0]!Home" textlink="">
      <xdr:nvSpPr>
        <xdr:cNvPr id="47" name="Arrow: Left 46">
          <a:extLst>
            <a:ext uri="{FF2B5EF4-FFF2-40B4-BE49-F238E27FC236}">
              <a16:creationId xmlns:a16="http://schemas.microsoft.com/office/drawing/2014/main" id="{00000000-0008-0000-1F00-00002F000000}"/>
            </a:ext>
          </a:extLst>
        </xdr:cNvPr>
        <xdr:cNvSpPr/>
      </xdr:nvSpPr>
      <xdr:spPr>
        <a:xfrm>
          <a:off x="7677150" y="123825"/>
          <a:ext cx="1114425" cy="800100"/>
        </a:xfrm>
        <a:prstGeom prst="leftArrow">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800">
              <a:latin typeface="Times New Roman" panose="02020603050405020304" pitchFamily="18" charset="0"/>
              <a:cs typeface="Times New Roman" panose="02020603050405020304" pitchFamily="18" charset="0"/>
            </a:rPr>
            <a:t>HOME</a:t>
          </a:r>
        </a:p>
      </xdr:txBody>
    </xdr:sp>
    <xdr:clientData/>
  </xdr:twoCellAnchor>
  <xdr:twoCellAnchor editAs="oneCell">
    <xdr:from>
      <xdr:col>2</xdr:col>
      <xdr:colOff>172583</xdr:colOff>
      <xdr:row>39</xdr:row>
      <xdr:rowOff>16329</xdr:rowOff>
    </xdr:from>
    <xdr:to>
      <xdr:col>4</xdr:col>
      <xdr:colOff>1137783</xdr:colOff>
      <xdr:row>41</xdr:row>
      <xdr:rowOff>136979</xdr:rowOff>
    </xdr:to>
    <xdr:pic>
      <xdr:nvPicPr>
        <xdr:cNvPr id="48" name="Picture 4">
          <a:extLst>
            <a:ext uri="{FF2B5EF4-FFF2-40B4-BE49-F238E27FC236}">
              <a16:creationId xmlns:a16="http://schemas.microsoft.com/office/drawing/2014/main" id="{00000000-0008-0000-1F00-000030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534533" y="7750629"/>
          <a:ext cx="2155825" cy="520700"/>
        </a:xfrm>
        <a:prstGeom prst="rect">
          <a:avLst/>
        </a:prstGeom>
        <a:noFill/>
        <a:ln>
          <a:noFill/>
        </a:ln>
      </xdr:spPr>
    </xdr:pic>
    <xdr:clientData/>
  </xdr:twoCellAnchor>
  <xdr:twoCellAnchor editAs="oneCell">
    <xdr:from>
      <xdr:col>1</xdr:col>
      <xdr:colOff>57150</xdr:colOff>
      <xdr:row>37</xdr:row>
      <xdr:rowOff>9525</xdr:rowOff>
    </xdr:from>
    <xdr:to>
      <xdr:col>2</xdr:col>
      <xdr:colOff>1059975</xdr:colOff>
      <xdr:row>43</xdr:row>
      <xdr:rowOff>69375</xdr:rowOff>
    </xdr:to>
    <xdr:pic>
      <xdr:nvPicPr>
        <xdr:cNvPr id="49" name="Picture 6">
          <a:extLst>
            <a:ext uri="{FF2B5EF4-FFF2-40B4-BE49-F238E27FC236}">
              <a16:creationId xmlns:a16="http://schemas.microsoft.com/office/drawing/2014/main" id="{00000000-0008-0000-1F00-000031000000}"/>
            </a:ext>
          </a:extLst>
        </xdr:cNvPr>
        <xdr:cNvPicPr>
          <a:picLocks/>
        </xdr:cNvPicPr>
      </xdr:nvPicPr>
      <xdr:blipFill>
        <a:blip xmlns:r="http://schemas.openxmlformats.org/officeDocument/2006/relationships" r:embed="rId2"/>
        <a:srcRect/>
        <a:stretch>
          <a:fillRect/>
        </a:stretch>
      </xdr:blipFill>
      <xdr:spPr bwMode="auto">
        <a:xfrm>
          <a:off x="161925" y="7343775"/>
          <a:ext cx="1260000" cy="1260000"/>
        </a:xfrm>
        <a:prstGeom prst="rect">
          <a:avLst/>
        </a:prstGeom>
        <a:noFill/>
        <a:ln w="9525">
          <a:noFill/>
          <a:miter lim="800000"/>
          <a:headEnd/>
          <a:tailEnd/>
        </a:ln>
      </xdr:spPr>
    </xdr:pic>
    <xdr:clientData/>
  </xdr:twoCellAnchor>
  <xdr:twoCellAnchor>
    <xdr:from>
      <xdr:col>14</xdr:col>
      <xdr:colOff>161925</xdr:colOff>
      <xdr:row>14</xdr:row>
      <xdr:rowOff>161925</xdr:rowOff>
    </xdr:from>
    <xdr:to>
      <xdr:col>15</xdr:col>
      <xdr:colOff>523875</xdr:colOff>
      <xdr:row>17</xdr:row>
      <xdr:rowOff>47625</xdr:rowOff>
    </xdr:to>
    <xdr:sp macro="[0]!Cetak" textlink="">
      <xdr:nvSpPr>
        <xdr:cNvPr id="51" name="Rectangle: Single Corner Snipped 50">
          <a:extLst>
            <a:ext uri="{FF2B5EF4-FFF2-40B4-BE49-F238E27FC236}">
              <a16:creationId xmlns:a16="http://schemas.microsoft.com/office/drawing/2014/main" id="{00000000-0008-0000-1F00-000033000000}"/>
            </a:ext>
          </a:extLst>
        </xdr:cNvPr>
        <xdr:cNvSpPr/>
      </xdr:nvSpPr>
      <xdr:spPr>
        <a:xfrm>
          <a:off x="7915275" y="2647950"/>
          <a:ext cx="971550" cy="476250"/>
        </a:xfrm>
        <a:prstGeom prst="snip1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600" b="1">
              <a:solidFill>
                <a:schemeClr val="tx1"/>
              </a:solidFill>
              <a:latin typeface="Times New Roman" panose="02020603050405020304" pitchFamily="18" charset="0"/>
              <a:cs typeface="Times New Roman" panose="02020603050405020304" pitchFamily="18" charset="0"/>
            </a:rPr>
            <a:t>CETAK</a:t>
          </a:r>
        </a:p>
      </xdr:txBody>
    </xdr:sp>
    <xdr:clientData/>
  </xdr:twoCellAnchor>
  <xdr:twoCellAnchor>
    <xdr:from>
      <xdr:col>16</xdr:col>
      <xdr:colOff>95251</xdr:colOff>
      <xdr:row>14</xdr:row>
      <xdr:rowOff>161925</xdr:rowOff>
    </xdr:from>
    <xdr:to>
      <xdr:col>17</xdr:col>
      <xdr:colOff>695326</xdr:colOff>
      <xdr:row>17</xdr:row>
      <xdr:rowOff>9525</xdr:rowOff>
    </xdr:to>
    <xdr:sp macro="[0]!PDF" textlink="">
      <xdr:nvSpPr>
        <xdr:cNvPr id="52" name="Rectangle: Single Corner Snipped 51">
          <a:extLst>
            <a:ext uri="{FF2B5EF4-FFF2-40B4-BE49-F238E27FC236}">
              <a16:creationId xmlns:a16="http://schemas.microsoft.com/office/drawing/2014/main" id="{00000000-0008-0000-1F00-000034000000}"/>
            </a:ext>
          </a:extLst>
        </xdr:cNvPr>
        <xdr:cNvSpPr/>
      </xdr:nvSpPr>
      <xdr:spPr>
        <a:xfrm>
          <a:off x="9067801" y="2647950"/>
          <a:ext cx="762000" cy="438150"/>
        </a:xfrm>
        <a:prstGeom prst="snip1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600" b="1">
              <a:solidFill>
                <a:schemeClr val="tx1"/>
              </a:solidFill>
              <a:latin typeface="Times New Roman" panose="02020603050405020304" pitchFamily="18" charset="0"/>
              <a:cs typeface="Times New Roman" panose="02020603050405020304" pitchFamily="18" charset="0"/>
            </a:rPr>
            <a:t>PDF</a:t>
          </a:r>
        </a:p>
      </xdr:txBody>
    </xdr:sp>
    <xdr:clientData/>
  </xdr:twoCellAnchor>
  <xdr:twoCellAnchor>
    <xdr:from>
      <xdr:col>15</xdr:col>
      <xdr:colOff>66675</xdr:colOff>
      <xdr:row>17</xdr:row>
      <xdr:rowOff>228600</xdr:rowOff>
    </xdr:from>
    <xdr:to>
      <xdr:col>17</xdr:col>
      <xdr:colOff>200025</xdr:colOff>
      <xdr:row>20</xdr:row>
      <xdr:rowOff>66675</xdr:rowOff>
    </xdr:to>
    <xdr:sp macro="[0]!_xludf.SAVE" textlink="">
      <xdr:nvSpPr>
        <xdr:cNvPr id="53" name="Rectangle: Top Corners Snipped 52">
          <a:extLst>
            <a:ext uri="{FF2B5EF4-FFF2-40B4-BE49-F238E27FC236}">
              <a16:creationId xmlns:a16="http://schemas.microsoft.com/office/drawing/2014/main" id="{00000000-0008-0000-1F00-000035000000}"/>
            </a:ext>
          </a:extLst>
        </xdr:cNvPr>
        <xdr:cNvSpPr/>
      </xdr:nvSpPr>
      <xdr:spPr>
        <a:xfrm>
          <a:off x="8429625" y="3305175"/>
          <a:ext cx="904875" cy="638175"/>
        </a:xfrm>
        <a:prstGeom prst="snip2Same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ctr"/>
          <a:r>
            <a:rPr lang="en-US" sz="1200" b="1">
              <a:solidFill>
                <a:schemeClr val="tx1"/>
              </a:solidFill>
              <a:latin typeface="Times New Roman" panose="02020603050405020304" pitchFamily="18" charset="0"/>
              <a:cs typeface="Times New Roman" panose="02020603050405020304" pitchFamily="18" charset="0"/>
            </a:rPr>
            <a:t>SIMPAN DOKUMEN</a:t>
          </a:r>
        </a:p>
      </xdr:txBody>
    </xdr:sp>
    <xdr:clientData/>
  </xdr:twoCellAnchor>
  <xdr:twoCellAnchor editAs="oneCell">
    <xdr:from>
      <xdr:col>2</xdr:col>
      <xdr:colOff>263071</xdr:colOff>
      <xdr:row>40</xdr:row>
      <xdr:rowOff>54429</xdr:rowOff>
    </xdr:from>
    <xdr:to>
      <xdr:col>2</xdr:col>
      <xdr:colOff>263071</xdr:colOff>
      <xdr:row>43</xdr:row>
      <xdr:rowOff>3629</xdr:rowOff>
    </xdr:to>
    <xdr:pic>
      <xdr:nvPicPr>
        <xdr:cNvPr id="54" name="Picture 4">
          <a:extLst>
            <a:ext uri="{FF2B5EF4-FFF2-40B4-BE49-F238E27FC236}">
              <a16:creationId xmlns:a16="http://schemas.microsoft.com/office/drawing/2014/main" id="{00000000-0008-0000-1F00-000036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7988754"/>
          <a:ext cx="0" cy="549275"/>
        </a:xfrm>
        <a:prstGeom prst="rect">
          <a:avLst/>
        </a:prstGeom>
        <a:noFill/>
        <a:ln>
          <a:noFill/>
        </a:ln>
      </xdr:spPr>
    </xdr:pic>
    <xdr:clientData/>
  </xdr:twoCellAnchor>
  <xdr:twoCellAnchor editAs="oneCell">
    <xdr:from>
      <xdr:col>1</xdr:col>
      <xdr:colOff>42863</xdr:colOff>
      <xdr:row>37</xdr:row>
      <xdr:rowOff>123825</xdr:rowOff>
    </xdr:from>
    <xdr:to>
      <xdr:col>1</xdr:col>
      <xdr:colOff>42863</xdr:colOff>
      <xdr:row>44</xdr:row>
      <xdr:rowOff>50325</xdr:rowOff>
    </xdr:to>
    <xdr:pic>
      <xdr:nvPicPr>
        <xdr:cNvPr id="55" name="Picture 6">
          <a:extLst>
            <a:ext uri="{FF2B5EF4-FFF2-40B4-BE49-F238E27FC236}">
              <a16:creationId xmlns:a16="http://schemas.microsoft.com/office/drawing/2014/main" id="{00000000-0008-0000-1F00-000037000000}"/>
            </a:ext>
          </a:extLst>
        </xdr:cNvPr>
        <xdr:cNvPicPr>
          <a:picLocks/>
        </xdr:cNvPicPr>
      </xdr:nvPicPr>
      <xdr:blipFill>
        <a:blip xmlns:r="http://schemas.openxmlformats.org/officeDocument/2006/relationships" r:embed="rId2"/>
        <a:srcRect/>
        <a:stretch>
          <a:fillRect/>
        </a:stretch>
      </xdr:blipFill>
      <xdr:spPr bwMode="auto">
        <a:xfrm>
          <a:off x="147638" y="7458075"/>
          <a:ext cx="0" cy="1326675"/>
        </a:xfrm>
        <a:prstGeom prst="rect">
          <a:avLst/>
        </a:prstGeom>
        <a:noFill/>
        <a:ln w="9525">
          <a:noFill/>
          <a:miter lim="800000"/>
          <a:headEnd/>
          <a:tailEnd/>
        </a:ln>
      </xdr:spPr>
    </xdr:pic>
    <xdr:clientData/>
  </xdr:twoCellAnchor>
  <xdr:twoCellAnchor editAs="oneCell">
    <xdr:from>
      <xdr:col>2</xdr:col>
      <xdr:colOff>263071</xdr:colOff>
      <xdr:row>40</xdr:row>
      <xdr:rowOff>54429</xdr:rowOff>
    </xdr:from>
    <xdr:to>
      <xdr:col>2</xdr:col>
      <xdr:colOff>263071</xdr:colOff>
      <xdr:row>43</xdr:row>
      <xdr:rowOff>3629</xdr:rowOff>
    </xdr:to>
    <xdr:pic>
      <xdr:nvPicPr>
        <xdr:cNvPr id="56" name="Picture 4">
          <a:extLst>
            <a:ext uri="{FF2B5EF4-FFF2-40B4-BE49-F238E27FC236}">
              <a16:creationId xmlns:a16="http://schemas.microsoft.com/office/drawing/2014/main" id="{00000000-0008-0000-1F00-000038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7988754"/>
          <a:ext cx="0" cy="549275"/>
        </a:xfrm>
        <a:prstGeom prst="rect">
          <a:avLst/>
        </a:prstGeom>
        <a:noFill/>
        <a:ln>
          <a:noFill/>
        </a:ln>
      </xdr:spPr>
    </xdr:pic>
    <xdr:clientData/>
  </xdr:twoCellAnchor>
  <xdr:twoCellAnchor editAs="oneCell">
    <xdr:from>
      <xdr:col>1</xdr:col>
      <xdr:colOff>42863</xdr:colOff>
      <xdr:row>37</xdr:row>
      <xdr:rowOff>123825</xdr:rowOff>
    </xdr:from>
    <xdr:to>
      <xdr:col>1</xdr:col>
      <xdr:colOff>42863</xdr:colOff>
      <xdr:row>44</xdr:row>
      <xdr:rowOff>50325</xdr:rowOff>
    </xdr:to>
    <xdr:pic>
      <xdr:nvPicPr>
        <xdr:cNvPr id="57" name="Picture 6">
          <a:extLst>
            <a:ext uri="{FF2B5EF4-FFF2-40B4-BE49-F238E27FC236}">
              <a16:creationId xmlns:a16="http://schemas.microsoft.com/office/drawing/2014/main" id="{00000000-0008-0000-1F00-000039000000}"/>
            </a:ext>
          </a:extLst>
        </xdr:cNvPr>
        <xdr:cNvPicPr>
          <a:picLocks/>
        </xdr:cNvPicPr>
      </xdr:nvPicPr>
      <xdr:blipFill>
        <a:blip xmlns:r="http://schemas.openxmlformats.org/officeDocument/2006/relationships" r:embed="rId2"/>
        <a:srcRect/>
        <a:stretch>
          <a:fillRect/>
        </a:stretch>
      </xdr:blipFill>
      <xdr:spPr bwMode="auto">
        <a:xfrm>
          <a:off x="147638" y="7458075"/>
          <a:ext cx="0" cy="1326675"/>
        </a:xfrm>
        <a:prstGeom prst="rect">
          <a:avLst/>
        </a:prstGeom>
        <a:noFill/>
        <a:ln w="9525">
          <a:noFill/>
          <a:miter lim="800000"/>
          <a:headEnd/>
          <a:tailEnd/>
        </a:ln>
      </xdr:spPr>
    </xdr:pic>
    <xdr:clientData/>
  </xdr:twoCellAnchor>
  <xdr:twoCellAnchor editAs="oneCell">
    <xdr:from>
      <xdr:col>2</xdr:col>
      <xdr:colOff>263071</xdr:colOff>
      <xdr:row>40</xdr:row>
      <xdr:rowOff>54429</xdr:rowOff>
    </xdr:from>
    <xdr:to>
      <xdr:col>2</xdr:col>
      <xdr:colOff>263071</xdr:colOff>
      <xdr:row>43</xdr:row>
      <xdr:rowOff>3629</xdr:rowOff>
    </xdr:to>
    <xdr:pic>
      <xdr:nvPicPr>
        <xdr:cNvPr id="58" name="Picture 4">
          <a:extLst>
            <a:ext uri="{FF2B5EF4-FFF2-40B4-BE49-F238E27FC236}">
              <a16:creationId xmlns:a16="http://schemas.microsoft.com/office/drawing/2014/main" id="{00000000-0008-0000-1F00-00003A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7988754"/>
          <a:ext cx="0" cy="549275"/>
        </a:xfrm>
        <a:prstGeom prst="rect">
          <a:avLst/>
        </a:prstGeom>
        <a:noFill/>
        <a:ln>
          <a:noFill/>
        </a:ln>
      </xdr:spPr>
    </xdr:pic>
    <xdr:clientData/>
  </xdr:twoCellAnchor>
  <xdr:twoCellAnchor editAs="oneCell">
    <xdr:from>
      <xdr:col>1</xdr:col>
      <xdr:colOff>42863</xdr:colOff>
      <xdr:row>37</xdr:row>
      <xdr:rowOff>123825</xdr:rowOff>
    </xdr:from>
    <xdr:to>
      <xdr:col>1</xdr:col>
      <xdr:colOff>42863</xdr:colOff>
      <xdr:row>44</xdr:row>
      <xdr:rowOff>50325</xdr:rowOff>
    </xdr:to>
    <xdr:pic>
      <xdr:nvPicPr>
        <xdr:cNvPr id="59" name="Picture 6">
          <a:extLst>
            <a:ext uri="{FF2B5EF4-FFF2-40B4-BE49-F238E27FC236}">
              <a16:creationId xmlns:a16="http://schemas.microsoft.com/office/drawing/2014/main" id="{00000000-0008-0000-1F00-00003B000000}"/>
            </a:ext>
          </a:extLst>
        </xdr:cNvPr>
        <xdr:cNvPicPr>
          <a:picLocks/>
        </xdr:cNvPicPr>
      </xdr:nvPicPr>
      <xdr:blipFill>
        <a:blip xmlns:r="http://schemas.openxmlformats.org/officeDocument/2006/relationships" r:embed="rId2"/>
        <a:srcRect/>
        <a:stretch>
          <a:fillRect/>
        </a:stretch>
      </xdr:blipFill>
      <xdr:spPr bwMode="auto">
        <a:xfrm>
          <a:off x="147638" y="7458075"/>
          <a:ext cx="0" cy="1326675"/>
        </a:xfrm>
        <a:prstGeom prst="rect">
          <a:avLst/>
        </a:prstGeom>
        <a:noFill/>
        <a:ln w="9525">
          <a:noFill/>
          <a:miter lim="800000"/>
          <a:headEnd/>
          <a:tailEnd/>
        </a:ln>
      </xdr:spPr>
    </xdr:pic>
    <xdr:clientData/>
  </xdr:twoCellAnchor>
  <xdr:twoCellAnchor editAs="oneCell">
    <xdr:from>
      <xdr:col>2</xdr:col>
      <xdr:colOff>263071</xdr:colOff>
      <xdr:row>40</xdr:row>
      <xdr:rowOff>54429</xdr:rowOff>
    </xdr:from>
    <xdr:to>
      <xdr:col>2</xdr:col>
      <xdr:colOff>263071</xdr:colOff>
      <xdr:row>43</xdr:row>
      <xdr:rowOff>3629</xdr:rowOff>
    </xdr:to>
    <xdr:pic>
      <xdr:nvPicPr>
        <xdr:cNvPr id="60" name="Picture 4">
          <a:extLst>
            <a:ext uri="{FF2B5EF4-FFF2-40B4-BE49-F238E27FC236}">
              <a16:creationId xmlns:a16="http://schemas.microsoft.com/office/drawing/2014/main" id="{00000000-0008-0000-1F00-00003C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7988754"/>
          <a:ext cx="0" cy="549275"/>
        </a:xfrm>
        <a:prstGeom prst="rect">
          <a:avLst/>
        </a:prstGeom>
        <a:noFill/>
        <a:ln>
          <a:noFill/>
        </a:ln>
      </xdr:spPr>
    </xdr:pic>
    <xdr:clientData/>
  </xdr:twoCellAnchor>
  <xdr:twoCellAnchor editAs="oneCell">
    <xdr:from>
      <xdr:col>1</xdr:col>
      <xdr:colOff>42863</xdr:colOff>
      <xdr:row>37</xdr:row>
      <xdr:rowOff>123825</xdr:rowOff>
    </xdr:from>
    <xdr:to>
      <xdr:col>1</xdr:col>
      <xdr:colOff>42863</xdr:colOff>
      <xdr:row>44</xdr:row>
      <xdr:rowOff>50325</xdr:rowOff>
    </xdr:to>
    <xdr:pic>
      <xdr:nvPicPr>
        <xdr:cNvPr id="61" name="Picture 6">
          <a:extLst>
            <a:ext uri="{FF2B5EF4-FFF2-40B4-BE49-F238E27FC236}">
              <a16:creationId xmlns:a16="http://schemas.microsoft.com/office/drawing/2014/main" id="{00000000-0008-0000-1F00-00003D000000}"/>
            </a:ext>
          </a:extLst>
        </xdr:cNvPr>
        <xdr:cNvPicPr>
          <a:picLocks/>
        </xdr:cNvPicPr>
      </xdr:nvPicPr>
      <xdr:blipFill>
        <a:blip xmlns:r="http://schemas.openxmlformats.org/officeDocument/2006/relationships" r:embed="rId2"/>
        <a:srcRect/>
        <a:stretch>
          <a:fillRect/>
        </a:stretch>
      </xdr:blipFill>
      <xdr:spPr bwMode="auto">
        <a:xfrm>
          <a:off x="147638" y="7458075"/>
          <a:ext cx="0" cy="1326675"/>
        </a:xfrm>
        <a:prstGeom prst="rect">
          <a:avLst/>
        </a:prstGeom>
        <a:noFill/>
        <a:ln w="9525">
          <a:noFill/>
          <a:miter lim="800000"/>
          <a:headEnd/>
          <a:tailEnd/>
        </a:ln>
      </xdr:spPr>
    </xdr:pic>
    <xdr:clientData/>
  </xdr:twoCellAnchor>
  <xdr:twoCellAnchor editAs="oneCell">
    <xdr:from>
      <xdr:col>2</xdr:col>
      <xdr:colOff>263071</xdr:colOff>
      <xdr:row>39</xdr:row>
      <xdr:rowOff>54429</xdr:rowOff>
    </xdr:from>
    <xdr:to>
      <xdr:col>2</xdr:col>
      <xdr:colOff>263071</xdr:colOff>
      <xdr:row>42</xdr:row>
      <xdr:rowOff>3629</xdr:rowOff>
    </xdr:to>
    <xdr:pic>
      <xdr:nvPicPr>
        <xdr:cNvPr id="62" name="Picture 4">
          <a:extLst>
            <a:ext uri="{FF2B5EF4-FFF2-40B4-BE49-F238E27FC236}">
              <a16:creationId xmlns:a16="http://schemas.microsoft.com/office/drawing/2014/main" id="{00000000-0008-0000-1F00-00003E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7788729"/>
          <a:ext cx="0" cy="549275"/>
        </a:xfrm>
        <a:prstGeom prst="rect">
          <a:avLst/>
        </a:prstGeom>
        <a:noFill/>
        <a:ln>
          <a:noFill/>
        </a:ln>
      </xdr:spPr>
    </xdr:pic>
    <xdr:clientData/>
  </xdr:twoCellAnchor>
  <xdr:twoCellAnchor editAs="oneCell">
    <xdr:from>
      <xdr:col>1</xdr:col>
      <xdr:colOff>42863</xdr:colOff>
      <xdr:row>36</xdr:row>
      <xdr:rowOff>123825</xdr:rowOff>
    </xdr:from>
    <xdr:to>
      <xdr:col>1</xdr:col>
      <xdr:colOff>42863</xdr:colOff>
      <xdr:row>43</xdr:row>
      <xdr:rowOff>40800</xdr:rowOff>
    </xdr:to>
    <xdr:pic>
      <xdr:nvPicPr>
        <xdr:cNvPr id="63" name="Picture 6">
          <a:extLst>
            <a:ext uri="{FF2B5EF4-FFF2-40B4-BE49-F238E27FC236}">
              <a16:creationId xmlns:a16="http://schemas.microsoft.com/office/drawing/2014/main" id="{00000000-0008-0000-1F00-00003F000000}"/>
            </a:ext>
          </a:extLst>
        </xdr:cNvPr>
        <xdr:cNvPicPr>
          <a:picLocks/>
        </xdr:cNvPicPr>
      </xdr:nvPicPr>
      <xdr:blipFill>
        <a:blip xmlns:r="http://schemas.openxmlformats.org/officeDocument/2006/relationships" r:embed="rId2"/>
        <a:srcRect/>
        <a:stretch>
          <a:fillRect/>
        </a:stretch>
      </xdr:blipFill>
      <xdr:spPr bwMode="auto">
        <a:xfrm>
          <a:off x="147638" y="7248525"/>
          <a:ext cx="0" cy="1326675"/>
        </a:xfrm>
        <a:prstGeom prst="rect">
          <a:avLst/>
        </a:prstGeom>
        <a:noFill/>
        <a:ln w="9525">
          <a:noFill/>
          <a:miter lim="800000"/>
          <a:headEnd/>
          <a:tailEnd/>
        </a:ln>
      </xdr:spPr>
    </xdr:pic>
    <xdr:clientData/>
  </xdr:twoCellAnchor>
  <xdr:twoCellAnchor editAs="oneCell">
    <xdr:from>
      <xdr:col>1</xdr:col>
      <xdr:colOff>42863</xdr:colOff>
      <xdr:row>36</xdr:row>
      <xdr:rowOff>123825</xdr:rowOff>
    </xdr:from>
    <xdr:to>
      <xdr:col>1</xdr:col>
      <xdr:colOff>42863</xdr:colOff>
      <xdr:row>43</xdr:row>
      <xdr:rowOff>40800</xdr:rowOff>
    </xdr:to>
    <xdr:pic>
      <xdr:nvPicPr>
        <xdr:cNvPr id="64" name="Picture 6">
          <a:extLst>
            <a:ext uri="{FF2B5EF4-FFF2-40B4-BE49-F238E27FC236}">
              <a16:creationId xmlns:a16="http://schemas.microsoft.com/office/drawing/2014/main" id="{00000000-0008-0000-1F00-000040000000}"/>
            </a:ext>
          </a:extLst>
        </xdr:cNvPr>
        <xdr:cNvPicPr>
          <a:picLocks/>
        </xdr:cNvPicPr>
      </xdr:nvPicPr>
      <xdr:blipFill>
        <a:blip xmlns:r="http://schemas.openxmlformats.org/officeDocument/2006/relationships" r:embed="rId2"/>
        <a:srcRect/>
        <a:stretch>
          <a:fillRect/>
        </a:stretch>
      </xdr:blipFill>
      <xdr:spPr bwMode="auto">
        <a:xfrm>
          <a:off x="147638" y="7248525"/>
          <a:ext cx="0" cy="1326675"/>
        </a:xfrm>
        <a:prstGeom prst="rect">
          <a:avLst/>
        </a:prstGeom>
        <a:noFill/>
        <a:ln w="9525">
          <a:noFill/>
          <a:miter lim="800000"/>
          <a:headEnd/>
          <a:tailEnd/>
        </a:ln>
      </xdr:spPr>
    </xdr:pic>
    <xdr:clientData/>
  </xdr:twoCellAnchor>
  <xdr:twoCellAnchor editAs="oneCell">
    <xdr:from>
      <xdr:col>2</xdr:col>
      <xdr:colOff>263071</xdr:colOff>
      <xdr:row>40</xdr:row>
      <xdr:rowOff>54429</xdr:rowOff>
    </xdr:from>
    <xdr:to>
      <xdr:col>2</xdr:col>
      <xdr:colOff>263071</xdr:colOff>
      <xdr:row>43</xdr:row>
      <xdr:rowOff>3629</xdr:rowOff>
    </xdr:to>
    <xdr:pic>
      <xdr:nvPicPr>
        <xdr:cNvPr id="65" name="Picture 4">
          <a:extLst>
            <a:ext uri="{FF2B5EF4-FFF2-40B4-BE49-F238E27FC236}">
              <a16:creationId xmlns:a16="http://schemas.microsoft.com/office/drawing/2014/main" id="{00000000-0008-0000-1F00-000041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7988754"/>
          <a:ext cx="0" cy="549275"/>
        </a:xfrm>
        <a:prstGeom prst="rect">
          <a:avLst/>
        </a:prstGeom>
        <a:noFill/>
        <a:ln>
          <a:noFill/>
        </a:ln>
      </xdr:spPr>
    </xdr:pic>
    <xdr:clientData/>
  </xdr:twoCellAnchor>
  <xdr:twoCellAnchor editAs="oneCell">
    <xdr:from>
      <xdr:col>1</xdr:col>
      <xdr:colOff>42863</xdr:colOff>
      <xdr:row>37</xdr:row>
      <xdr:rowOff>123825</xdr:rowOff>
    </xdr:from>
    <xdr:to>
      <xdr:col>1</xdr:col>
      <xdr:colOff>42863</xdr:colOff>
      <xdr:row>44</xdr:row>
      <xdr:rowOff>50325</xdr:rowOff>
    </xdr:to>
    <xdr:pic>
      <xdr:nvPicPr>
        <xdr:cNvPr id="66" name="Picture 6">
          <a:extLst>
            <a:ext uri="{FF2B5EF4-FFF2-40B4-BE49-F238E27FC236}">
              <a16:creationId xmlns:a16="http://schemas.microsoft.com/office/drawing/2014/main" id="{00000000-0008-0000-1F00-000042000000}"/>
            </a:ext>
          </a:extLst>
        </xdr:cNvPr>
        <xdr:cNvPicPr>
          <a:picLocks/>
        </xdr:cNvPicPr>
      </xdr:nvPicPr>
      <xdr:blipFill>
        <a:blip xmlns:r="http://schemas.openxmlformats.org/officeDocument/2006/relationships" r:embed="rId2"/>
        <a:srcRect/>
        <a:stretch>
          <a:fillRect/>
        </a:stretch>
      </xdr:blipFill>
      <xdr:spPr bwMode="auto">
        <a:xfrm>
          <a:off x="147638" y="7458075"/>
          <a:ext cx="0" cy="1326675"/>
        </a:xfrm>
        <a:prstGeom prst="rect">
          <a:avLst/>
        </a:prstGeom>
        <a:noFill/>
        <a:ln w="9525">
          <a:noFill/>
          <a:miter lim="800000"/>
          <a:headEnd/>
          <a:tailEnd/>
        </a:ln>
      </xdr:spPr>
    </xdr:pic>
    <xdr:clientData/>
  </xdr:twoCellAnchor>
  <xdr:twoCellAnchor editAs="oneCell">
    <xdr:from>
      <xdr:col>2</xdr:col>
      <xdr:colOff>263071</xdr:colOff>
      <xdr:row>40</xdr:row>
      <xdr:rowOff>54429</xdr:rowOff>
    </xdr:from>
    <xdr:to>
      <xdr:col>2</xdr:col>
      <xdr:colOff>263071</xdr:colOff>
      <xdr:row>43</xdr:row>
      <xdr:rowOff>3629</xdr:rowOff>
    </xdr:to>
    <xdr:pic>
      <xdr:nvPicPr>
        <xdr:cNvPr id="67" name="Picture 4">
          <a:extLst>
            <a:ext uri="{FF2B5EF4-FFF2-40B4-BE49-F238E27FC236}">
              <a16:creationId xmlns:a16="http://schemas.microsoft.com/office/drawing/2014/main" id="{00000000-0008-0000-1F00-000043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7988754"/>
          <a:ext cx="0" cy="549275"/>
        </a:xfrm>
        <a:prstGeom prst="rect">
          <a:avLst/>
        </a:prstGeom>
        <a:noFill/>
        <a:ln>
          <a:noFill/>
        </a:ln>
      </xdr:spPr>
    </xdr:pic>
    <xdr:clientData/>
  </xdr:twoCellAnchor>
  <xdr:twoCellAnchor editAs="oneCell">
    <xdr:from>
      <xdr:col>1</xdr:col>
      <xdr:colOff>42863</xdr:colOff>
      <xdr:row>37</xdr:row>
      <xdr:rowOff>123825</xdr:rowOff>
    </xdr:from>
    <xdr:to>
      <xdr:col>1</xdr:col>
      <xdr:colOff>42863</xdr:colOff>
      <xdr:row>44</xdr:row>
      <xdr:rowOff>50325</xdr:rowOff>
    </xdr:to>
    <xdr:pic>
      <xdr:nvPicPr>
        <xdr:cNvPr id="68" name="Picture 6">
          <a:extLst>
            <a:ext uri="{FF2B5EF4-FFF2-40B4-BE49-F238E27FC236}">
              <a16:creationId xmlns:a16="http://schemas.microsoft.com/office/drawing/2014/main" id="{00000000-0008-0000-1F00-000044000000}"/>
            </a:ext>
          </a:extLst>
        </xdr:cNvPr>
        <xdr:cNvPicPr>
          <a:picLocks/>
        </xdr:cNvPicPr>
      </xdr:nvPicPr>
      <xdr:blipFill>
        <a:blip xmlns:r="http://schemas.openxmlformats.org/officeDocument/2006/relationships" r:embed="rId2"/>
        <a:srcRect/>
        <a:stretch>
          <a:fillRect/>
        </a:stretch>
      </xdr:blipFill>
      <xdr:spPr bwMode="auto">
        <a:xfrm>
          <a:off x="147638" y="7458075"/>
          <a:ext cx="0" cy="1326675"/>
        </a:xfrm>
        <a:prstGeom prst="rect">
          <a:avLst/>
        </a:prstGeom>
        <a:noFill/>
        <a:ln w="9525">
          <a:noFill/>
          <a:miter lim="800000"/>
          <a:headEnd/>
          <a:tailEnd/>
        </a:ln>
      </xdr:spPr>
    </xdr:pic>
    <xdr:clientData/>
  </xdr:twoCellAnchor>
  <xdr:twoCellAnchor editAs="oneCell">
    <xdr:from>
      <xdr:col>2</xdr:col>
      <xdr:colOff>263071</xdr:colOff>
      <xdr:row>40</xdr:row>
      <xdr:rowOff>54429</xdr:rowOff>
    </xdr:from>
    <xdr:to>
      <xdr:col>2</xdr:col>
      <xdr:colOff>263071</xdr:colOff>
      <xdr:row>43</xdr:row>
      <xdr:rowOff>3629</xdr:rowOff>
    </xdr:to>
    <xdr:pic>
      <xdr:nvPicPr>
        <xdr:cNvPr id="69" name="Picture 4">
          <a:extLst>
            <a:ext uri="{FF2B5EF4-FFF2-40B4-BE49-F238E27FC236}">
              <a16:creationId xmlns:a16="http://schemas.microsoft.com/office/drawing/2014/main" id="{00000000-0008-0000-1F00-000045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7988754"/>
          <a:ext cx="0" cy="549275"/>
        </a:xfrm>
        <a:prstGeom prst="rect">
          <a:avLst/>
        </a:prstGeom>
        <a:noFill/>
        <a:ln>
          <a:noFill/>
        </a:ln>
      </xdr:spPr>
    </xdr:pic>
    <xdr:clientData/>
  </xdr:twoCellAnchor>
  <xdr:twoCellAnchor editAs="oneCell">
    <xdr:from>
      <xdr:col>1</xdr:col>
      <xdr:colOff>42863</xdr:colOff>
      <xdr:row>37</xdr:row>
      <xdr:rowOff>123825</xdr:rowOff>
    </xdr:from>
    <xdr:to>
      <xdr:col>1</xdr:col>
      <xdr:colOff>42863</xdr:colOff>
      <xdr:row>44</xdr:row>
      <xdr:rowOff>50325</xdr:rowOff>
    </xdr:to>
    <xdr:pic>
      <xdr:nvPicPr>
        <xdr:cNvPr id="70" name="Picture 6">
          <a:extLst>
            <a:ext uri="{FF2B5EF4-FFF2-40B4-BE49-F238E27FC236}">
              <a16:creationId xmlns:a16="http://schemas.microsoft.com/office/drawing/2014/main" id="{00000000-0008-0000-1F00-000046000000}"/>
            </a:ext>
          </a:extLst>
        </xdr:cNvPr>
        <xdr:cNvPicPr>
          <a:picLocks/>
        </xdr:cNvPicPr>
      </xdr:nvPicPr>
      <xdr:blipFill>
        <a:blip xmlns:r="http://schemas.openxmlformats.org/officeDocument/2006/relationships" r:embed="rId2"/>
        <a:srcRect/>
        <a:stretch>
          <a:fillRect/>
        </a:stretch>
      </xdr:blipFill>
      <xdr:spPr bwMode="auto">
        <a:xfrm>
          <a:off x="147638" y="7458075"/>
          <a:ext cx="0" cy="1326675"/>
        </a:xfrm>
        <a:prstGeom prst="rect">
          <a:avLst/>
        </a:prstGeom>
        <a:noFill/>
        <a:ln w="9525">
          <a:noFill/>
          <a:miter lim="800000"/>
          <a:headEnd/>
          <a:tailEnd/>
        </a:ln>
      </xdr:spPr>
    </xdr:pic>
    <xdr:clientData/>
  </xdr:twoCellAnchor>
  <xdr:twoCellAnchor editAs="oneCell">
    <xdr:from>
      <xdr:col>2</xdr:col>
      <xdr:colOff>263071</xdr:colOff>
      <xdr:row>39</xdr:row>
      <xdr:rowOff>54429</xdr:rowOff>
    </xdr:from>
    <xdr:to>
      <xdr:col>2</xdr:col>
      <xdr:colOff>263071</xdr:colOff>
      <xdr:row>42</xdr:row>
      <xdr:rowOff>3629</xdr:rowOff>
    </xdr:to>
    <xdr:pic>
      <xdr:nvPicPr>
        <xdr:cNvPr id="71" name="Picture 4">
          <a:extLst>
            <a:ext uri="{FF2B5EF4-FFF2-40B4-BE49-F238E27FC236}">
              <a16:creationId xmlns:a16="http://schemas.microsoft.com/office/drawing/2014/main" id="{00000000-0008-0000-1F00-000047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7788729"/>
          <a:ext cx="0" cy="549275"/>
        </a:xfrm>
        <a:prstGeom prst="rect">
          <a:avLst/>
        </a:prstGeom>
        <a:noFill/>
        <a:ln>
          <a:noFill/>
        </a:ln>
      </xdr:spPr>
    </xdr:pic>
    <xdr:clientData/>
  </xdr:twoCellAnchor>
  <xdr:twoCellAnchor editAs="oneCell">
    <xdr:from>
      <xdr:col>1</xdr:col>
      <xdr:colOff>42863</xdr:colOff>
      <xdr:row>36</xdr:row>
      <xdr:rowOff>123825</xdr:rowOff>
    </xdr:from>
    <xdr:to>
      <xdr:col>1</xdr:col>
      <xdr:colOff>42863</xdr:colOff>
      <xdr:row>43</xdr:row>
      <xdr:rowOff>40800</xdr:rowOff>
    </xdr:to>
    <xdr:pic>
      <xdr:nvPicPr>
        <xdr:cNvPr id="72" name="Picture 6">
          <a:extLst>
            <a:ext uri="{FF2B5EF4-FFF2-40B4-BE49-F238E27FC236}">
              <a16:creationId xmlns:a16="http://schemas.microsoft.com/office/drawing/2014/main" id="{00000000-0008-0000-1F00-000048000000}"/>
            </a:ext>
          </a:extLst>
        </xdr:cNvPr>
        <xdr:cNvPicPr>
          <a:picLocks/>
        </xdr:cNvPicPr>
      </xdr:nvPicPr>
      <xdr:blipFill>
        <a:blip xmlns:r="http://schemas.openxmlformats.org/officeDocument/2006/relationships" r:embed="rId2"/>
        <a:srcRect/>
        <a:stretch>
          <a:fillRect/>
        </a:stretch>
      </xdr:blipFill>
      <xdr:spPr bwMode="auto">
        <a:xfrm>
          <a:off x="147638" y="7248525"/>
          <a:ext cx="0" cy="1326675"/>
        </a:xfrm>
        <a:prstGeom prst="rect">
          <a:avLst/>
        </a:prstGeom>
        <a:noFill/>
        <a:ln w="9525">
          <a:noFill/>
          <a:miter lim="800000"/>
          <a:headEnd/>
          <a:tailEnd/>
        </a:ln>
      </xdr:spPr>
    </xdr:pic>
    <xdr:clientData/>
  </xdr:twoCellAnchor>
  <xdr:twoCellAnchor editAs="oneCell">
    <xdr:from>
      <xdr:col>1</xdr:col>
      <xdr:colOff>42863</xdr:colOff>
      <xdr:row>36</xdr:row>
      <xdr:rowOff>123825</xdr:rowOff>
    </xdr:from>
    <xdr:to>
      <xdr:col>1</xdr:col>
      <xdr:colOff>42863</xdr:colOff>
      <xdr:row>43</xdr:row>
      <xdr:rowOff>40800</xdr:rowOff>
    </xdr:to>
    <xdr:pic>
      <xdr:nvPicPr>
        <xdr:cNvPr id="73" name="Picture 6">
          <a:extLst>
            <a:ext uri="{FF2B5EF4-FFF2-40B4-BE49-F238E27FC236}">
              <a16:creationId xmlns:a16="http://schemas.microsoft.com/office/drawing/2014/main" id="{00000000-0008-0000-1F00-000049000000}"/>
            </a:ext>
          </a:extLst>
        </xdr:cNvPr>
        <xdr:cNvPicPr>
          <a:picLocks/>
        </xdr:cNvPicPr>
      </xdr:nvPicPr>
      <xdr:blipFill>
        <a:blip xmlns:r="http://schemas.openxmlformats.org/officeDocument/2006/relationships" r:embed="rId2"/>
        <a:srcRect/>
        <a:stretch>
          <a:fillRect/>
        </a:stretch>
      </xdr:blipFill>
      <xdr:spPr bwMode="auto">
        <a:xfrm>
          <a:off x="147638" y="7248525"/>
          <a:ext cx="0" cy="1326675"/>
        </a:xfrm>
        <a:prstGeom prst="rect">
          <a:avLst/>
        </a:prstGeom>
        <a:noFill/>
        <a:ln w="9525">
          <a:noFill/>
          <a:miter lim="800000"/>
          <a:headEnd/>
          <a:tailEnd/>
        </a:ln>
      </xdr:spPr>
    </xdr:pic>
    <xdr:clientData/>
  </xdr:twoCellAnchor>
  <xdr:twoCellAnchor editAs="oneCell">
    <xdr:from>
      <xdr:col>2</xdr:col>
      <xdr:colOff>263071</xdr:colOff>
      <xdr:row>40</xdr:row>
      <xdr:rowOff>54429</xdr:rowOff>
    </xdr:from>
    <xdr:to>
      <xdr:col>2</xdr:col>
      <xdr:colOff>263071</xdr:colOff>
      <xdr:row>43</xdr:row>
      <xdr:rowOff>3629</xdr:rowOff>
    </xdr:to>
    <xdr:pic>
      <xdr:nvPicPr>
        <xdr:cNvPr id="74" name="Picture 4">
          <a:extLst>
            <a:ext uri="{FF2B5EF4-FFF2-40B4-BE49-F238E27FC236}">
              <a16:creationId xmlns:a16="http://schemas.microsoft.com/office/drawing/2014/main" id="{00000000-0008-0000-1F00-00004A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7988754"/>
          <a:ext cx="0" cy="549275"/>
        </a:xfrm>
        <a:prstGeom prst="rect">
          <a:avLst/>
        </a:prstGeom>
        <a:noFill/>
        <a:ln>
          <a:noFill/>
        </a:ln>
      </xdr:spPr>
    </xdr:pic>
    <xdr:clientData/>
  </xdr:twoCellAnchor>
  <xdr:twoCellAnchor editAs="oneCell">
    <xdr:from>
      <xdr:col>1</xdr:col>
      <xdr:colOff>42863</xdr:colOff>
      <xdr:row>37</xdr:row>
      <xdr:rowOff>123825</xdr:rowOff>
    </xdr:from>
    <xdr:to>
      <xdr:col>1</xdr:col>
      <xdr:colOff>42863</xdr:colOff>
      <xdr:row>44</xdr:row>
      <xdr:rowOff>50325</xdr:rowOff>
    </xdr:to>
    <xdr:pic>
      <xdr:nvPicPr>
        <xdr:cNvPr id="75" name="Picture 6">
          <a:extLst>
            <a:ext uri="{FF2B5EF4-FFF2-40B4-BE49-F238E27FC236}">
              <a16:creationId xmlns:a16="http://schemas.microsoft.com/office/drawing/2014/main" id="{00000000-0008-0000-1F00-00004B000000}"/>
            </a:ext>
          </a:extLst>
        </xdr:cNvPr>
        <xdr:cNvPicPr>
          <a:picLocks/>
        </xdr:cNvPicPr>
      </xdr:nvPicPr>
      <xdr:blipFill>
        <a:blip xmlns:r="http://schemas.openxmlformats.org/officeDocument/2006/relationships" r:embed="rId2"/>
        <a:srcRect/>
        <a:stretch>
          <a:fillRect/>
        </a:stretch>
      </xdr:blipFill>
      <xdr:spPr bwMode="auto">
        <a:xfrm>
          <a:off x="147638" y="7458075"/>
          <a:ext cx="0" cy="1326675"/>
        </a:xfrm>
        <a:prstGeom prst="rect">
          <a:avLst/>
        </a:prstGeom>
        <a:noFill/>
        <a:ln w="9525">
          <a:noFill/>
          <a:miter lim="800000"/>
          <a:headEnd/>
          <a:tailEnd/>
        </a:ln>
      </xdr:spPr>
    </xdr:pic>
    <xdr:clientData/>
  </xdr:twoCellAnchor>
  <xdr:twoCellAnchor editAs="oneCell">
    <xdr:from>
      <xdr:col>2</xdr:col>
      <xdr:colOff>263071</xdr:colOff>
      <xdr:row>40</xdr:row>
      <xdr:rowOff>54429</xdr:rowOff>
    </xdr:from>
    <xdr:to>
      <xdr:col>2</xdr:col>
      <xdr:colOff>263071</xdr:colOff>
      <xdr:row>43</xdr:row>
      <xdr:rowOff>3629</xdr:rowOff>
    </xdr:to>
    <xdr:pic>
      <xdr:nvPicPr>
        <xdr:cNvPr id="76" name="Picture 4">
          <a:extLst>
            <a:ext uri="{FF2B5EF4-FFF2-40B4-BE49-F238E27FC236}">
              <a16:creationId xmlns:a16="http://schemas.microsoft.com/office/drawing/2014/main" id="{00000000-0008-0000-1F00-00004C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7988754"/>
          <a:ext cx="0" cy="549275"/>
        </a:xfrm>
        <a:prstGeom prst="rect">
          <a:avLst/>
        </a:prstGeom>
        <a:noFill/>
        <a:ln>
          <a:noFill/>
        </a:ln>
      </xdr:spPr>
    </xdr:pic>
    <xdr:clientData/>
  </xdr:twoCellAnchor>
  <xdr:twoCellAnchor editAs="oneCell">
    <xdr:from>
      <xdr:col>1</xdr:col>
      <xdr:colOff>42863</xdr:colOff>
      <xdr:row>37</xdr:row>
      <xdr:rowOff>123825</xdr:rowOff>
    </xdr:from>
    <xdr:to>
      <xdr:col>1</xdr:col>
      <xdr:colOff>42863</xdr:colOff>
      <xdr:row>44</xdr:row>
      <xdr:rowOff>50325</xdr:rowOff>
    </xdr:to>
    <xdr:pic>
      <xdr:nvPicPr>
        <xdr:cNvPr id="77" name="Picture 6">
          <a:extLst>
            <a:ext uri="{FF2B5EF4-FFF2-40B4-BE49-F238E27FC236}">
              <a16:creationId xmlns:a16="http://schemas.microsoft.com/office/drawing/2014/main" id="{00000000-0008-0000-1F00-00004D000000}"/>
            </a:ext>
          </a:extLst>
        </xdr:cNvPr>
        <xdr:cNvPicPr>
          <a:picLocks/>
        </xdr:cNvPicPr>
      </xdr:nvPicPr>
      <xdr:blipFill>
        <a:blip xmlns:r="http://schemas.openxmlformats.org/officeDocument/2006/relationships" r:embed="rId2"/>
        <a:srcRect/>
        <a:stretch>
          <a:fillRect/>
        </a:stretch>
      </xdr:blipFill>
      <xdr:spPr bwMode="auto">
        <a:xfrm>
          <a:off x="147638" y="7458075"/>
          <a:ext cx="0" cy="1326675"/>
        </a:xfrm>
        <a:prstGeom prst="rect">
          <a:avLst/>
        </a:prstGeom>
        <a:noFill/>
        <a:ln w="9525">
          <a:noFill/>
          <a:miter lim="800000"/>
          <a:headEnd/>
          <a:tailEnd/>
        </a:ln>
      </xdr:spPr>
    </xdr:pic>
    <xdr:clientData/>
  </xdr:twoCellAnchor>
  <xdr:twoCellAnchor editAs="oneCell">
    <xdr:from>
      <xdr:col>2</xdr:col>
      <xdr:colOff>263071</xdr:colOff>
      <xdr:row>40</xdr:row>
      <xdr:rowOff>54429</xdr:rowOff>
    </xdr:from>
    <xdr:to>
      <xdr:col>2</xdr:col>
      <xdr:colOff>263071</xdr:colOff>
      <xdr:row>43</xdr:row>
      <xdr:rowOff>3629</xdr:rowOff>
    </xdr:to>
    <xdr:pic>
      <xdr:nvPicPr>
        <xdr:cNvPr id="78" name="Picture 4">
          <a:extLst>
            <a:ext uri="{FF2B5EF4-FFF2-40B4-BE49-F238E27FC236}">
              <a16:creationId xmlns:a16="http://schemas.microsoft.com/office/drawing/2014/main" id="{00000000-0008-0000-1F00-00004E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7988754"/>
          <a:ext cx="0" cy="549275"/>
        </a:xfrm>
        <a:prstGeom prst="rect">
          <a:avLst/>
        </a:prstGeom>
        <a:noFill/>
        <a:ln>
          <a:noFill/>
        </a:ln>
      </xdr:spPr>
    </xdr:pic>
    <xdr:clientData/>
  </xdr:twoCellAnchor>
  <xdr:twoCellAnchor editAs="oneCell">
    <xdr:from>
      <xdr:col>1</xdr:col>
      <xdr:colOff>42863</xdr:colOff>
      <xdr:row>37</xdr:row>
      <xdr:rowOff>123825</xdr:rowOff>
    </xdr:from>
    <xdr:to>
      <xdr:col>1</xdr:col>
      <xdr:colOff>42863</xdr:colOff>
      <xdr:row>44</xdr:row>
      <xdr:rowOff>50325</xdr:rowOff>
    </xdr:to>
    <xdr:pic>
      <xdr:nvPicPr>
        <xdr:cNvPr id="79" name="Picture 6">
          <a:extLst>
            <a:ext uri="{FF2B5EF4-FFF2-40B4-BE49-F238E27FC236}">
              <a16:creationId xmlns:a16="http://schemas.microsoft.com/office/drawing/2014/main" id="{00000000-0008-0000-1F00-00004F000000}"/>
            </a:ext>
          </a:extLst>
        </xdr:cNvPr>
        <xdr:cNvPicPr>
          <a:picLocks/>
        </xdr:cNvPicPr>
      </xdr:nvPicPr>
      <xdr:blipFill>
        <a:blip xmlns:r="http://schemas.openxmlformats.org/officeDocument/2006/relationships" r:embed="rId2"/>
        <a:srcRect/>
        <a:stretch>
          <a:fillRect/>
        </a:stretch>
      </xdr:blipFill>
      <xdr:spPr bwMode="auto">
        <a:xfrm>
          <a:off x="147638" y="7458075"/>
          <a:ext cx="0" cy="1326675"/>
        </a:xfrm>
        <a:prstGeom prst="rect">
          <a:avLst/>
        </a:prstGeom>
        <a:noFill/>
        <a:ln w="9525">
          <a:noFill/>
          <a:miter lim="800000"/>
          <a:headEnd/>
          <a:tailEnd/>
        </a:ln>
      </xdr:spPr>
    </xdr:pic>
    <xdr:clientData/>
  </xdr:twoCellAnchor>
  <xdr:twoCellAnchor editAs="oneCell">
    <xdr:from>
      <xdr:col>2</xdr:col>
      <xdr:colOff>263071</xdr:colOff>
      <xdr:row>39</xdr:row>
      <xdr:rowOff>54429</xdr:rowOff>
    </xdr:from>
    <xdr:to>
      <xdr:col>2</xdr:col>
      <xdr:colOff>263071</xdr:colOff>
      <xdr:row>42</xdr:row>
      <xdr:rowOff>3629</xdr:rowOff>
    </xdr:to>
    <xdr:pic>
      <xdr:nvPicPr>
        <xdr:cNvPr id="80" name="Picture 4">
          <a:extLst>
            <a:ext uri="{FF2B5EF4-FFF2-40B4-BE49-F238E27FC236}">
              <a16:creationId xmlns:a16="http://schemas.microsoft.com/office/drawing/2014/main" id="{00000000-0008-0000-1F00-000050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7788729"/>
          <a:ext cx="0" cy="549275"/>
        </a:xfrm>
        <a:prstGeom prst="rect">
          <a:avLst/>
        </a:prstGeom>
        <a:noFill/>
        <a:ln>
          <a:noFill/>
        </a:ln>
      </xdr:spPr>
    </xdr:pic>
    <xdr:clientData/>
  </xdr:twoCellAnchor>
  <xdr:twoCellAnchor editAs="oneCell">
    <xdr:from>
      <xdr:col>1</xdr:col>
      <xdr:colOff>42863</xdr:colOff>
      <xdr:row>36</xdr:row>
      <xdr:rowOff>123825</xdr:rowOff>
    </xdr:from>
    <xdr:to>
      <xdr:col>1</xdr:col>
      <xdr:colOff>42863</xdr:colOff>
      <xdr:row>43</xdr:row>
      <xdr:rowOff>40800</xdr:rowOff>
    </xdr:to>
    <xdr:pic>
      <xdr:nvPicPr>
        <xdr:cNvPr id="81" name="Picture 6">
          <a:extLst>
            <a:ext uri="{FF2B5EF4-FFF2-40B4-BE49-F238E27FC236}">
              <a16:creationId xmlns:a16="http://schemas.microsoft.com/office/drawing/2014/main" id="{00000000-0008-0000-1F00-000051000000}"/>
            </a:ext>
          </a:extLst>
        </xdr:cNvPr>
        <xdr:cNvPicPr>
          <a:picLocks/>
        </xdr:cNvPicPr>
      </xdr:nvPicPr>
      <xdr:blipFill>
        <a:blip xmlns:r="http://schemas.openxmlformats.org/officeDocument/2006/relationships" r:embed="rId2"/>
        <a:srcRect/>
        <a:stretch>
          <a:fillRect/>
        </a:stretch>
      </xdr:blipFill>
      <xdr:spPr bwMode="auto">
        <a:xfrm>
          <a:off x="147638" y="7248525"/>
          <a:ext cx="0" cy="1326675"/>
        </a:xfrm>
        <a:prstGeom prst="rect">
          <a:avLst/>
        </a:prstGeom>
        <a:noFill/>
        <a:ln w="9525">
          <a:noFill/>
          <a:miter lim="800000"/>
          <a:headEnd/>
          <a:tailEnd/>
        </a:ln>
      </xdr:spPr>
    </xdr:pic>
    <xdr:clientData/>
  </xdr:twoCellAnchor>
  <xdr:twoCellAnchor editAs="oneCell">
    <xdr:from>
      <xdr:col>1</xdr:col>
      <xdr:colOff>42863</xdr:colOff>
      <xdr:row>36</xdr:row>
      <xdr:rowOff>123825</xdr:rowOff>
    </xdr:from>
    <xdr:to>
      <xdr:col>1</xdr:col>
      <xdr:colOff>42863</xdr:colOff>
      <xdr:row>43</xdr:row>
      <xdr:rowOff>40800</xdr:rowOff>
    </xdr:to>
    <xdr:pic>
      <xdr:nvPicPr>
        <xdr:cNvPr id="82" name="Picture 6">
          <a:extLst>
            <a:ext uri="{FF2B5EF4-FFF2-40B4-BE49-F238E27FC236}">
              <a16:creationId xmlns:a16="http://schemas.microsoft.com/office/drawing/2014/main" id="{00000000-0008-0000-1F00-000052000000}"/>
            </a:ext>
          </a:extLst>
        </xdr:cNvPr>
        <xdr:cNvPicPr>
          <a:picLocks/>
        </xdr:cNvPicPr>
      </xdr:nvPicPr>
      <xdr:blipFill>
        <a:blip xmlns:r="http://schemas.openxmlformats.org/officeDocument/2006/relationships" r:embed="rId2"/>
        <a:srcRect/>
        <a:stretch>
          <a:fillRect/>
        </a:stretch>
      </xdr:blipFill>
      <xdr:spPr bwMode="auto">
        <a:xfrm>
          <a:off x="147638" y="7248525"/>
          <a:ext cx="0" cy="1326675"/>
        </a:xfrm>
        <a:prstGeom prst="rect">
          <a:avLst/>
        </a:prstGeom>
        <a:noFill/>
        <a:ln w="9525">
          <a:noFill/>
          <a:miter lim="800000"/>
          <a:headEnd/>
          <a:tailEnd/>
        </a:ln>
      </xdr:spPr>
    </xdr:pic>
    <xdr:clientData/>
  </xdr:twoCellAnchor>
  <xdr:oneCellAnchor>
    <xdr:from>
      <xdr:col>1</xdr:col>
      <xdr:colOff>85725</xdr:colOff>
      <xdr:row>0</xdr:row>
      <xdr:rowOff>85726</xdr:rowOff>
    </xdr:from>
    <xdr:ext cx="1543050" cy="1531218"/>
    <xdr:pic>
      <xdr:nvPicPr>
        <xdr:cNvPr id="83" name="Picture 82">
          <a:extLst>
            <a:ext uri="{FF2B5EF4-FFF2-40B4-BE49-F238E27FC236}">
              <a16:creationId xmlns:a16="http://schemas.microsoft.com/office/drawing/2014/main" id="{00000000-0008-0000-1F00-000053000000}"/>
            </a:ext>
          </a:extLst>
        </xdr:cNvPr>
        <xdr:cNvPicPr>
          <a:picLocks noChangeAspect="1"/>
        </xdr:cNvPicPr>
      </xdr:nvPicPr>
      <xdr:blipFill>
        <a:blip xmlns:r="http://schemas.openxmlformats.org/officeDocument/2006/relationships" r:embed="rId3"/>
        <a:stretch>
          <a:fillRect/>
        </a:stretch>
      </xdr:blipFill>
      <xdr:spPr>
        <a:xfrm>
          <a:off x="190500" y="85726"/>
          <a:ext cx="1543050" cy="1531218"/>
        </a:xfrm>
        <a:prstGeom prst="rect">
          <a:avLst/>
        </a:prstGeom>
      </xdr:spPr>
    </xdr:pic>
    <xdr:clientData/>
  </xdr:oneCellAnchor>
  <xdr:twoCellAnchor editAs="oneCell">
    <xdr:from>
      <xdr:col>2</xdr:col>
      <xdr:colOff>263071</xdr:colOff>
      <xdr:row>39</xdr:row>
      <xdr:rowOff>54429</xdr:rowOff>
    </xdr:from>
    <xdr:to>
      <xdr:col>2</xdr:col>
      <xdr:colOff>263071</xdr:colOff>
      <xdr:row>42</xdr:row>
      <xdr:rowOff>3629</xdr:rowOff>
    </xdr:to>
    <xdr:pic>
      <xdr:nvPicPr>
        <xdr:cNvPr id="84" name="Picture 4">
          <a:extLst>
            <a:ext uri="{FF2B5EF4-FFF2-40B4-BE49-F238E27FC236}">
              <a16:creationId xmlns:a16="http://schemas.microsoft.com/office/drawing/2014/main" id="{00000000-0008-0000-1F00-000054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7788729"/>
          <a:ext cx="0" cy="549275"/>
        </a:xfrm>
        <a:prstGeom prst="rect">
          <a:avLst/>
        </a:prstGeom>
        <a:noFill/>
        <a:ln>
          <a:noFill/>
        </a:ln>
      </xdr:spPr>
    </xdr:pic>
    <xdr:clientData/>
  </xdr:twoCellAnchor>
  <xdr:twoCellAnchor editAs="oneCell">
    <xdr:from>
      <xdr:col>1</xdr:col>
      <xdr:colOff>42863</xdr:colOff>
      <xdr:row>36</xdr:row>
      <xdr:rowOff>123825</xdr:rowOff>
    </xdr:from>
    <xdr:to>
      <xdr:col>1</xdr:col>
      <xdr:colOff>42863</xdr:colOff>
      <xdr:row>43</xdr:row>
      <xdr:rowOff>40800</xdr:rowOff>
    </xdr:to>
    <xdr:pic>
      <xdr:nvPicPr>
        <xdr:cNvPr id="85" name="Picture 6">
          <a:extLst>
            <a:ext uri="{FF2B5EF4-FFF2-40B4-BE49-F238E27FC236}">
              <a16:creationId xmlns:a16="http://schemas.microsoft.com/office/drawing/2014/main" id="{00000000-0008-0000-1F00-000055000000}"/>
            </a:ext>
          </a:extLst>
        </xdr:cNvPr>
        <xdr:cNvPicPr>
          <a:picLocks/>
        </xdr:cNvPicPr>
      </xdr:nvPicPr>
      <xdr:blipFill>
        <a:blip xmlns:r="http://schemas.openxmlformats.org/officeDocument/2006/relationships" r:embed="rId2"/>
        <a:srcRect/>
        <a:stretch>
          <a:fillRect/>
        </a:stretch>
      </xdr:blipFill>
      <xdr:spPr bwMode="auto">
        <a:xfrm>
          <a:off x="147638" y="7248525"/>
          <a:ext cx="0" cy="1326675"/>
        </a:xfrm>
        <a:prstGeom prst="rect">
          <a:avLst/>
        </a:prstGeom>
        <a:noFill/>
        <a:ln w="9525">
          <a:noFill/>
          <a:miter lim="800000"/>
          <a:headEnd/>
          <a:tailEnd/>
        </a:ln>
      </xdr:spPr>
    </xdr:pic>
    <xdr:clientData/>
  </xdr:twoCellAnchor>
  <xdr:oneCellAnchor>
    <xdr:from>
      <xdr:col>1</xdr:col>
      <xdr:colOff>85725</xdr:colOff>
      <xdr:row>0</xdr:row>
      <xdr:rowOff>85726</xdr:rowOff>
    </xdr:from>
    <xdr:ext cx="1543050" cy="1531218"/>
    <xdr:pic>
      <xdr:nvPicPr>
        <xdr:cNvPr id="86" name="Picture 85">
          <a:extLst>
            <a:ext uri="{FF2B5EF4-FFF2-40B4-BE49-F238E27FC236}">
              <a16:creationId xmlns:a16="http://schemas.microsoft.com/office/drawing/2014/main" id="{00000000-0008-0000-1F00-000056000000}"/>
            </a:ext>
          </a:extLst>
        </xdr:cNvPr>
        <xdr:cNvPicPr>
          <a:picLocks noChangeAspect="1"/>
        </xdr:cNvPicPr>
      </xdr:nvPicPr>
      <xdr:blipFill>
        <a:blip xmlns:r="http://schemas.openxmlformats.org/officeDocument/2006/relationships" r:embed="rId3"/>
        <a:stretch>
          <a:fillRect/>
        </a:stretch>
      </xdr:blipFill>
      <xdr:spPr>
        <a:xfrm>
          <a:off x="190500" y="85726"/>
          <a:ext cx="1543050" cy="1531218"/>
        </a:xfrm>
        <a:prstGeom prst="rect">
          <a:avLst/>
        </a:prstGeom>
      </xdr:spPr>
    </xdr:pic>
    <xdr:clientData/>
  </xdr:oneCellAnchor>
  <xdr:twoCellAnchor editAs="oneCell">
    <xdr:from>
      <xdr:col>1</xdr:col>
      <xdr:colOff>42863</xdr:colOff>
      <xdr:row>36</xdr:row>
      <xdr:rowOff>123825</xdr:rowOff>
    </xdr:from>
    <xdr:to>
      <xdr:col>1</xdr:col>
      <xdr:colOff>42863</xdr:colOff>
      <xdr:row>43</xdr:row>
      <xdr:rowOff>40800</xdr:rowOff>
    </xdr:to>
    <xdr:pic>
      <xdr:nvPicPr>
        <xdr:cNvPr id="87" name="Picture 6">
          <a:extLst>
            <a:ext uri="{FF2B5EF4-FFF2-40B4-BE49-F238E27FC236}">
              <a16:creationId xmlns:a16="http://schemas.microsoft.com/office/drawing/2014/main" id="{00000000-0008-0000-1F00-000057000000}"/>
            </a:ext>
          </a:extLst>
        </xdr:cNvPr>
        <xdr:cNvPicPr>
          <a:picLocks/>
        </xdr:cNvPicPr>
      </xdr:nvPicPr>
      <xdr:blipFill>
        <a:blip xmlns:r="http://schemas.openxmlformats.org/officeDocument/2006/relationships" r:embed="rId2"/>
        <a:srcRect/>
        <a:stretch>
          <a:fillRect/>
        </a:stretch>
      </xdr:blipFill>
      <xdr:spPr bwMode="auto">
        <a:xfrm>
          <a:off x="147638" y="7248525"/>
          <a:ext cx="0" cy="1326675"/>
        </a:xfrm>
        <a:prstGeom prst="rect">
          <a:avLst/>
        </a:prstGeom>
        <a:noFill/>
        <a:ln w="9525">
          <a:noFill/>
          <a:miter lim="800000"/>
          <a:headEnd/>
          <a:tailEnd/>
        </a:ln>
      </xdr:spPr>
    </xdr:pic>
    <xdr:clientData/>
  </xdr:twoCellAnchor>
  <xdr:twoCellAnchor>
    <xdr:from>
      <xdr:col>13</xdr:col>
      <xdr:colOff>38100</xdr:colOff>
      <xdr:row>1</xdr:row>
      <xdr:rowOff>28575</xdr:rowOff>
    </xdr:from>
    <xdr:to>
      <xdr:col>15</xdr:col>
      <xdr:colOff>428625</xdr:colOff>
      <xdr:row>5</xdr:row>
      <xdr:rowOff>28575</xdr:rowOff>
    </xdr:to>
    <xdr:sp macro="[0]!Home" textlink="">
      <xdr:nvSpPr>
        <xdr:cNvPr id="88" name="Arrow: Left 87">
          <a:extLst>
            <a:ext uri="{FF2B5EF4-FFF2-40B4-BE49-F238E27FC236}">
              <a16:creationId xmlns:a16="http://schemas.microsoft.com/office/drawing/2014/main" id="{00000000-0008-0000-1F00-000058000000}"/>
            </a:ext>
          </a:extLst>
        </xdr:cNvPr>
        <xdr:cNvSpPr/>
      </xdr:nvSpPr>
      <xdr:spPr>
        <a:xfrm>
          <a:off x="7677150" y="123825"/>
          <a:ext cx="1114425" cy="800100"/>
        </a:xfrm>
        <a:prstGeom prst="leftArrow">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800">
              <a:latin typeface="Times New Roman" panose="02020603050405020304" pitchFamily="18" charset="0"/>
              <a:cs typeface="Times New Roman" panose="02020603050405020304" pitchFamily="18" charset="0"/>
            </a:rPr>
            <a:t>HOME</a:t>
          </a:r>
        </a:p>
      </xdr:txBody>
    </xdr:sp>
    <xdr:clientData/>
  </xdr:twoCellAnchor>
  <xdr:twoCellAnchor editAs="oneCell">
    <xdr:from>
      <xdr:col>2</xdr:col>
      <xdr:colOff>172583</xdr:colOff>
      <xdr:row>39</xdr:row>
      <xdr:rowOff>16329</xdr:rowOff>
    </xdr:from>
    <xdr:to>
      <xdr:col>4</xdr:col>
      <xdr:colOff>1137783</xdr:colOff>
      <xdr:row>41</xdr:row>
      <xdr:rowOff>136979</xdr:rowOff>
    </xdr:to>
    <xdr:pic>
      <xdr:nvPicPr>
        <xdr:cNvPr id="89" name="Picture 4">
          <a:extLst>
            <a:ext uri="{FF2B5EF4-FFF2-40B4-BE49-F238E27FC236}">
              <a16:creationId xmlns:a16="http://schemas.microsoft.com/office/drawing/2014/main" id="{00000000-0008-0000-1F00-000059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534533" y="7750629"/>
          <a:ext cx="2155825" cy="520700"/>
        </a:xfrm>
        <a:prstGeom prst="rect">
          <a:avLst/>
        </a:prstGeom>
        <a:noFill/>
        <a:ln>
          <a:noFill/>
        </a:ln>
      </xdr:spPr>
    </xdr:pic>
    <xdr:clientData/>
  </xdr:twoCellAnchor>
  <xdr:twoCellAnchor editAs="oneCell">
    <xdr:from>
      <xdr:col>1</xdr:col>
      <xdr:colOff>57150</xdr:colOff>
      <xdr:row>37</xdr:row>
      <xdr:rowOff>9525</xdr:rowOff>
    </xdr:from>
    <xdr:to>
      <xdr:col>2</xdr:col>
      <xdr:colOff>1059975</xdr:colOff>
      <xdr:row>43</xdr:row>
      <xdr:rowOff>69375</xdr:rowOff>
    </xdr:to>
    <xdr:pic>
      <xdr:nvPicPr>
        <xdr:cNvPr id="90" name="Picture 6">
          <a:extLst>
            <a:ext uri="{FF2B5EF4-FFF2-40B4-BE49-F238E27FC236}">
              <a16:creationId xmlns:a16="http://schemas.microsoft.com/office/drawing/2014/main" id="{00000000-0008-0000-1F00-00005A000000}"/>
            </a:ext>
          </a:extLst>
        </xdr:cNvPr>
        <xdr:cNvPicPr>
          <a:picLocks/>
        </xdr:cNvPicPr>
      </xdr:nvPicPr>
      <xdr:blipFill>
        <a:blip xmlns:r="http://schemas.openxmlformats.org/officeDocument/2006/relationships" r:embed="rId2"/>
        <a:srcRect/>
        <a:stretch>
          <a:fillRect/>
        </a:stretch>
      </xdr:blipFill>
      <xdr:spPr bwMode="auto">
        <a:xfrm>
          <a:off x="161925" y="7343775"/>
          <a:ext cx="1260000" cy="1260000"/>
        </a:xfrm>
        <a:prstGeom prst="rect">
          <a:avLst/>
        </a:prstGeom>
        <a:noFill/>
        <a:ln w="9525">
          <a:noFill/>
          <a:miter lim="800000"/>
          <a:headEnd/>
          <a:tailEnd/>
        </a:ln>
      </xdr:spPr>
    </xdr:pic>
    <xdr:clientData/>
  </xdr:twoCellAnchor>
  <xdr:twoCellAnchor>
    <xdr:from>
      <xdr:col>14</xdr:col>
      <xdr:colOff>161925</xdr:colOff>
      <xdr:row>14</xdr:row>
      <xdr:rowOff>161925</xdr:rowOff>
    </xdr:from>
    <xdr:to>
      <xdr:col>15</xdr:col>
      <xdr:colOff>523875</xdr:colOff>
      <xdr:row>17</xdr:row>
      <xdr:rowOff>47625</xdr:rowOff>
    </xdr:to>
    <xdr:sp macro="[0]!Cetak" textlink="">
      <xdr:nvSpPr>
        <xdr:cNvPr id="92" name="Rectangle: Single Corner Snipped 91">
          <a:extLst>
            <a:ext uri="{FF2B5EF4-FFF2-40B4-BE49-F238E27FC236}">
              <a16:creationId xmlns:a16="http://schemas.microsoft.com/office/drawing/2014/main" id="{00000000-0008-0000-1F00-00005C000000}"/>
            </a:ext>
          </a:extLst>
        </xdr:cNvPr>
        <xdr:cNvSpPr/>
      </xdr:nvSpPr>
      <xdr:spPr>
        <a:xfrm>
          <a:off x="7915275" y="2647950"/>
          <a:ext cx="971550" cy="476250"/>
        </a:xfrm>
        <a:prstGeom prst="snip1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600" b="1">
              <a:solidFill>
                <a:schemeClr val="tx1"/>
              </a:solidFill>
              <a:latin typeface="Times New Roman" panose="02020603050405020304" pitchFamily="18" charset="0"/>
              <a:cs typeface="Times New Roman" panose="02020603050405020304" pitchFamily="18" charset="0"/>
            </a:rPr>
            <a:t>CETAK</a:t>
          </a:r>
        </a:p>
      </xdr:txBody>
    </xdr:sp>
    <xdr:clientData/>
  </xdr:twoCellAnchor>
  <xdr:twoCellAnchor>
    <xdr:from>
      <xdr:col>16</xdr:col>
      <xdr:colOff>95250</xdr:colOff>
      <xdr:row>14</xdr:row>
      <xdr:rowOff>161925</xdr:rowOff>
    </xdr:from>
    <xdr:to>
      <xdr:col>17</xdr:col>
      <xdr:colOff>942974</xdr:colOff>
      <xdr:row>17</xdr:row>
      <xdr:rowOff>47625</xdr:rowOff>
    </xdr:to>
    <xdr:sp macro="[0]!PDF" textlink="">
      <xdr:nvSpPr>
        <xdr:cNvPr id="93" name="Rectangle: Single Corner Snipped 92">
          <a:extLst>
            <a:ext uri="{FF2B5EF4-FFF2-40B4-BE49-F238E27FC236}">
              <a16:creationId xmlns:a16="http://schemas.microsoft.com/office/drawing/2014/main" id="{00000000-0008-0000-1F00-00005D000000}"/>
            </a:ext>
          </a:extLst>
        </xdr:cNvPr>
        <xdr:cNvSpPr/>
      </xdr:nvSpPr>
      <xdr:spPr>
        <a:xfrm>
          <a:off x="9067800" y="2647950"/>
          <a:ext cx="1009649" cy="476250"/>
        </a:xfrm>
        <a:prstGeom prst="snip1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600" b="1">
              <a:solidFill>
                <a:schemeClr val="tx1"/>
              </a:solidFill>
              <a:latin typeface="Times New Roman" panose="02020603050405020304" pitchFamily="18" charset="0"/>
              <a:cs typeface="Times New Roman" panose="02020603050405020304" pitchFamily="18" charset="0"/>
            </a:rPr>
            <a:t>PDF</a:t>
          </a:r>
        </a:p>
      </xdr:txBody>
    </xdr:sp>
    <xdr:clientData/>
  </xdr:twoCellAnchor>
  <xdr:twoCellAnchor>
    <xdr:from>
      <xdr:col>15</xdr:col>
      <xdr:colOff>66675</xdr:colOff>
      <xdr:row>17</xdr:row>
      <xdr:rowOff>228600</xdr:rowOff>
    </xdr:from>
    <xdr:to>
      <xdr:col>17</xdr:col>
      <xdr:colOff>200025</xdr:colOff>
      <xdr:row>20</xdr:row>
      <xdr:rowOff>66675</xdr:rowOff>
    </xdr:to>
    <xdr:sp macro="[0]!_xludf.SAVE" textlink="">
      <xdr:nvSpPr>
        <xdr:cNvPr id="94" name="Rectangle: Top Corners Snipped 93">
          <a:extLst>
            <a:ext uri="{FF2B5EF4-FFF2-40B4-BE49-F238E27FC236}">
              <a16:creationId xmlns:a16="http://schemas.microsoft.com/office/drawing/2014/main" id="{00000000-0008-0000-1F00-00005E000000}"/>
            </a:ext>
          </a:extLst>
        </xdr:cNvPr>
        <xdr:cNvSpPr/>
      </xdr:nvSpPr>
      <xdr:spPr>
        <a:xfrm>
          <a:off x="8429625" y="3305175"/>
          <a:ext cx="904875" cy="638175"/>
        </a:xfrm>
        <a:prstGeom prst="snip2Same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ctr"/>
          <a:r>
            <a:rPr lang="en-US" sz="1200" b="1">
              <a:solidFill>
                <a:schemeClr val="tx1"/>
              </a:solidFill>
              <a:latin typeface="Times New Roman" panose="02020603050405020304" pitchFamily="18" charset="0"/>
              <a:cs typeface="Times New Roman" panose="02020603050405020304" pitchFamily="18" charset="0"/>
            </a:rPr>
            <a:t>SIMPAN DOKUMEN</a:t>
          </a:r>
        </a:p>
      </xdr:txBody>
    </xdr:sp>
    <xdr:clientData/>
  </xdr:twoCellAnchor>
  <mc:AlternateContent xmlns:mc="http://schemas.openxmlformats.org/markup-compatibility/2006">
    <mc:Choice xmlns:a14="http://schemas.microsoft.com/office/drawing/2010/main" Requires="a14">
      <xdr:twoCellAnchor>
        <xdr:from>
          <xdr:col>14</xdr:col>
          <xdr:colOff>28575</xdr:colOff>
          <xdr:row>8</xdr:row>
          <xdr:rowOff>0</xdr:rowOff>
        </xdr:from>
        <xdr:to>
          <xdr:col>14</xdr:col>
          <xdr:colOff>466725</xdr:colOff>
          <xdr:row>14</xdr:row>
          <xdr:rowOff>19050</xdr:rowOff>
        </xdr:to>
        <xdr:sp macro="" textlink="">
          <xdr:nvSpPr>
            <xdr:cNvPr id="27649" name="Spinner 1" hidden="1">
              <a:extLst>
                <a:ext uri="{63B3BB69-23CF-44E3-9099-C40C66FF867C}">
                  <a14:compatExt spid="_x0000_s27649"/>
                </a:ext>
                <a:ext uri="{FF2B5EF4-FFF2-40B4-BE49-F238E27FC236}">
                  <a16:creationId xmlns:a16="http://schemas.microsoft.com/office/drawing/2014/main" id="{00000000-0008-0000-1F00-000001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28575</xdr:colOff>
          <xdr:row>8</xdr:row>
          <xdr:rowOff>0</xdr:rowOff>
        </xdr:from>
        <xdr:to>
          <xdr:col>14</xdr:col>
          <xdr:colOff>466725</xdr:colOff>
          <xdr:row>14</xdr:row>
          <xdr:rowOff>19050</xdr:rowOff>
        </xdr:to>
        <xdr:sp macro="" textlink="">
          <xdr:nvSpPr>
            <xdr:cNvPr id="27650" name="Spinner 2" hidden="1">
              <a:extLst>
                <a:ext uri="{63B3BB69-23CF-44E3-9099-C40C66FF867C}">
                  <a14:compatExt spid="_x0000_s27650"/>
                </a:ext>
                <a:ext uri="{FF2B5EF4-FFF2-40B4-BE49-F238E27FC236}">
                  <a16:creationId xmlns:a16="http://schemas.microsoft.com/office/drawing/2014/main" id="{00000000-0008-0000-1F00-000002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xdr:twoCellAnchor editAs="oneCell">
    <xdr:from>
      <xdr:col>2</xdr:col>
      <xdr:colOff>263071</xdr:colOff>
      <xdr:row>40</xdr:row>
      <xdr:rowOff>54429</xdr:rowOff>
    </xdr:from>
    <xdr:to>
      <xdr:col>2</xdr:col>
      <xdr:colOff>263071</xdr:colOff>
      <xdr:row>43</xdr:row>
      <xdr:rowOff>55584</xdr:rowOff>
    </xdr:to>
    <xdr:pic>
      <xdr:nvPicPr>
        <xdr:cNvPr id="3" name="Picture 4">
          <a:extLst>
            <a:ext uri="{FF2B5EF4-FFF2-40B4-BE49-F238E27FC236}">
              <a16:creationId xmlns:a16="http://schemas.microsoft.com/office/drawing/2014/main" id="{00000000-0008-0000-2000-000003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9274629"/>
          <a:ext cx="2155825" cy="520700"/>
        </a:xfrm>
        <a:prstGeom prst="rect">
          <a:avLst/>
        </a:prstGeom>
        <a:noFill/>
        <a:ln>
          <a:noFill/>
        </a:ln>
      </xdr:spPr>
    </xdr:pic>
    <xdr:clientData/>
  </xdr:twoCellAnchor>
  <xdr:twoCellAnchor editAs="oneCell">
    <xdr:from>
      <xdr:col>2</xdr:col>
      <xdr:colOff>263071</xdr:colOff>
      <xdr:row>40</xdr:row>
      <xdr:rowOff>54429</xdr:rowOff>
    </xdr:from>
    <xdr:to>
      <xdr:col>2</xdr:col>
      <xdr:colOff>263071</xdr:colOff>
      <xdr:row>43</xdr:row>
      <xdr:rowOff>55584</xdr:rowOff>
    </xdr:to>
    <xdr:pic>
      <xdr:nvPicPr>
        <xdr:cNvPr id="7" name="Picture 4">
          <a:extLst>
            <a:ext uri="{FF2B5EF4-FFF2-40B4-BE49-F238E27FC236}">
              <a16:creationId xmlns:a16="http://schemas.microsoft.com/office/drawing/2014/main" id="{00000000-0008-0000-2000-000007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9522279"/>
          <a:ext cx="0" cy="549275"/>
        </a:xfrm>
        <a:prstGeom prst="rect">
          <a:avLst/>
        </a:prstGeom>
        <a:noFill/>
        <a:ln>
          <a:noFill/>
        </a:ln>
      </xdr:spPr>
    </xdr:pic>
    <xdr:clientData/>
  </xdr:twoCellAnchor>
  <xdr:twoCellAnchor editAs="oneCell">
    <xdr:from>
      <xdr:col>2</xdr:col>
      <xdr:colOff>263071</xdr:colOff>
      <xdr:row>40</xdr:row>
      <xdr:rowOff>54429</xdr:rowOff>
    </xdr:from>
    <xdr:to>
      <xdr:col>2</xdr:col>
      <xdr:colOff>263071</xdr:colOff>
      <xdr:row>43</xdr:row>
      <xdr:rowOff>55584</xdr:rowOff>
    </xdr:to>
    <xdr:pic>
      <xdr:nvPicPr>
        <xdr:cNvPr id="10" name="Picture 4">
          <a:extLst>
            <a:ext uri="{FF2B5EF4-FFF2-40B4-BE49-F238E27FC236}">
              <a16:creationId xmlns:a16="http://schemas.microsoft.com/office/drawing/2014/main" id="{00000000-0008-0000-2000-00000A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9522279"/>
          <a:ext cx="0" cy="549275"/>
        </a:xfrm>
        <a:prstGeom prst="rect">
          <a:avLst/>
        </a:prstGeom>
        <a:noFill/>
        <a:ln>
          <a:noFill/>
        </a:ln>
      </xdr:spPr>
    </xdr:pic>
    <xdr:clientData/>
  </xdr:twoCellAnchor>
  <xdr:twoCellAnchor editAs="oneCell">
    <xdr:from>
      <xdr:col>2</xdr:col>
      <xdr:colOff>263071</xdr:colOff>
      <xdr:row>40</xdr:row>
      <xdr:rowOff>54429</xdr:rowOff>
    </xdr:from>
    <xdr:to>
      <xdr:col>2</xdr:col>
      <xdr:colOff>263071</xdr:colOff>
      <xdr:row>43</xdr:row>
      <xdr:rowOff>55584</xdr:rowOff>
    </xdr:to>
    <xdr:pic>
      <xdr:nvPicPr>
        <xdr:cNvPr id="13" name="Picture 4">
          <a:extLst>
            <a:ext uri="{FF2B5EF4-FFF2-40B4-BE49-F238E27FC236}">
              <a16:creationId xmlns:a16="http://schemas.microsoft.com/office/drawing/2014/main" id="{00000000-0008-0000-2000-00000D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9522279"/>
          <a:ext cx="0" cy="549275"/>
        </a:xfrm>
        <a:prstGeom prst="rect">
          <a:avLst/>
        </a:prstGeom>
        <a:noFill/>
        <a:ln>
          <a:noFill/>
        </a:ln>
      </xdr:spPr>
    </xdr:pic>
    <xdr:clientData/>
  </xdr:twoCellAnchor>
  <xdr:twoCellAnchor editAs="oneCell">
    <xdr:from>
      <xdr:col>2</xdr:col>
      <xdr:colOff>263071</xdr:colOff>
      <xdr:row>39</xdr:row>
      <xdr:rowOff>54429</xdr:rowOff>
    </xdr:from>
    <xdr:to>
      <xdr:col>2</xdr:col>
      <xdr:colOff>263071</xdr:colOff>
      <xdr:row>42</xdr:row>
      <xdr:rowOff>55584</xdr:rowOff>
    </xdr:to>
    <xdr:pic>
      <xdr:nvPicPr>
        <xdr:cNvPr id="17" name="Picture 4">
          <a:extLst>
            <a:ext uri="{FF2B5EF4-FFF2-40B4-BE49-F238E27FC236}">
              <a16:creationId xmlns:a16="http://schemas.microsoft.com/office/drawing/2014/main" id="{00000000-0008-0000-2000-000011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9322254"/>
          <a:ext cx="0" cy="549275"/>
        </a:xfrm>
        <a:prstGeom prst="rect">
          <a:avLst/>
        </a:prstGeom>
        <a:noFill/>
        <a:ln>
          <a:noFill/>
        </a:ln>
      </xdr:spPr>
    </xdr:pic>
    <xdr:clientData/>
  </xdr:twoCellAnchor>
  <xdr:twoCellAnchor editAs="oneCell">
    <xdr:from>
      <xdr:col>2</xdr:col>
      <xdr:colOff>263071</xdr:colOff>
      <xdr:row>40</xdr:row>
      <xdr:rowOff>54429</xdr:rowOff>
    </xdr:from>
    <xdr:to>
      <xdr:col>2</xdr:col>
      <xdr:colOff>263071</xdr:colOff>
      <xdr:row>43</xdr:row>
      <xdr:rowOff>55584</xdr:rowOff>
    </xdr:to>
    <xdr:pic>
      <xdr:nvPicPr>
        <xdr:cNvPr id="24" name="Picture 4">
          <a:extLst>
            <a:ext uri="{FF2B5EF4-FFF2-40B4-BE49-F238E27FC236}">
              <a16:creationId xmlns:a16="http://schemas.microsoft.com/office/drawing/2014/main" id="{00000000-0008-0000-2000-000018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9541329"/>
          <a:ext cx="0" cy="549275"/>
        </a:xfrm>
        <a:prstGeom prst="rect">
          <a:avLst/>
        </a:prstGeom>
        <a:noFill/>
        <a:ln>
          <a:noFill/>
        </a:ln>
      </xdr:spPr>
    </xdr:pic>
    <xdr:clientData/>
  </xdr:twoCellAnchor>
  <xdr:twoCellAnchor editAs="oneCell">
    <xdr:from>
      <xdr:col>2</xdr:col>
      <xdr:colOff>263071</xdr:colOff>
      <xdr:row>40</xdr:row>
      <xdr:rowOff>54429</xdr:rowOff>
    </xdr:from>
    <xdr:to>
      <xdr:col>2</xdr:col>
      <xdr:colOff>263071</xdr:colOff>
      <xdr:row>43</xdr:row>
      <xdr:rowOff>55584</xdr:rowOff>
    </xdr:to>
    <xdr:pic>
      <xdr:nvPicPr>
        <xdr:cNvPr id="26" name="Picture 4">
          <a:extLst>
            <a:ext uri="{FF2B5EF4-FFF2-40B4-BE49-F238E27FC236}">
              <a16:creationId xmlns:a16="http://schemas.microsoft.com/office/drawing/2014/main" id="{00000000-0008-0000-2000-00001A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9541329"/>
          <a:ext cx="0" cy="549275"/>
        </a:xfrm>
        <a:prstGeom prst="rect">
          <a:avLst/>
        </a:prstGeom>
        <a:noFill/>
        <a:ln>
          <a:noFill/>
        </a:ln>
      </xdr:spPr>
    </xdr:pic>
    <xdr:clientData/>
  </xdr:twoCellAnchor>
  <xdr:twoCellAnchor editAs="oneCell">
    <xdr:from>
      <xdr:col>2</xdr:col>
      <xdr:colOff>263071</xdr:colOff>
      <xdr:row>40</xdr:row>
      <xdr:rowOff>54429</xdr:rowOff>
    </xdr:from>
    <xdr:to>
      <xdr:col>2</xdr:col>
      <xdr:colOff>263071</xdr:colOff>
      <xdr:row>43</xdr:row>
      <xdr:rowOff>55584</xdr:rowOff>
    </xdr:to>
    <xdr:pic>
      <xdr:nvPicPr>
        <xdr:cNvPr id="28" name="Picture 4">
          <a:extLst>
            <a:ext uri="{FF2B5EF4-FFF2-40B4-BE49-F238E27FC236}">
              <a16:creationId xmlns:a16="http://schemas.microsoft.com/office/drawing/2014/main" id="{00000000-0008-0000-2000-00001C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9541329"/>
          <a:ext cx="0" cy="549275"/>
        </a:xfrm>
        <a:prstGeom prst="rect">
          <a:avLst/>
        </a:prstGeom>
        <a:noFill/>
        <a:ln>
          <a:noFill/>
        </a:ln>
      </xdr:spPr>
    </xdr:pic>
    <xdr:clientData/>
  </xdr:twoCellAnchor>
  <xdr:twoCellAnchor editAs="oneCell">
    <xdr:from>
      <xdr:col>2</xdr:col>
      <xdr:colOff>263071</xdr:colOff>
      <xdr:row>40</xdr:row>
      <xdr:rowOff>54429</xdr:rowOff>
    </xdr:from>
    <xdr:to>
      <xdr:col>2</xdr:col>
      <xdr:colOff>263071</xdr:colOff>
      <xdr:row>43</xdr:row>
      <xdr:rowOff>55584</xdr:rowOff>
    </xdr:to>
    <xdr:pic>
      <xdr:nvPicPr>
        <xdr:cNvPr id="30" name="Picture 4">
          <a:extLst>
            <a:ext uri="{FF2B5EF4-FFF2-40B4-BE49-F238E27FC236}">
              <a16:creationId xmlns:a16="http://schemas.microsoft.com/office/drawing/2014/main" id="{00000000-0008-0000-2000-00001E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9541329"/>
          <a:ext cx="0" cy="549275"/>
        </a:xfrm>
        <a:prstGeom prst="rect">
          <a:avLst/>
        </a:prstGeom>
        <a:noFill/>
        <a:ln>
          <a:noFill/>
        </a:ln>
      </xdr:spPr>
    </xdr:pic>
    <xdr:clientData/>
  </xdr:twoCellAnchor>
  <xdr:twoCellAnchor editAs="oneCell">
    <xdr:from>
      <xdr:col>2</xdr:col>
      <xdr:colOff>263071</xdr:colOff>
      <xdr:row>39</xdr:row>
      <xdr:rowOff>54429</xdr:rowOff>
    </xdr:from>
    <xdr:to>
      <xdr:col>2</xdr:col>
      <xdr:colOff>263071</xdr:colOff>
      <xdr:row>42</xdr:row>
      <xdr:rowOff>55584</xdr:rowOff>
    </xdr:to>
    <xdr:pic>
      <xdr:nvPicPr>
        <xdr:cNvPr id="32" name="Picture 4">
          <a:extLst>
            <a:ext uri="{FF2B5EF4-FFF2-40B4-BE49-F238E27FC236}">
              <a16:creationId xmlns:a16="http://schemas.microsoft.com/office/drawing/2014/main" id="{00000000-0008-0000-2000-000020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9341304"/>
          <a:ext cx="0" cy="549275"/>
        </a:xfrm>
        <a:prstGeom prst="rect">
          <a:avLst/>
        </a:prstGeom>
        <a:noFill/>
        <a:ln>
          <a:noFill/>
        </a:ln>
      </xdr:spPr>
    </xdr:pic>
    <xdr:clientData/>
  </xdr:twoCellAnchor>
  <xdr:twoCellAnchor editAs="oneCell">
    <xdr:from>
      <xdr:col>2</xdr:col>
      <xdr:colOff>263071</xdr:colOff>
      <xdr:row>40</xdr:row>
      <xdr:rowOff>54429</xdr:rowOff>
    </xdr:from>
    <xdr:to>
      <xdr:col>2</xdr:col>
      <xdr:colOff>263071</xdr:colOff>
      <xdr:row>43</xdr:row>
      <xdr:rowOff>55584</xdr:rowOff>
    </xdr:to>
    <xdr:pic>
      <xdr:nvPicPr>
        <xdr:cNvPr id="35" name="Picture 4">
          <a:extLst>
            <a:ext uri="{FF2B5EF4-FFF2-40B4-BE49-F238E27FC236}">
              <a16:creationId xmlns:a16="http://schemas.microsoft.com/office/drawing/2014/main" id="{00000000-0008-0000-2000-000023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9541329"/>
          <a:ext cx="0" cy="549275"/>
        </a:xfrm>
        <a:prstGeom prst="rect">
          <a:avLst/>
        </a:prstGeom>
        <a:noFill/>
        <a:ln>
          <a:noFill/>
        </a:ln>
      </xdr:spPr>
    </xdr:pic>
    <xdr:clientData/>
  </xdr:twoCellAnchor>
  <xdr:twoCellAnchor editAs="oneCell">
    <xdr:from>
      <xdr:col>2</xdr:col>
      <xdr:colOff>263071</xdr:colOff>
      <xdr:row>40</xdr:row>
      <xdr:rowOff>54429</xdr:rowOff>
    </xdr:from>
    <xdr:to>
      <xdr:col>2</xdr:col>
      <xdr:colOff>263071</xdr:colOff>
      <xdr:row>43</xdr:row>
      <xdr:rowOff>55584</xdr:rowOff>
    </xdr:to>
    <xdr:pic>
      <xdr:nvPicPr>
        <xdr:cNvPr id="37" name="Picture 4">
          <a:extLst>
            <a:ext uri="{FF2B5EF4-FFF2-40B4-BE49-F238E27FC236}">
              <a16:creationId xmlns:a16="http://schemas.microsoft.com/office/drawing/2014/main" id="{00000000-0008-0000-2000-000025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9541329"/>
          <a:ext cx="0" cy="549275"/>
        </a:xfrm>
        <a:prstGeom prst="rect">
          <a:avLst/>
        </a:prstGeom>
        <a:noFill/>
        <a:ln>
          <a:noFill/>
        </a:ln>
      </xdr:spPr>
    </xdr:pic>
    <xdr:clientData/>
  </xdr:twoCellAnchor>
  <xdr:twoCellAnchor editAs="oneCell">
    <xdr:from>
      <xdr:col>2</xdr:col>
      <xdr:colOff>263071</xdr:colOff>
      <xdr:row>40</xdr:row>
      <xdr:rowOff>54429</xdr:rowOff>
    </xdr:from>
    <xdr:to>
      <xdr:col>2</xdr:col>
      <xdr:colOff>263071</xdr:colOff>
      <xdr:row>43</xdr:row>
      <xdr:rowOff>55584</xdr:rowOff>
    </xdr:to>
    <xdr:pic>
      <xdr:nvPicPr>
        <xdr:cNvPr id="39" name="Picture 4">
          <a:extLst>
            <a:ext uri="{FF2B5EF4-FFF2-40B4-BE49-F238E27FC236}">
              <a16:creationId xmlns:a16="http://schemas.microsoft.com/office/drawing/2014/main" id="{00000000-0008-0000-2000-000027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9541329"/>
          <a:ext cx="0" cy="549275"/>
        </a:xfrm>
        <a:prstGeom prst="rect">
          <a:avLst/>
        </a:prstGeom>
        <a:noFill/>
        <a:ln>
          <a:noFill/>
        </a:ln>
      </xdr:spPr>
    </xdr:pic>
    <xdr:clientData/>
  </xdr:twoCellAnchor>
  <xdr:twoCellAnchor editAs="oneCell">
    <xdr:from>
      <xdr:col>2</xdr:col>
      <xdr:colOff>263071</xdr:colOff>
      <xdr:row>39</xdr:row>
      <xdr:rowOff>54429</xdr:rowOff>
    </xdr:from>
    <xdr:to>
      <xdr:col>2</xdr:col>
      <xdr:colOff>263071</xdr:colOff>
      <xdr:row>42</xdr:row>
      <xdr:rowOff>55584</xdr:rowOff>
    </xdr:to>
    <xdr:pic>
      <xdr:nvPicPr>
        <xdr:cNvPr id="41" name="Picture 4">
          <a:extLst>
            <a:ext uri="{FF2B5EF4-FFF2-40B4-BE49-F238E27FC236}">
              <a16:creationId xmlns:a16="http://schemas.microsoft.com/office/drawing/2014/main" id="{00000000-0008-0000-2000-000029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9341304"/>
          <a:ext cx="0" cy="549275"/>
        </a:xfrm>
        <a:prstGeom prst="rect">
          <a:avLst/>
        </a:prstGeom>
        <a:noFill/>
        <a:ln>
          <a:noFill/>
        </a:ln>
      </xdr:spPr>
    </xdr:pic>
    <xdr:clientData/>
  </xdr:twoCellAnchor>
  <xdr:twoCellAnchor editAs="oneCell">
    <xdr:from>
      <xdr:col>2</xdr:col>
      <xdr:colOff>263071</xdr:colOff>
      <xdr:row>40</xdr:row>
      <xdr:rowOff>54429</xdr:rowOff>
    </xdr:from>
    <xdr:to>
      <xdr:col>2</xdr:col>
      <xdr:colOff>263071</xdr:colOff>
      <xdr:row>43</xdr:row>
      <xdr:rowOff>55584</xdr:rowOff>
    </xdr:to>
    <xdr:pic>
      <xdr:nvPicPr>
        <xdr:cNvPr id="44" name="Picture 4">
          <a:extLst>
            <a:ext uri="{FF2B5EF4-FFF2-40B4-BE49-F238E27FC236}">
              <a16:creationId xmlns:a16="http://schemas.microsoft.com/office/drawing/2014/main" id="{00000000-0008-0000-2000-00002C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9541329"/>
          <a:ext cx="0" cy="549275"/>
        </a:xfrm>
        <a:prstGeom prst="rect">
          <a:avLst/>
        </a:prstGeom>
        <a:noFill/>
        <a:ln>
          <a:noFill/>
        </a:ln>
      </xdr:spPr>
    </xdr:pic>
    <xdr:clientData/>
  </xdr:twoCellAnchor>
  <xdr:twoCellAnchor editAs="oneCell">
    <xdr:from>
      <xdr:col>2</xdr:col>
      <xdr:colOff>263071</xdr:colOff>
      <xdr:row>40</xdr:row>
      <xdr:rowOff>54429</xdr:rowOff>
    </xdr:from>
    <xdr:to>
      <xdr:col>2</xdr:col>
      <xdr:colOff>263071</xdr:colOff>
      <xdr:row>43</xdr:row>
      <xdr:rowOff>55584</xdr:rowOff>
    </xdr:to>
    <xdr:pic>
      <xdr:nvPicPr>
        <xdr:cNvPr id="46" name="Picture 4">
          <a:extLst>
            <a:ext uri="{FF2B5EF4-FFF2-40B4-BE49-F238E27FC236}">
              <a16:creationId xmlns:a16="http://schemas.microsoft.com/office/drawing/2014/main" id="{00000000-0008-0000-2000-00002E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9541329"/>
          <a:ext cx="0" cy="549275"/>
        </a:xfrm>
        <a:prstGeom prst="rect">
          <a:avLst/>
        </a:prstGeom>
        <a:noFill/>
        <a:ln>
          <a:noFill/>
        </a:ln>
      </xdr:spPr>
    </xdr:pic>
    <xdr:clientData/>
  </xdr:twoCellAnchor>
  <xdr:twoCellAnchor editAs="oneCell">
    <xdr:from>
      <xdr:col>2</xdr:col>
      <xdr:colOff>263071</xdr:colOff>
      <xdr:row>40</xdr:row>
      <xdr:rowOff>54429</xdr:rowOff>
    </xdr:from>
    <xdr:to>
      <xdr:col>2</xdr:col>
      <xdr:colOff>263071</xdr:colOff>
      <xdr:row>43</xdr:row>
      <xdr:rowOff>55584</xdr:rowOff>
    </xdr:to>
    <xdr:pic>
      <xdr:nvPicPr>
        <xdr:cNvPr id="48" name="Picture 4">
          <a:extLst>
            <a:ext uri="{FF2B5EF4-FFF2-40B4-BE49-F238E27FC236}">
              <a16:creationId xmlns:a16="http://schemas.microsoft.com/office/drawing/2014/main" id="{00000000-0008-0000-2000-000030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9541329"/>
          <a:ext cx="0" cy="549275"/>
        </a:xfrm>
        <a:prstGeom prst="rect">
          <a:avLst/>
        </a:prstGeom>
        <a:noFill/>
        <a:ln>
          <a:noFill/>
        </a:ln>
      </xdr:spPr>
    </xdr:pic>
    <xdr:clientData/>
  </xdr:twoCellAnchor>
  <xdr:twoCellAnchor editAs="oneCell">
    <xdr:from>
      <xdr:col>2</xdr:col>
      <xdr:colOff>263071</xdr:colOff>
      <xdr:row>39</xdr:row>
      <xdr:rowOff>54429</xdr:rowOff>
    </xdr:from>
    <xdr:to>
      <xdr:col>2</xdr:col>
      <xdr:colOff>263071</xdr:colOff>
      <xdr:row>42</xdr:row>
      <xdr:rowOff>55584</xdr:rowOff>
    </xdr:to>
    <xdr:pic>
      <xdr:nvPicPr>
        <xdr:cNvPr id="50" name="Picture 4">
          <a:extLst>
            <a:ext uri="{FF2B5EF4-FFF2-40B4-BE49-F238E27FC236}">
              <a16:creationId xmlns:a16="http://schemas.microsoft.com/office/drawing/2014/main" id="{00000000-0008-0000-2000-000032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9341304"/>
          <a:ext cx="0" cy="549275"/>
        </a:xfrm>
        <a:prstGeom prst="rect">
          <a:avLst/>
        </a:prstGeom>
        <a:noFill/>
        <a:ln>
          <a:noFill/>
        </a:ln>
      </xdr:spPr>
    </xdr:pic>
    <xdr:clientData/>
  </xdr:twoCellAnchor>
  <xdr:oneCellAnchor>
    <xdr:from>
      <xdr:col>1</xdr:col>
      <xdr:colOff>85725</xdr:colOff>
      <xdr:row>0</xdr:row>
      <xdr:rowOff>85726</xdr:rowOff>
    </xdr:from>
    <xdr:ext cx="1543050" cy="1531218"/>
    <xdr:pic>
      <xdr:nvPicPr>
        <xdr:cNvPr id="53" name="Picture 52">
          <a:extLst>
            <a:ext uri="{FF2B5EF4-FFF2-40B4-BE49-F238E27FC236}">
              <a16:creationId xmlns:a16="http://schemas.microsoft.com/office/drawing/2014/main" id="{00000000-0008-0000-2000-000035000000}"/>
            </a:ext>
          </a:extLst>
        </xdr:cNvPr>
        <xdr:cNvPicPr>
          <a:picLocks noChangeAspect="1"/>
        </xdr:cNvPicPr>
      </xdr:nvPicPr>
      <xdr:blipFill>
        <a:blip xmlns:r="http://schemas.openxmlformats.org/officeDocument/2006/relationships" r:embed="rId2"/>
        <a:stretch>
          <a:fillRect/>
        </a:stretch>
      </xdr:blipFill>
      <xdr:spPr>
        <a:xfrm>
          <a:off x="190500" y="85726"/>
          <a:ext cx="1543050" cy="1531218"/>
        </a:xfrm>
        <a:prstGeom prst="rect">
          <a:avLst/>
        </a:prstGeom>
      </xdr:spPr>
    </xdr:pic>
    <xdr:clientData/>
  </xdr:oneCellAnchor>
  <xdr:twoCellAnchor editAs="oneCell">
    <xdr:from>
      <xdr:col>2</xdr:col>
      <xdr:colOff>263071</xdr:colOff>
      <xdr:row>39</xdr:row>
      <xdr:rowOff>54429</xdr:rowOff>
    </xdr:from>
    <xdr:to>
      <xdr:col>2</xdr:col>
      <xdr:colOff>263071</xdr:colOff>
      <xdr:row>42</xdr:row>
      <xdr:rowOff>55584</xdr:rowOff>
    </xdr:to>
    <xdr:pic>
      <xdr:nvPicPr>
        <xdr:cNvPr id="54" name="Picture 4">
          <a:extLst>
            <a:ext uri="{FF2B5EF4-FFF2-40B4-BE49-F238E27FC236}">
              <a16:creationId xmlns:a16="http://schemas.microsoft.com/office/drawing/2014/main" id="{00000000-0008-0000-2000-000036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9341304"/>
          <a:ext cx="0" cy="549275"/>
        </a:xfrm>
        <a:prstGeom prst="rect">
          <a:avLst/>
        </a:prstGeom>
        <a:noFill/>
        <a:ln>
          <a:noFill/>
        </a:ln>
      </xdr:spPr>
    </xdr:pic>
    <xdr:clientData/>
  </xdr:twoCellAnchor>
  <xdr:oneCellAnchor>
    <xdr:from>
      <xdr:col>1</xdr:col>
      <xdr:colOff>85725</xdr:colOff>
      <xdr:row>0</xdr:row>
      <xdr:rowOff>85726</xdr:rowOff>
    </xdr:from>
    <xdr:ext cx="1543050" cy="1531218"/>
    <xdr:pic>
      <xdr:nvPicPr>
        <xdr:cNvPr id="56" name="Picture 55">
          <a:extLst>
            <a:ext uri="{FF2B5EF4-FFF2-40B4-BE49-F238E27FC236}">
              <a16:creationId xmlns:a16="http://schemas.microsoft.com/office/drawing/2014/main" id="{00000000-0008-0000-2000-000038000000}"/>
            </a:ext>
          </a:extLst>
        </xdr:cNvPr>
        <xdr:cNvPicPr>
          <a:picLocks noChangeAspect="1"/>
        </xdr:cNvPicPr>
      </xdr:nvPicPr>
      <xdr:blipFill>
        <a:blip xmlns:r="http://schemas.openxmlformats.org/officeDocument/2006/relationships" r:embed="rId2"/>
        <a:stretch>
          <a:fillRect/>
        </a:stretch>
      </xdr:blipFill>
      <xdr:spPr>
        <a:xfrm>
          <a:off x="190500" y="85726"/>
          <a:ext cx="1543050" cy="1531218"/>
        </a:xfrm>
        <a:prstGeom prst="rect">
          <a:avLst/>
        </a:prstGeom>
      </xdr:spPr>
    </xdr:pic>
    <xdr:clientData/>
  </xdr:oneCellAnchor>
  <xdr:twoCellAnchor>
    <xdr:from>
      <xdr:col>13</xdr:col>
      <xdr:colOff>38100</xdr:colOff>
      <xdr:row>1</xdr:row>
      <xdr:rowOff>28575</xdr:rowOff>
    </xdr:from>
    <xdr:to>
      <xdr:col>15</xdr:col>
      <xdr:colOff>428625</xdr:colOff>
      <xdr:row>5</xdr:row>
      <xdr:rowOff>28575</xdr:rowOff>
    </xdr:to>
    <xdr:sp macro="[0]!Home" textlink="">
      <xdr:nvSpPr>
        <xdr:cNvPr id="58" name="Arrow: Left 57">
          <a:extLst>
            <a:ext uri="{FF2B5EF4-FFF2-40B4-BE49-F238E27FC236}">
              <a16:creationId xmlns:a16="http://schemas.microsoft.com/office/drawing/2014/main" id="{00000000-0008-0000-2000-00003A000000}"/>
            </a:ext>
          </a:extLst>
        </xdr:cNvPr>
        <xdr:cNvSpPr/>
      </xdr:nvSpPr>
      <xdr:spPr>
        <a:xfrm>
          <a:off x="7515225" y="123825"/>
          <a:ext cx="1114425" cy="800100"/>
        </a:xfrm>
        <a:prstGeom prst="leftArrow">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800">
              <a:latin typeface="Times New Roman" panose="02020603050405020304" pitchFamily="18" charset="0"/>
              <a:cs typeface="Times New Roman" panose="02020603050405020304" pitchFamily="18" charset="0"/>
            </a:rPr>
            <a:t>HOME</a:t>
          </a:r>
        </a:p>
      </xdr:txBody>
    </xdr:sp>
    <xdr:clientData/>
  </xdr:twoCellAnchor>
  <xdr:twoCellAnchor>
    <xdr:from>
      <xdr:col>14</xdr:col>
      <xdr:colOff>161925</xdr:colOff>
      <xdr:row>14</xdr:row>
      <xdr:rowOff>161925</xdr:rowOff>
    </xdr:from>
    <xdr:to>
      <xdr:col>15</xdr:col>
      <xdr:colOff>523875</xdr:colOff>
      <xdr:row>17</xdr:row>
      <xdr:rowOff>47625</xdr:rowOff>
    </xdr:to>
    <xdr:sp macro="[0]!Cetak" textlink="">
      <xdr:nvSpPr>
        <xdr:cNvPr id="61" name="Rectangle: Single Corner Snipped 60">
          <a:extLst>
            <a:ext uri="{FF2B5EF4-FFF2-40B4-BE49-F238E27FC236}">
              <a16:creationId xmlns:a16="http://schemas.microsoft.com/office/drawing/2014/main" id="{00000000-0008-0000-2000-00003D000000}"/>
            </a:ext>
          </a:extLst>
        </xdr:cNvPr>
        <xdr:cNvSpPr/>
      </xdr:nvSpPr>
      <xdr:spPr>
        <a:xfrm>
          <a:off x="7753350" y="2647950"/>
          <a:ext cx="971550" cy="476250"/>
        </a:xfrm>
        <a:prstGeom prst="snip1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600" b="1">
              <a:solidFill>
                <a:schemeClr val="tx1"/>
              </a:solidFill>
              <a:latin typeface="Times New Roman" panose="02020603050405020304" pitchFamily="18" charset="0"/>
              <a:cs typeface="Times New Roman" panose="02020603050405020304" pitchFamily="18" charset="0"/>
            </a:rPr>
            <a:t>CETAK</a:t>
          </a:r>
        </a:p>
      </xdr:txBody>
    </xdr:sp>
    <xdr:clientData/>
  </xdr:twoCellAnchor>
  <xdr:twoCellAnchor>
    <xdr:from>
      <xdr:col>16</xdr:col>
      <xdr:colOff>95251</xdr:colOff>
      <xdr:row>14</xdr:row>
      <xdr:rowOff>161925</xdr:rowOff>
    </xdr:from>
    <xdr:to>
      <xdr:col>17</xdr:col>
      <xdr:colOff>695326</xdr:colOff>
      <xdr:row>17</xdr:row>
      <xdr:rowOff>9525</xdr:rowOff>
    </xdr:to>
    <xdr:sp macro="[0]!PDF" textlink="">
      <xdr:nvSpPr>
        <xdr:cNvPr id="62" name="Rectangle: Single Corner Snipped 61">
          <a:extLst>
            <a:ext uri="{FF2B5EF4-FFF2-40B4-BE49-F238E27FC236}">
              <a16:creationId xmlns:a16="http://schemas.microsoft.com/office/drawing/2014/main" id="{00000000-0008-0000-2000-00003E000000}"/>
            </a:ext>
          </a:extLst>
        </xdr:cNvPr>
        <xdr:cNvSpPr/>
      </xdr:nvSpPr>
      <xdr:spPr>
        <a:xfrm>
          <a:off x="8905876" y="2647950"/>
          <a:ext cx="990600" cy="438150"/>
        </a:xfrm>
        <a:prstGeom prst="snip1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600" b="1">
              <a:solidFill>
                <a:schemeClr val="tx1"/>
              </a:solidFill>
              <a:latin typeface="Times New Roman" panose="02020603050405020304" pitchFamily="18" charset="0"/>
              <a:cs typeface="Times New Roman" panose="02020603050405020304" pitchFamily="18" charset="0"/>
            </a:rPr>
            <a:t>PDF</a:t>
          </a:r>
        </a:p>
      </xdr:txBody>
    </xdr:sp>
    <xdr:clientData/>
  </xdr:twoCellAnchor>
  <xdr:twoCellAnchor>
    <xdr:from>
      <xdr:col>15</xdr:col>
      <xdr:colOff>66675</xdr:colOff>
      <xdr:row>17</xdr:row>
      <xdr:rowOff>228600</xdr:rowOff>
    </xdr:from>
    <xdr:to>
      <xdr:col>17</xdr:col>
      <xdr:colOff>200025</xdr:colOff>
      <xdr:row>20</xdr:row>
      <xdr:rowOff>66675</xdr:rowOff>
    </xdr:to>
    <xdr:sp macro="[0]!_xludf.SAVE" textlink="">
      <xdr:nvSpPr>
        <xdr:cNvPr id="63" name="Rectangle: Top Corners Snipped 62">
          <a:extLst>
            <a:ext uri="{FF2B5EF4-FFF2-40B4-BE49-F238E27FC236}">
              <a16:creationId xmlns:a16="http://schemas.microsoft.com/office/drawing/2014/main" id="{00000000-0008-0000-2000-00003F000000}"/>
            </a:ext>
          </a:extLst>
        </xdr:cNvPr>
        <xdr:cNvSpPr/>
      </xdr:nvSpPr>
      <xdr:spPr>
        <a:xfrm>
          <a:off x="8267700" y="3305175"/>
          <a:ext cx="1133475" cy="638175"/>
        </a:xfrm>
        <a:prstGeom prst="snip2Same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ctr"/>
          <a:r>
            <a:rPr lang="en-US" sz="1200" b="1">
              <a:solidFill>
                <a:schemeClr val="tx1"/>
              </a:solidFill>
              <a:latin typeface="Times New Roman" panose="02020603050405020304" pitchFamily="18" charset="0"/>
              <a:cs typeface="Times New Roman" panose="02020603050405020304" pitchFamily="18" charset="0"/>
            </a:rPr>
            <a:t>SIMPAN DOKUMEN</a:t>
          </a:r>
        </a:p>
      </xdr:txBody>
    </xdr:sp>
    <xdr:clientData/>
  </xdr:twoCellAnchor>
  <xdr:twoCellAnchor editAs="oneCell">
    <xdr:from>
      <xdr:col>2</xdr:col>
      <xdr:colOff>263071</xdr:colOff>
      <xdr:row>40</xdr:row>
      <xdr:rowOff>54429</xdr:rowOff>
    </xdr:from>
    <xdr:to>
      <xdr:col>2</xdr:col>
      <xdr:colOff>263071</xdr:colOff>
      <xdr:row>43</xdr:row>
      <xdr:rowOff>55584</xdr:rowOff>
    </xdr:to>
    <xdr:pic>
      <xdr:nvPicPr>
        <xdr:cNvPr id="64" name="Picture 4">
          <a:extLst>
            <a:ext uri="{FF2B5EF4-FFF2-40B4-BE49-F238E27FC236}">
              <a16:creationId xmlns:a16="http://schemas.microsoft.com/office/drawing/2014/main" id="{00000000-0008-0000-2000-000040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9541329"/>
          <a:ext cx="0" cy="549275"/>
        </a:xfrm>
        <a:prstGeom prst="rect">
          <a:avLst/>
        </a:prstGeom>
        <a:noFill/>
        <a:ln>
          <a:noFill/>
        </a:ln>
      </xdr:spPr>
    </xdr:pic>
    <xdr:clientData/>
  </xdr:twoCellAnchor>
  <xdr:twoCellAnchor editAs="oneCell">
    <xdr:from>
      <xdr:col>2</xdr:col>
      <xdr:colOff>263071</xdr:colOff>
      <xdr:row>40</xdr:row>
      <xdr:rowOff>54429</xdr:rowOff>
    </xdr:from>
    <xdr:to>
      <xdr:col>2</xdr:col>
      <xdr:colOff>263071</xdr:colOff>
      <xdr:row>43</xdr:row>
      <xdr:rowOff>55584</xdr:rowOff>
    </xdr:to>
    <xdr:pic>
      <xdr:nvPicPr>
        <xdr:cNvPr id="66" name="Picture 4">
          <a:extLst>
            <a:ext uri="{FF2B5EF4-FFF2-40B4-BE49-F238E27FC236}">
              <a16:creationId xmlns:a16="http://schemas.microsoft.com/office/drawing/2014/main" id="{00000000-0008-0000-2000-000042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9541329"/>
          <a:ext cx="0" cy="549275"/>
        </a:xfrm>
        <a:prstGeom prst="rect">
          <a:avLst/>
        </a:prstGeom>
        <a:noFill/>
        <a:ln>
          <a:noFill/>
        </a:ln>
      </xdr:spPr>
    </xdr:pic>
    <xdr:clientData/>
  </xdr:twoCellAnchor>
  <xdr:twoCellAnchor editAs="oneCell">
    <xdr:from>
      <xdr:col>2</xdr:col>
      <xdr:colOff>263071</xdr:colOff>
      <xdr:row>40</xdr:row>
      <xdr:rowOff>54429</xdr:rowOff>
    </xdr:from>
    <xdr:to>
      <xdr:col>2</xdr:col>
      <xdr:colOff>263071</xdr:colOff>
      <xdr:row>43</xdr:row>
      <xdr:rowOff>55584</xdr:rowOff>
    </xdr:to>
    <xdr:pic>
      <xdr:nvPicPr>
        <xdr:cNvPr id="68" name="Picture 4">
          <a:extLst>
            <a:ext uri="{FF2B5EF4-FFF2-40B4-BE49-F238E27FC236}">
              <a16:creationId xmlns:a16="http://schemas.microsoft.com/office/drawing/2014/main" id="{00000000-0008-0000-2000-000044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9541329"/>
          <a:ext cx="0" cy="549275"/>
        </a:xfrm>
        <a:prstGeom prst="rect">
          <a:avLst/>
        </a:prstGeom>
        <a:noFill/>
        <a:ln>
          <a:noFill/>
        </a:ln>
      </xdr:spPr>
    </xdr:pic>
    <xdr:clientData/>
  </xdr:twoCellAnchor>
  <xdr:twoCellAnchor editAs="oneCell">
    <xdr:from>
      <xdr:col>2</xdr:col>
      <xdr:colOff>263071</xdr:colOff>
      <xdr:row>40</xdr:row>
      <xdr:rowOff>54429</xdr:rowOff>
    </xdr:from>
    <xdr:to>
      <xdr:col>2</xdr:col>
      <xdr:colOff>263071</xdr:colOff>
      <xdr:row>43</xdr:row>
      <xdr:rowOff>55584</xdr:rowOff>
    </xdr:to>
    <xdr:pic>
      <xdr:nvPicPr>
        <xdr:cNvPr id="70" name="Picture 4">
          <a:extLst>
            <a:ext uri="{FF2B5EF4-FFF2-40B4-BE49-F238E27FC236}">
              <a16:creationId xmlns:a16="http://schemas.microsoft.com/office/drawing/2014/main" id="{00000000-0008-0000-2000-000046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9541329"/>
          <a:ext cx="0" cy="549275"/>
        </a:xfrm>
        <a:prstGeom prst="rect">
          <a:avLst/>
        </a:prstGeom>
        <a:noFill/>
        <a:ln>
          <a:noFill/>
        </a:ln>
      </xdr:spPr>
    </xdr:pic>
    <xdr:clientData/>
  </xdr:twoCellAnchor>
  <xdr:twoCellAnchor editAs="oneCell">
    <xdr:from>
      <xdr:col>2</xdr:col>
      <xdr:colOff>263071</xdr:colOff>
      <xdr:row>39</xdr:row>
      <xdr:rowOff>54429</xdr:rowOff>
    </xdr:from>
    <xdr:to>
      <xdr:col>2</xdr:col>
      <xdr:colOff>263071</xdr:colOff>
      <xdr:row>42</xdr:row>
      <xdr:rowOff>55584</xdr:rowOff>
    </xdr:to>
    <xdr:pic>
      <xdr:nvPicPr>
        <xdr:cNvPr id="72" name="Picture 4">
          <a:extLst>
            <a:ext uri="{FF2B5EF4-FFF2-40B4-BE49-F238E27FC236}">
              <a16:creationId xmlns:a16="http://schemas.microsoft.com/office/drawing/2014/main" id="{00000000-0008-0000-2000-000048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9341304"/>
          <a:ext cx="0" cy="549275"/>
        </a:xfrm>
        <a:prstGeom prst="rect">
          <a:avLst/>
        </a:prstGeom>
        <a:noFill/>
        <a:ln>
          <a:noFill/>
        </a:ln>
      </xdr:spPr>
    </xdr:pic>
    <xdr:clientData/>
  </xdr:twoCellAnchor>
  <xdr:twoCellAnchor editAs="oneCell">
    <xdr:from>
      <xdr:col>2</xdr:col>
      <xdr:colOff>263071</xdr:colOff>
      <xdr:row>40</xdr:row>
      <xdr:rowOff>54429</xdr:rowOff>
    </xdr:from>
    <xdr:to>
      <xdr:col>2</xdr:col>
      <xdr:colOff>263071</xdr:colOff>
      <xdr:row>43</xdr:row>
      <xdr:rowOff>55584</xdr:rowOff>
    </xdr:to>
    <xdr:pic>
      <xdr:nvPicPr>
        <xdr:cNvPr id="75" name="Picture 4">
          <a:extLst>
            <a:ext uri="{FF2B5EF4-FFF2-40B4-BE49-F238E27FC236}">
              <a16:creationId xmlns:a16="http://schemas.microsoft.com/office/drawing/2014/main" id="{00000000-0008-0000-2000-00004B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9541329"/>
          <a:ext cx="0" cy="549275"/>
        </a:xfrm>
        <a:prstGeom prst="rect">
          <a:avLst/>
        </a:prstGeom>
        <a:noFill/>
        <a:ln>
          <a:noFill/>
        </a:ln>
      </xdr:spPr>
    </xdr:pic>
    <xdr:clientData/>
  </xdr:twoCellAnchor>
  <xdr:twoCellAnchor editAs="oneCell">
    <xdr:from>
      <xdr:col>2</xdr:col>
      <xdr:colOff>263071</xdr:colOff>
      <xdr:row>40</xdr:row>
      <xdr:rowOff>54429</xdr:rowOff>
    </xdr:from>
    <xdr:to>
      <xdr:col>2</xdr:col>
      <xdr:colOff>263071</xdr:colOff>
      <xdr:row>43</xdr:row>
      <xdr:rowOff>55584</xdr:rowOff>
    </xdr:to>
    <xdr:pic>
      <xdr:nvPicPr>
        <xdr:cNvPr id="77" name="Picture 4">
          <a:extLst>
            <a:ext uri="{FF2B5EF4-FFF2-40B4-BE49-F238E27FC236}">
              <a16:creationId xmlns:a16="http://schemas.microsoft.com/office/drawing/2014/main" id="{00000000-0008-0000-2000-00004D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9541329"/>
          <a:ext cx="0" cy="549275"/>
        </a:xfrm>
        <a:prstGeom prst="rect">
          <a:avLst/>
        </a:prstGeom>
        <a:noFill/>
        <a:ln>
          <a:noFill/>
        </a:ln>
      </xdr:spPr>
    </xdr:pic>
    <xdr:clientData/>
  </xdr:twoCellAnchor>
  <xdr:twoCellAnchor editAs="oneCell">
    <xdr:from>
      <xdr:col>2</xdr:col>
      <xdr:colOff>263071</xdr:colOff>
      <xdr:row>40</xdr:row>
      <xdr:rowOff>54429</xdr:rowOff>
    </xdr:from>
    <xdr:to>
      <xdr:col>2</xdr:col>
      <xdr:colOff>263071</xdr:colOff>
      <xdr:row>43</xdr:row>
      <xdr:rowOff>55584</xdr:rowOff>
    </xdr:to>
    <xdr:pic>
      <xdr:nvPicPr>
        <xdr:cNvPr id="79" name="Picture 4">
          <a:extLst>
            <a:ext uri="{FF2B5EF4-FFF2-40B4-BE49-F238E27FC236}">
              <a16:creationId xmlns:a16="http://schemas.microsoft.com/office/drawing/2014/main" id="{00000000-0008-0000-2000-00004F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9541329"/>
          <a:ext cx="0" cy="549275"/>
        </a:xfrm>
        <a:prstGeom prst="rect">
          <a:avLst/>
        </a:prstGeom>
        <a:noFill/>
        <a:ln>
          <a:noFill/>
        </a:ln>
      </xdr:spPr>
    </xdr:pic>
    <xdr:clientData/>
  </xdr:twoCellAnchor>
  <xdr:twoCellAnchor editAs="oneCell">
    <xdr:from>
      <xdr:col>2</xdr:col>
      <xdr:colOff>263071</xdr:colOff>
      <xdr:row>39</xdr:row>
      <xdr:rowOff>54429</xdr:rowOff>
    </xdr:from>
    <xdr:to>
      <xdr:col>2</xdr:col>
      <xdr:colOff>263071</xdr:colOff>
      <xdr:row>42</xdr:row>
      <xdr:rowOff>55584</xdr:rowOff>
    </xdr:to>
    <xdr:pic>
      <xdr:nvPicPr>
        <xdr:cNvPr id="81" name="Picture 4">
          <a:extLst>
            <a:ext uri="{FF2B5EF4-FFF2-40B4-BE49-F238E27FC236}">
              <a16:creationId xmlns:a16="http://schemas.microsoft.com/office/drawing/2014/main" id="{00000000-0008-0000-2000-000051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9341304"/>
          <a:ext cx="0" cy="549275"/>
        </a:xfrm>
        <a:prstGeom prst="rect">
          <a:avLst/>
        </a:prstGeom>
        <a:noFill/>
        <a:ln>
          <a:noFill/>
        </a:ln>
      </xdr:spPr>
    </xdr:pic>
    <xdr:clientData/>
  </xdr:twoCellAnchor>
  <xdr:twoCellAnchor editAs="oneCell">
    <xdr:from>
      <xdr:col>2</xdr:col>
      <xdr:colOff>263071</xdr:colOff>
      <xdr:row>40</xdr:row>
      <xdr:rowOff>54429</xdr:rowOff>
    </xdr:from>
    <xdr:to>
      <xdr:col>2</xdr:col>
      <xdr:colOff>263071</xdr:colOff>
      <xdr:row>43</xdr:row>
      <xdr:rowOff>55584</xdr:rowOff>
    </xdr:to>
    <xdr:pic>
      <xdr:nvPicPr>
        <xdr:cNvPr id="84" name="Picture 4">
          <a:extLst>
            <a:ext uri="{FF2B5EF4-FFF2-40B4-BE49-F238E27FC236}">
              <a16:creationId xmlns:a16="http://schemas.microsoft.com/office/drawing/2014/main" id="{00000000-0008-0000-2000-000054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9541329"/>
          <a:ext cx="0" cy="549275"/>
        </a:xfrm>
        <a:prstGeom prst="rect">
          <a:avLst/>
        </a:prstGeom>
        <a:noFill/>
        <a:ln>
          <a:noFill/>
        </a:ln>
      </xdr:spPr>
    </xdr:pic>
    <xdr:clientData/>
  </xdr:twoCellAnchor>
  <xdr:twoCellAnchor editAs="oneCell">
    <xdr:from>
      <xdr:col>2</xdr:col>
      <xdr:colOff>263071</xdr:colOff>
      <xdr:row>40</xdr:row>
      <xdr:rowOff>54429</xdr:rowOff>
    </xdr:from>
    <xdr:to>
      <xdr:col>2</xdr:col>
      <xdr:colOff>263071</xdr:colOff>
      <xdr:row>43</xdr:row>
      <xdr:rowOff>55584</xdr:rowOff>
    </xdr:to>
    <xdr:pic>
      <xdr:nvPicPr>
        <xdr:cNvPr id="86" name="Picture 4">
          <a:extLst>
            <a:ext uri="{FF2B5EF4-FFF2-40B4-BE49-F238E27FC236}">
              <a16:creationId xmlns:a16="http://schemas.microsoft.com/office/drawing/2014/main" id="{00000000-0008-0000-2000-000056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9541329"/>
          <a:ext cx="0" cy="549275"/>
        </a:xfrm>
        <a:prstGeom prst="rect">
          <a:avLst/>
        </a:prstGeom>
        <a:noFill/>
        <a:ln>
          <a:noFill/>
        </a:ln>
      </xdr:spPr>
    </xdr:pic>
    <xdr:clientData/>
  </xdr:twoCellAnchor>
  <xdr:twoCellAnchor editAs="oneCell">
    <xdr:from>
      <xdr:col>2</xdr:col>
      <xdr:colOff>263071</xdr:colOff>
      <xdr:row>40</xdr:row>
      <xdr:rowOff>54429</xdr:rowOff>
    </xdr:from>
    <xdr:to>
      <xdr:col>2</xdr:col>
      <xdr:colOff>263071</xdr:colOff>
      <xdr:row>43</xdr:row>
      <xdr:rowOff>55584</xdr:rowOff>
    </xdr:to>
    <xdr:pic>
      <xdr:nvPicPr>
        <xdr:cNvPr id="88" name="Picture 4">
          <a:extLst>
            <a:ext uri="{FF2B5EF4-FFF2-40B4-BE49-F238E27FC236}">
              <a16:creationId xmlns:a16="http://schemas.microsoft.com/office/drawing/2014/main" id="{00000000-0008-0000-2000-000058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9541329"/>
          <a:ext cx="0" cy="549275"/>
        </a:xfrm>
        <a:prstGeom prst="rect">
          <a:avLst/>
        </a:prstGeom>
        <a:noFill/>
        <a:ln>
          <a:noFill/>
        </a:ln>
      </xdr:spPr>
    </xdr:pic>
    <xdr:clientData/>
  </xdr:twoCellAnchor>
  <xdr:twoCellAnchor editAs="oneCell">
    <xdr:from>
      <xdr:col>2</xdr:col>
      <xdr:colOff>263071</xdr:colOff>
      <xdr:row>39</xdr:row>
      <xdr:rowOff>54429</xdr:rowOff>
    </xdr:from>
    <xdr:to>
      <xdr:col>2</xdr:col>
      <xdr:colOff>263071</xdr:colOff>
      <xdr:row>42</xdr:row>
      <xdr:rowOff>55584</xdr:rowOff>
    </xdr:to>
    <xdr:pic>
      <xdr:nvPicPr>
        <xdr:cNvPr id="90" name="Picture 4">
          <a:extLst>
            <a:ext uri="{FF2B5EF4-FFF2-40B4-BE49-F238E27FC236}">
              <a16:creationId xmlns:a16="http://schemas.microsoft.com/office/drawing/2014/main" id="{00000000-0008-0000-2000-00005A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9341304"/>
          <a:ext cx="0" cy="549275"/>
        </a:xfrm>
        <a:prstGeom prst="rect">
          <a:avLst/>
        </a:prstGeom>
        <a:noFill/>
        <a:ln>
          <a:noFill/>
        </a:ln>
      </xdr:spPr>
    </xdr:pic>
    <xdr:clientData/>
  </xdr:twoCellAnchor>
  <xdr:oneCellAnchor>
    <xdr:from>
      <xdr:col>1</xdr:col>
      <xdr:colOff>85725</xdr:colOff>
      <xdr:row>0</xdr:row>
      <xdr:rowOff>85726</xdr:rowOff>
    </xdr:from>
    <xdr:ext cx="1543050" cy="1531218"/>
    <xdr:pic>
      <xdr:nvPicPr>
        <xdr:cNvPr id="93" name="Picture 92">
          <a:extLst>
            <a:ext uri="{FF2B5EF4-FFF2-40B4-BE49-F238E27FC236}">
              <a16:creationId xmlns:a16="http://schemas.microsoft.com/office/drawing/2014/main" id="{00000000-0008-0000-2000-00005D000000}"/>
            </a:ext>
          </a:extLst>
        </xdr:cNvPr>
        <xdr:cNvPicPr>
          <a:picLocks noChangeAspect="1"/>
        </xdr:cNvPicPr>
      </xdr:nvPicPr>
      <xdr:blipFill>
        <a:blip xmlns:r="http://schemas.openxmlformats.org/officeDocument/2006/relationships" r:embed="rId2"/>
        <a:stretch>
          <a:fillRect/>
        </a:stretch>
      </xdr:blipFill>
      <xdr:spPr>
        <a:xfrm>
          <a:off x="190500" y="85726"/>
          <a:ext cx="1543050" cy="1531218"/>
        </a:xfrm>
        <a:prstGeom prst="rect">
          <a:avLst/>
        </a:prstGeom>
      </xdr:spPr>
    </xdr:pic>
    <xdr:clientData/>
  </xdr:oneCellAnchor>
  <xdr:twoCellAnchor editAs="oneCell">
    <xdr:from>
      <xdr:col>2</xdr:col>
      <xdr:colOff>263071</xdr:colOff>
      <xdr:row>39</xdr:row>
      <xdr:rowOff>54429</xdr:rowOff>
    </xdr:from>
    <xdr:to>
      <xdr:col>2</xdr:col>
      <xdr:colOff>263071</xdr:colOff>
      <xdr:row>42</xdr:row>
      <xdr:rowOff>55584</xdr:rowOff>
    </xdr:to>
    <xdr:pic>
      <xdr:nvPicPr>
        <xdr:cNvPr id="94" name="Picture 4">
          <a:extLst>
            <a:ext uri="{FF2B5EF4-FFF2-40B4-BE49-F238E27FC236}">
              <a16:creationId xmlns:a16="http://schemas.microsoft.com/office/drawing/2014/main" id="{00000000-0008-0000-2000-00005E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9341304"/>
          <a:ext cx="0" cy="549275"/>
        </a:xfrm>
        <a:prstGeom prst="rect">
          <a:avLst/>
        </a:prstGeom>
        <a:noFill/>
        <a:ln>
          <a:noFill/>
        </a:ln>
      </xdr:spPr>
    </xdr:pic>
    <xdr:clientData/>
  </xdr:twoCellAnchor>
  <xdr:oneCellAnchor>
    <xdr:from>
      <xdr:col>1</xdr:col>
      <xdr:colOff>85725</xdr:colOff>
      <xdr:row>0</xdr:row>
      <xdr:rowOff>85726</xdr:rowOff>
    </xdr:from>
    <xdr:ext cx="1543050" cy="1531218"/>
    <xdr:pic>
      <xdr:nvPicPr>
        <xdr:cNvPr id="96" name="Picture 95">
          <a:extLst>
            <a:ext uri="{FF2B5EF4-FFF2-40B4-BE49-F238E27FC236}">
              <a16:creationId xmlns:a16="http://schemas.microsoft.com/office/drawing/2014/main" id="{00000000-0008-0000-2000-000060000000}"/>
            </a:ext>
          </a:extLst>
        </xdr:cNvPr>
        <xdr:cNvPicPr>
          <a:picLocks noChangeAspect="1"/>
        </xdr:cNvPicPr>
      </xdr:nvPicPr>
      <xdr:blipFill>
        <a:blip xmlns:r="http://schemas.openxmlformats.org/officeDocument/2006/relationships" r:embed="rId2"/>
        <a:stretch>
          <a:fillRect/>
        </a:stretch>
      </xdr:blipFill>
      <xdr:spPr>
        <a:xfrm>
          <a:off x="190500" y="85726"/>
          <a:ext cx="1543050" cy="1531218"/>
        </a:xfrm>
        <a:prstGeom prst="rect">
          <a:avLst/>
        </a:prstGeom>
      </xdr:spPr>
    </xdr:pic>
    <xdr:clientData/>
  </xdr:oneCellAnchor>
  <xdr:twoCellAnchor>
    <xdr:from>
      <xdr:col>13</xdr:col>
      <xdr:colOff>38100</xdr:colOff>
      <xdr:row>1</xdr:row>
      <xdr:rowOff>28575</xdr:rowOff>
    </xdr:from>
    <xdr:to>
      <xdr:col>15</xdr:col>
      <xdr:colOff>428625</xdr:colOff>
      <xdr:row>5</xdr:row>
      <xdr:rowOff>28575</xdr:rowOff>
    </xdr:to>
    <xdr:sp macro="[0]!Home" textlink="">
      <xdr:nvSpPr>
        <xdr:cNvPr id="98" name="Arrow: Left 97">
          <a:extLst>
            <a:ext uri="{FF2B5EF4-FFF2-40B4-BE49-F238E27FC236}">
              <a16:creationId xmlns:a16="http://schemas.microsoft.com/office/drawing/2014/main" id="{00000000-0008-0000-2000-000062000000}"/>
            </a:ext>
          </a:extLst>
        </xdr:cNvPr>
        <xdr:cNvSpPr/>
      </xdr:nvSpPr>
      <xdr:spPr>
        <a:xfrm>
          <a:off x="7515225" y="123825"/>
          <a:ext cx="1114425" cy="800100"/>
        </a:xfrm>
        <a:prstGeom prst="leftArrow">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800">
              <a:latin typeface="Times New Roman" panose="02020603050405020304" pitchFamily="18" charset="0"/>
              <a:cs typeface="Times New Roman" panose="02020603050405020304" pitchFamily="18" charset="0"/>
            </a:rPr>
            <a:t>HOME</a:t>
          </a:r>
        </a:p>
      </xdr:txBody>
    </xdr:sp>
    <xdr:clientData/>
  </xdr:twoCellAnchor>
  <xdr:twoCellAnchor>
    <xdr:from>
      <xdr:col>14</xdr:col>
      <xdr:colOff>161925</xdr:colOff>
      <xdr:row>14</xdr:row>
      <xdr:rowOff>161925</xdr:rowOff>
    </xdr:from>
    <xdr:to>
      <xdr:col>15</xdr:col>
      <xdr:colOff>523875</xdr:colOff>
      <xdr:row>17</xdr:row>
      <xdr:rowOff>47625</xdr:rowOff>
    </xdr:to>
    <xdr:sp macro="[0]!Cetak" textlink="">
      <xdr:nvSpPr>
        <xdr:cNvPr id="102" name="Rectangle: Single Corner Snipped 101">
          <a:extLst>
            <a:ext uri="{FF2B5EF4-FFF2-40B4-BE49-F238E27FC236}">
              <a16:creationId xmlns:a16="http://schemas.microsoft.com/office/drawing/2014/main" id="{00000000-0008-0000-2000-000066000000}"/>
            </a:ext>
          </a:extLst>
        </xdr:cNvPr>
        <xdr:cNvSpPr/>
      </xdr:nvSpPr>
      <xdr:spPr>
        <a:xfrm>
          <a:off x="7753350" y="2647950"/>
          <a:ext cx="971550" cy="476250"/>
        </a:xfrm>
        <a:prstGeom prst="snip1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600" b="1">
              <a:solidFill>
                <a:schemeClr val="tx1"/>
              </a:solidFill>
              <a:latin typeface="Times New Roman" panose="02020603050405020304" pitchFamily="18" charset="0"/>
              <a:cs typeface="Times New Roman" panose="02020603050405020304" pitchFamily="18" charset="0"/>
            </a:rPr>
            <a:t>CETAK</a:t>
          </a:r>
        </a:p>
      </xdr:txBody>
    </xdr:sp>
    <xdr:clientData/>
  </xdr:twoCellAnchor>
  <xdr:twoCellAnchor>
    <xdr:from>
      <xdr:col>16</xdr:col>
      <xdr:colOff>95250</xdr:colOff>
      <xdr:row>14</xdr:row>
      <xdr:rowOff>161925</xdr:rowOff>
    </xdr:from>
    <xdr:to>
      <xdr:col>17</xdr:col>
      <xdr:colOff>942974</xdr:colOff>
      <xdr:row>17</xdr:row>
      <xdr:rowOff>47625</xdr:rowOff>
    </xdr:to>
    <xdr:sp macro="[0]!PDF" textlink="">
      <xdr:nvSpPr>
        <xdr:cNvPr id="103" name="Rectangle: Single Corner Snipped 102">
          <a:extLst>
            <a:ext uri="{FF2B5EF4-FFF2-40B4-BE49-F238E27FC236}">
              <a16:creationId xmlns:a16="http://schemas.microsoft.com/office/drawing/2014/main" id="{00000000-0008-0000-2000-000067000000}"/>
            </a:ext>
          </a:extLst>
        </xdr:cNvPr>
        <xdr:cNvSpPr/>
      </xdr:nvSpPr>
      <xdr:spPr>
        <a:xfrm>
          <a:off x="9067800" y="2647950"/>
          <a:ext cx="1009649" cy="476250"/>
        </a:xfrm>
        <a:prstGeom prst="snip1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600" b="1">
              <a:solidFill>
                <a:schemeClr val="tx1"/>
              </a:solidFill>
              <a:latin typeface="Times New Roman" panose="02020603050405020304" pitchFamily="18" charset="0"/>
              <a:cs typeface="Times New Roman" panose="02020603050405020304" pitchFamily="18" charset="0"/>
            </a:rPr>
            <a:t>PDF</a:t>
          </a:r>
        </a:p>
      </xdr:txBody>
    </xdr:sp>
    <xdr:clientData/>
  </xdr:twoCellAnchor>
  <xdr:twoCellAnchor>
    <xdr:from>
      <xdr:col>15</xdr:col>
      <xdr:colOff>66675</xdr:colOff>
      <xdr:row>17</xdr:row>
      <xdr:rowOff>228600</xdr:rowOff>
    </xdr:from>
    <xdr:to>
      <xdr:col>17</xdr:col>
      <xdr:colOff>200025</xdr:colOff>
      <xdr:row>20</xdr:row>
      <xdr:rowOff>66675</xdr:rowOff>
    </xdr:to>
    <xdr:sp macro="[0]!_xludf.SAVE" textlink="">
      <xdr:nvSpPr>
        <xdr:cNvPr id="104" name="Rectangle: Top Corners Snipped 103">
          <a:extLst>
            <a:ext uri="{FF2B5EF4-FFF2-40B4-BE49-F238E27FC236}">
              <a16:creationId xmlns:a16="http://schemas.microsoft.com/office/drawing/2014/main" id="{00000000-0008-0000-2000-000068000000}"/>
            </a:ext>
          </a:extLst>
        </xdr:cNvPr>
        <xdr:cNvSpPr/>
      </xdr:nvSpPr>
      <xdr:spPr>
        <a:xfrm>
          <a:off x="8267700" y="3305175"/>
          <a:ext cx="1133475" cy="638175"/>
        </a:xfrm>
        <a:prstGeom prst="snip2Same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ctr"/>
          <a:r>
            <a:rPr lang="en-US" sz="1200" b="1">
              <a:solidFill>
                <a:schemeClr val="tx1"/>
              </a:solidFill>
              <a:latin typeface="Times New Roman" panose="02020603050405020304" pitchFamily="18" charset="0"/>
              <a:cs typeface="Times New Roman" panose="02020603050405020304" pitchFamily="18" charset="0"/>
            </a:rPr>
            <a:t>SIMPAN DOKUMEN</a:t>
          </a:r>
        </a:p>
      </xdr:txBody>
    </xdr:sp>
    <xdr:clientData/>
  </xdr:twoCellAnchor>
  <xdr:twoCellAnchor editAs="oneCell">
    <xdr:from>
      <xdr:col>2</xdr:col>
      <xdr:colOff>263071</xdr:colOff>
      <xdr:row>40</xdr:row>
      <xdr:rowOff>54429</xdr:rowOff>
    </xdr:from>
    <xdr:to>
      <xdr:col>2</xdr:col>
      <xdr:colOff>263071</xdr:colOff>
      <xdr:row>43</xdr:row>
      <xdr:rowOff>3629</xdr:rowOff>
    </xdr:to>
    <xdr:pic>
      <xdr:nvPicPr>
        <xdr:cNvPr id="101" name="Picture 4">
          <a:extLst>
            <a:ext uri="{FF2B5EF4-FFF2-40B4-BE49-F238E27FC236}">
              <a16:creationId xmlns:a16="http://schemas.microsoft.com/office/drawing/2014/main" id="{00000000-0008-0000-2000-000065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8350704"/>
          <a:ext cx="0" cy="549275"/>
        </a:xfrm>
        <a:prstGeom prst="rect">
          <a:avLst/>
        </a:prstGeom>
        <a:noFill/>
        <a:ln>
          <a:noFill/>
        </a:ln>
      </xdr:spPr>
    </xdr:pic>
    <xdr:clientData/>
  </xdr:twoCellAnchor>
  <xdr:twoCellAnchor editAs="oneCell">
    <xdr:from>
      <xdr:col>2</xdr:col>
      <xdr:colOff>263071</xdr:colOff>
      <xdr:row>40</xdr:row>
      <xdr:rowOff>54429</xdr:rowOff>
    </xdr:from>
    <xdr:to>
      <xdr:col>2</xdr:col>
      <xdr:colOff>263071</xdr:colOff>
      <xdr:row>43</xdr:row>
      <xdr:rowOff>3629</xdr:rowOff>
    </xdr:to>
    <xdr:pic>
      <xdr:nvPicPr>
        <xdr:cNvPr id="105" name="Picture 4">
          <a:extLst>
            <a:ext uri="{FF2B5EF4-FFF2-40B4-BE49-F238E27FC236}">
              <a16:creationId xmlns:a16="http://schemas.microsoft.com/office/drawing/2014/main" id="{00000000-0008-0000-2000-000069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8350704"/>
          <a:ext cx="0" cy="549275"/>
        </a:xfrm>
        <a:prstGeom prst="rect">
          <a:avLst/>
        </a:prstGeom>
        <a:noFill/>
        <a:ln>
          <a:noFill/>
        </a:ln>
      </xdr:spPr>
    </xdr:pic>
    <xdr:clientData/>
  </xdr:twoCellAnchor>
  <xdr:twoCellAnchor editAs="oneCell">
    <xdr:from>
      <xdr:col>2</xdr:col>
      <xdr:colOff>263071</xdr:colOff>
      <xdr:row>40</xdr:row>
      <xdr:rowOff>54429</xdr:rowOff>
    </xdr:from>
    <xdr:to>
      <xdr:col>2</xdr:col>
      <xdr:colOff>263071</xdr:colOff>
      <xdr:row>43</xdr:row>
      <xdr:rowOff>3629</xdr:rowOff>
    </xdr:to>
    <xdr:pic>
      <xdr:nvPicPr>
        <xdr:cNvPr id="106" name="Picture 4">
          <a:extLst>
            <a:ext uri="{FF2B5EF4-FFF2-40B4-BE49-F238E27FC236}">
              <a16:creationId xmlns:a16="http://schemas.microsoft.com/office/drawing/2014/main" id="{00000000-0008-0000-2000-00006A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8350704"/>
          <a:ext cx="0" cy="549275"/>
        </a:xfrm>
        <a:prstGeom prst="rect">
          <a:avLst/>
        </a:prstGeom>
        <a:noFill/>
        <a:ln>
          <a:noFill/>
        </a:ln>
      </xdr:spPr>
    </xdr:pic>
    <xdr:clientData/>
  </xdr:twoCellAnchor>
  <xdr:twoCellAnchor editAs="oneCell">
    <xdr:from>
      <xdr:col>2</xdr:col>
      <xdr:colOff>263071</xdr:colOff>
      <xdr:row>40</xdr:row>
      <xdr:rowOff>54429</xdr:rowOff>
    </xdr:from>
    <xdr:to>
      <xdr:col>2</xdr:col>
      <xdr:colOff>263071</xdr:colOff>
      <xdr:row>43</xdr:row>
      <xdr:rowOff>3629</xdr:rowOff>
    </xdr:to>
    <xdr:pic>
      <xdr:nvPicPr>
        <xdr:cNvPr id="107" name="Picture 4">
          <a:extLst>
            <a:ext uri="{FF2B5EF4-FFF2-40B4-BE49-F238E27FC236}">
              <a16:creationId xmlns:a16="http://schemas.microsoft.com/office/drawing/2014/main" id="{00000000-0008-0000-2000-00006B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8350704"/>
          <a:ext cx="0" cy="549275"/>
        </a:xfrm>
        <a:prstGeom prst="rect">
          <a:avLst/>
        </a:prstGeom>
        <a:noFill/>
        <a:ln>
          <a:noFill/>
        </a:ln>
      </xdr:spPr>
    </xdr:pic>
    <xdr:clientData/>
  </xdr:twoCellAnchor>
  <xdr:twoCellAnchor editAs="oneCell">
    <xdr:from>
      <xdr:col>2</xdr:col>
      <xdr:colOff>263071</xdr:colOff>
      <xdr:row>39</xdr:row>
      <xdr:rowOff>54429</xdr:rowOff>
    </xdr:from>
    <xdr:to>
      <xdr:col>2</xdr:col>
      <xdr:colOff>263071</xdr:colOff>
      <xdr:row>42</xdr:row>
      <xdr:rowOff>3629</xdr:rowOff>
    </xdr:to>
    <xdr:pic>
      <xdr:nvPicPr>
        <xdr:cNvPr id="108" name="Picture 4">
          <a:extLst>
            <a:ext uri="{FF2B5EF4-FFF2-40B4-BE49-F238E27FC236}">
              <a16:creationId xmlns:a16="http://schemas.microsoft.com/office/drawing/2014/main" id="{00000000-0008-0000-2000-00006C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8160204"/>
          <a:ext cx="0" cy="549275"/>
        </a:xfrm>
        <a:prstGeom prst="rect">
          <a:avLst/>
        </a:prstGeom>
        <a:noFill/>
        <a:ln>
          <a:noFill/>
        </a:ln>
      </xdr:spPr>
    </xdr:pic>
    <xdr:clientData/>
  </xdr:twoCellAnchor>
  <xdr:twoCellAnchor editAs="oneCell">
    <xdr:from>
      <xdr:col>2</xdr:col>
      <xdr:colOff>263071</xdr:colOff>
      <xdr:row>40</xdr:row>
      <xdr:rowOff>54429</xdr:rowOff>
    </xdr:from>
    <xdr:to>
      <xdr:col>2</xdr:col>
      <xdr:colOff>263071</xdr:colOff>
      <xdr:row>43</xdr:row>
      <xdr:rowOff>3629</xdr:rowOff>
    </xdr:to>
    <xdr:pic>
      <xdr:nvPicPr>
        <xdr:cNvPr id="109" name="Picture 4">
          <a:extLst>
            <a:ext uri="{FF2B5EF4-FFF2-40B4-BE49-F238E27FC236}">
              <a16:creationId xmlns:a16="http://schemas.microsoft.com/office/drawing/2014/main" id="{00000000-0008-0000-2000-00006D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8350704"/>
          <a:ext cx="0" cy="549275"/>
        </a:xfrm>
        <a:prstGeom prst="rect">
          <a:avLst/>
        </a:prstGeom>
        <a:noFill/>
        <a:ln>
          <a:noFill/>
        </a:ln>
      </xdr:spPr>
    </xdr:pic>
    <xdr:clientData/>
  </xdr:twoCellAnchor>
  <xdr:twoCellAnchor editAs="oneCell">
    <xdr:from>
      <xdr:col>2</xdr:col>
      <xdr:colOff>263071</xdr:colOff>
      <xdr:row>40</xdr:row>
      <xdr:rowOff>54429</xdr:rowOff>
    </xdr:from>
    <xdr:to>
      <xdr:col>2</xdr:col>
      <xdr:colOff>263071</xdr:colOff>
      <xdr:row>43</xdr:row>
      <xdr:rowOff>3629</xdr:rowOff>
    </xdr:to>
    <xdr:pic>
      <xdr:nvPicPr>
        <xdr:cNvPr id="110" name="Picture 4">
          <a:extLst>
            <a:ext uri="{FF2B5EF4-FFF2-40B4-BE49-F238E27FC236}">
              <a16:creationId xmlns:a16="http://schemas.microsoft.com/office/drawing/2014/main" id="{00000000-0008-0000-2000-00006E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8350704"/>
          <a:ext cx="0" cy="549275"/>
        </a:xfrm>
        <a:prstGeom prst="rect">
          <a:avLst/>
        </a:prstGeom>
        <a:noFill/>
        <a:ln>
          <a:noFill/>
        </a:ln>
      </xdr:spPr>
    </xdr:pic>
    <xdr:clientData/>
  </xdr:twoCellAnchor>
  <xdr:twoCellAnchor editAs="oneCell">
    <xdr:from>
      <xdr:col>2</xdr:col>
      <xdr:colOff>263071</xdr:colOff>
      <xdr:row>40</xdr:row>
      <xdr:rowOff>54429</xdr:rowOff>
    </xdr:from>
    <xdr:to>
      <xdr:col>2</xdr:col>
      <xdr:colOff>263071</xdr:colOff>
      <xdr:row>43</xdr:row>
      <xdr:rowOff>3629</xdr:rowOff>
    </xdr:to>
    <xdr:pic>
      <xdr:nvPicPr>
        <xdr:cNvPr id="111" name="Picture 4">
          <a:extLst>
            <a:ext uri="{FF2B5EF4-FFF2-40B4-BE49-F238E27FC236}">
              <a16:creationId xmlns:a16="http://schemas.microsoft.com/office/drawing/2014/main" id="{00000000-0008-0000-2000-00006F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8350704"/>
          <a:ext cx="0" cy="549275"/>
        </a:xfrm>
        <a:prstGeom prst="rect">
          <a:avLst/>
        </a:prstGeom>
        <a:noFill/>
        <a:ln>
          <a:noFill/>
        </a:ln>
      </xdr:spPr>
    </xdr:pic>
    <xdr:clientData/>
  </xdr:twoCellAnchor>
  <xdr:twoCellAnchor editAs="oneCell">
    <xdr:from>
      <xdr:col>2</xdr:col>
      <xdr:colOff>263071</xdr:colOff>
      <xdr:row>39</xdr:row>
      <xdr:rowOff>54429</xdr:rowOff>
    </xdr:from>
    <xdr:to>
      <xdr:col>2</xdr:col>
      <xdr:colOff>263071</xdr:colOff>
      <xdr:row>42</xdr:row>
      <xdr:rowOff>3629</xdr:rowOff>
    </xdr:to>
    <xdr:pic>
      <xdr:nvPicPr>
        <xdr:cNvPr id="112" name="Picture 4">
          <a:extLst>
            <a:ext uri="{FF2B5EF4-FFF2-40B4-BE49-F238E27FC236}">
              <a16:creationId xmlns:a16="http://schemas.microsoft.com/office/drawing/2014/main" id="{00000000-0008-0000-2000-000070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8160204"/>
          <a:ext cx="0" cy="549275"/>
        </a:xfrm>
        <a:prstGeom prst="rect">
          <a:avLst/>
        </a:prstGeom>
        <a:noFill/>
        <a:ln>
          <a:noFill/>
        </a:ln>
      </xdr:spPr>
    </xdr:pic>
    <xdr:clientData/>
  </xdr:twoCellAnchor>
  <xdr:twoCellAnchor editAs="oneCell">
    <xdr:from>
      <xdr:col>2</xdr:col>
      <xdr:colOff>263071</xdr:colOff>
      <xdr:row>40</xdr:row>
      <xdr:rowOff>54429</xdr:rowOff>
    </xdr:from>
    <xdr:to>
      <xdr:col>2</xdr:col>
      <xdr:colOff>263071</xdr:colOff>
      <xdr:row>43</xdr:row>
      <xdr:rowOff>3629</xdr:rowOff>
    </xdr:to>
    <xdr:pic>
      <xdr:nvPicPr>
        <xdr:cNvPr id="113" name="Picture 4">
          <a:extLst>
            <a:ext uri="{FF2B5EF4-FFF2-40B4-BE49-F238E27FC236}">
              <a16:creationId xmlns:a16="http://schemas.microsoft.com/office/drawing/2014/main" id="{00000000-0008-0000-2000-000071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8350704"/>
          <a:ext cx="0" cy="549275"/>
        </a:xfrm>
        <a:prstGeom prst="rect">
          <a:avLst/>
        </a:prstGeom>
        <a:noFill/>
        <a:ln>
          <a:noFill/>
        </a:ln>
      </xdr:spPr>
    </xdr:pic>
    <xdr:clientData/>
  </xdr:twoCellAnchor>
  <xdr:twoCellAnchor editAs="oneCell">
    <xdr:from>
      <xdr:col>2</xdr:col>
      <xdr:colOff>263071</xdr:colOff>
      <xdr:row>40</xdr:row>
      <xdr:rowOff>54429</xdr:rowOff>
    </xdr:from>
    <xdr:to>
      <xdr:col>2</xdr:col>
      <xdr:colOff>263071</xdr:colOff>
      <xdr:row>43</xdr:row>
      <xdr:rowOff>3629</xdr:rowOff>
    </xdr:to>
    <xdr:pic>
      <xdr:nvPicPr>
        <xdr:cNvPr id="114" name="Picture 4">
          <a:extLst>
            <a:ext uri="{FF2B5EF4-FFF2-40B4-BE49-F238E27FC236}">
              <a16:creationId xmlns:a16="http://schemas.microsoft.com/office/drawing/2014/main" id="{00000000-0008-0000-2000-000072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8350704"/>
          <a:ext cx="0" cy="549275"/>
        </a:xfrm>
        <a:prstGeom prst="rect">
          <a:avLst/>
        </a:prstGeom>
        <a:noFill/>
        <a:ln>
          <a:noFill/>
        </a:ln>
      </xdr:spPr>
    </xdr:pic>
    <xdr:clientData/>
  </xdr:twoCellAnchor>
  <xdr:twoCellAnchor editAs="oneCell">
    <xdr:from>
      <xdr:col>2</xdr:col>
      <xdr:colOff>263071</xdr:colOff>
      <xdr:row>40</xdr:row>
      <xdr:rowOff>54429</xdr:rowOff>
    </xdr:from>
    <xdr:to>
      <xdr:col>2</xdr:col>
      <xdr:colOff>263071</xdr:colOff>
      <xdr:row>43</xdr:row>
      <xdr:rowOff>3629</xdr:rowOff>
    </xdr:to>
    <xdr:pic>
      <xdr:nvPicPr>
        <xdr:cNvPr id="115" name="Picture 4">
          <a:extLst>
            <a:ext uri="{FF2B5EF4-FFF2-40B4-BE49-F238E27FC236}">
              <a16:creationId xmlns:a16="http://schemas.microsoft.com/office/drawing/2014/main" id="{00000000-0008-0000-2000-000073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8350704"/>
          <a:ext cx="0" cy="549275"/>
        </a:xfrm>
        <a:prstGeom prst="rect">
          <a:avLst/>
        </a:prstGeom>
        <a:noFill/>
        <a:ln>
          <a:noFill/>
        </a:ln>
      </xdr:spPr>
    </xdr:pic>
    <xdr:clientData/>
  </xdr:twoCellAnchor>
  <xdr:twoCellAnchor editAs="oneCell">
    <xdr:from>
      <xdr:col>2</xdr:col>
      <xdr:colOff>263071</xdr:colOff>
      <xdr:row>39</xdr:row>
      <xdr:rowOff>54429</xdr:rowOff>
    </xdr:from>
    <xdr:to>
      <xdr:col>2</xdr:col>
      <xdr:colOff>263071</xdr:colOff>
      <xdr:row>42</xdr:row>
      <xdr:rowOff>3629</xdr:rowOff>
    </xdr:to>
    <xdr:pic>
      <xdr:nvPicPr>
        <xdr:cNvPr id="116" name="Picture 4">
          <a:extLst>
            <a:ext uri="{FF2B5EF4-FFF2-40B4-BE49-F238E27FC236}">
              <a16:creationId xmlns:a16="http://schemas.microsoft.com/office/drawing/2014/main" id="{00000000-0008-0000-2000-000074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8160204"/>
          <a:ext cx="0" cy="549275"/>
        </a:xfrm>
        <a:prstGeom prst="rect">
          <a:avLst/>
        </a:prstGeom>
        <a:noFill/>
        <a:ln>
          <a:noFill/>
        </a:ln>
      </xdr:spPr>
    </xdr:pic>
    <xdr:clientData/>
  </xdr:twoCellAnchor>
  <xdr:twoCellAnchor editAs="oneCell">
    <xdr:from>
      <xdr:col>2</xdr:col>
      <xdr:colOff>263071</xdr:colOff>
      <xdr:row>39</xdr:row>
      <xdr:rowOff>54429</xdr:rowOff>
    </xdr:from>
    <xdr:to>
      <xdr:col>2</xdr:col>
      <xdr:colOff>263071</xdr:colOff>
      <xdr:row>42</xdr:row>
      <xdr:rowOff>3629</xdr:rowOff>
    </xdr:to>
    <xdr:pic>
      <xdr:nvPicPr>
        <xdr:cNvPr id="117" name="Picture 4">
          <a:extLst>
            <a:ext uri="{FF2B5EF4-FFF2-40B4-BE49-F238E27FC236}">
              <a16:creationId xmlns:a16="http://schemas.microsoft.com/office/drawing/2014/main" id="{00000000-0008-0000-2000-000075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8160204"/>
          <a:ext cx="0" cy="549275"/>
        </a:xfrm>
        <a:prstGeom prst="rect">
          <a:avLst/>
        </a:prstGeom>
        <a:noFill/>
        <a:ln>
          <a:noFill/>
        </a:ln>
      </xdr:spPr>
    </xdr:pic>
    <xdr:clientData/>
  </xdr:twoCellAnchor>
  <xdr:twoCellAnchor editAs="oneCell">
    <xdr:from>
      <xdr:col>2</xdr:col>
      <xdr:colOff>263071</xdr:colOff>
      <xdr:row>40</xdr:row>
      <xdr:rowOff>54429</xdr:rowOff>
    </xdr:from>
    <xdr:to>
      <xdr:col>2</xdr:col>
      <xdr:colOff>263071</xdr:colOff>
      <xdr:row>42</xdr:row>
      <xdr:rowOff>182222</xdr:rowOff>
    </xdr:to>
    <xdr:pic>
      <xdr:nvPicPr>
        <xdr:cNvPr id="118" name="Picture 4">
          <a:extLst>
            <a:ext uri="{FF2B5EF4-FFF2-40B4-BE49-F238E27FC236}">
              <a16:creationId xmlns:a16="http://schemas.microsoft.com/office/drawing/2014/main" id="{00000000-0008-0000-2000-000076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8350704"/>
          <a:ext cx="0" cy="527843"/>
        </a:xfrm>
        <a:prstGeom prst="rect">
          <a:avLst/>
        </a:prstGeom>
        <a:noFill/>
        <a:ln>
          <a:noFill/>
        </a:ln>
      </xdr:spPr>
    </xdr:pic>
    <xdr:clientData/>
  </xdr:twoCellAnchor>
  <xdr:twoCellAnchor editAs="oneCell">
    <xdr:from>
      <xdr:col>2</xdr:col>
      <xdr:colOff>263071</xdr:colOff>
      <xdr:row>40</xdr:row>
      <xdr:rowOff>54429</xdr:rowOff>
    </xdr:from>
    <xdr:to>
      <xdr:col>2</xdr:col>
      <xdr:colOff>263071</xdr:colOff>
      <xdr:row>42</xdr:row>
      <xdr:rowOff>182222</xdr:rowOff>
    </xdr:to>
    <xdr:pic>
      <xdr:nvPicPr>
        <xdr:cNvPr id="119" name="Picture 4">
          <a:extLst>
            <a:ext uri="{FF2B5EF4-FFF2-40B4-BE49-F238E27FC236}">
              <a16:creationId xmlns:a16="http://schemas.microsoft.com/office/drawing/2014/main" id="{00000000-0008-0000-2000-000077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8350704"/>
          <a:ext cx="0" cy="527843"/>
        </a:xfrm>
        <a:prstGeom prst="rect">
          <a:avLst/>
        </a:prstGeom>
        <a:noFill/>
        <a:ln>
          <a:noFill/>
        </a:ln>
      </xdr:spPr>
    </xdr:pic>
    <xdr:clientData/>
  </xdr:twoCellAnchor>
  <xdr:twoCellAnchor editAs="oneCell">
    <xdr:from>
      <xdr:col>2</xdr:col>
      <xdr:colOff>263071</xdr:colOff>
      <xdr:row>40</xdr:row>
      <xdr:rowOff>54429</xdr:rowOff>
    </xdr:from>
    <xdr:to>
      <xdr:col>2</xdr:col>
      <xdr:colOff>263071</xdr:colOff>
      <xdr:row>42</xdr:row>
      <xdr:rowOff>182222</xdr:rowOff>
    </xdr:to>
    <xdr:pic>
      <xdr:nvPicPr>
        <xdr:cNvPr id="120" name="Picture 4">
          <a:extLst>
            <a:ext uri="{FF2B5EF4-FFF2-40B4-BE49-F238E27FC236}">
              <a16:creationId xmlns:a16="http://schemas.microsoft.com/office/drawing/2014/main" id="{00000000-0008-0000-2000-000078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8350704"/>
          <a:ext cx="0" cy="527843"/>
        </a:xfrm>
        <a:prstGeom prst="rect">
          <a:avLst/>
        </a:prstGeom>
        <a:noFill/>
        <a:ln>
          <a:noFill/>
        </a:ln>
      </xdr:spPr>
    </xdr:pic>
    <xdr:clientData/>
  </xdr:twoCellAnchor>
  <xdr:twoCellAnchor editAs="oneCell">
    <xdr:from>
      <xdr:col>2</xdr:col>
      <xdr:colOff>263071</xdr:colOff>
      <xdr:row>39</xdr:row>
      <xdr:rowOff>54429</xdr:rowOff>
    </xdr:from>
    <xdr:to>
      <xdr:col>2</xdr:col>
      <xdr:colOff>263071</xdr:colOff>
      <xdr:row>41</xdr:row>
      <xdr:rowOff>182223</xdr:rowOff>
    </xdr:to>
    <xdr:pic>
      <xdr:nvPicPr>
        <xdr:cNvPr id="121" name="Picture 4">
          <a:extLst>
            <a:ext uri="{FF2B5EF4-FFF2-40B4-BE49-F238E27FC236}">
              <a16:creationId xmlns:a16="http://schemas.microsoft.com/office/drawing/2014/main" id="{00000000-0008-0000-2000-000079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8160204"/>
          <a:ext cx="0" cy="527844"/>
        </a:xfrm>
        <a:prstGeom prst="rect">
          <a:avLst/>
        </a:prstGeom>
        <a:noFill/>
        <a:ln>
          <a:noFill/>
        </a:ln>
      </xdr:spPr>
    </xdr:pic>
    <xdr:clientData/>
  </xdr:twoCellAnchor>
  <xdr:twoCellAnchor editAs="oneCell">
    <xdr:from>
      <xdr:col>2</xdr:col>
      <xdr:colOff>263071</xdr:colOff>
      <xdr:row>40</xdr:row>
      <xdr:rowOff>54429</xdr:rowOff>
    </xdr:from>
    <xdr:to>
      <xdr:col>2</xdr:col>
      <xdr:colOff>263071</xdr:colOff>
      <xdr:row>42</xdr:row>
      <xdr:rowOff>182222</xdr:rowOff>
    </xdr:to>
    <xdr:pic>
      <xdr:nvPicPr>
        <xdr:cNvPr id="122" name="Picture 4">
          <a:extLst>
            <a:ext uri="{FF2B5EF4-FFF2-40B4-BE49-F238E27FC236}">
              <a16:creationId xmlns:a16="http://schemas.microsoft.com/office/drawing/2014/main" id="{00000000-0008-0000-2000-00007A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8350704"/>
          <a:ext cx="0" cy="527843"/>
        </a:xfrm>
        <a:prstGeom prst="rect">
          <a:avLst/>
        </a:prstGeom>
        <a:noFill/>
        <a:ln>
          <a:noFill/>
        </a:ln>
      </xdr:spPr>
    </xdr:pic>
    <xdr:clientData/>
  </xdr:twoCellAnchor>
  <xdr:twoCellAnchor editAs="oneCell">
    <xdr:from>
      <xdr:col>2</xdr:col>
      <xdr:colOff>263071</xdr:colOff>
      <xdr:row>40</xdr:row>
      <xdr:rowOff>54429</xdr:rowOff>
    </xdr:from>
    <xdr:to>
      <xdr:col>2</xdr:col>
      <xdr:colOff>263071</xdr:colOff>
      <xdr:row>42</xdr:row>
      <xdr:rowOff>182222</xdr:rowOff>
    </xdr:to>
    <xdr:pic>
      <xdr:nvPicPr>
        <xdr:cNvPr id="123" name="Picture 4">
          <a:extLst>
            <a:ext uri="{FF2B5EF4-FFF2-40B4-BE49-F238E27FC236}">
              <a16:creationId xmlns:a16="http://schemas.microsoft.com/office/drawing/2014/main" id="{00000000-0008-0000-2000-00007B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8350704"/>
          <a:ext cx="0" cy="527843"/>
        </a:xfrm>
        <a:prstGeom prst="rect">
          <a:avLst/>
        </a:prstGeom>
        <a:noFill/>
        <a:ln>
          <a:noFill/>
        </a:ln>
      </xdr:spPr>
    </xdr:pic>
    <xdr:clientData/>
  </xdr:twoCellAnchor>
  <xdr:twoCellAnchor editAs="oneCell">
    <xdr:from>
      <xdr:col>2</xdr:col>
      <xdr:colOff>263071</xdr:colOff>
      <xdr:row>40</xdr:row>
      <xdr:rowOff>54429</xdr:rowOff>
    </xdr:from>
    <xdr:to>
      <xdr:col>2</xdr:col>
      <xdr:colOff>263071</xdr:colOff>
      <xdr:row>42</xdr:row>
      <xdr:rowOff>182222</xdr:rowOff>
    </xdr:to>
    <xdr:pic>
      <xdr:nvPicPr>
        <xdr:cNvPr id="124" name="Picture 4">
          <a:extLst>
            <a:ext uri="{FF2B5EF4-FFF2-40B4-BE49-F238E27FC236}">
              <a16:creationId xmlns:a16="http://schemas.microsoft.com/office/drawing/2014/main" id="{00000000-0008-0000-2000-00007C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8350704"/>
          <a:ext cx="0" cy="527843"/>
        </a:xfrm>
        <a:prstGeom prst="rect">
          <a:avLst/>
        </a:prstGeom>
        <a:noFill/>
        <a:ln>
          <a:noFill/>
        </a:ln>
      </xdr:spPr>
    </xdr:pic>
    <xdr:clientData/>
  </xdr:twoCellAnchor>
  <xdr:twoCellAnchor editAs="oneCell">
    <xdr:from>
      <xdr:col>2</xdr:col>
      <xdr:colOff>263071</xdr:colOff>
      <xdr:row>39</xdr:row>
      <xdr:rowOff>54429</xdr:rowOff>
    </xdr:from>
    <xdr:to>
      <xdr:col>2</xdr:col>
      <xdr:colOff>263071</xdr:colOff>
      <xdr:row>41</xdr:row>
      <xdr:rowOff>182223</xdr:rowOff>
    </xdr:to>
    <xdr:pic>
      <xdr:nvPicPr>
        <xdr:cNvPr id="125" name="Picture 4">
          <a:extLst>
            <a:ext uri="{FF2B5EF4-FFF2-40B4-BE49-F238E27FC236}">
              <a16:creationId xmlns:a16="http://schemas.microsoft.com/office/drawing/2014/main" id="{00000000-0008-0000-2000-00007D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8160204"/>
          <a:ext cx="0" cy="527844"/>
        </a:xfrm>
        <a:prstGeom prst="rect">
          <a:avLst/>
        </a:prstGeom>
        <a:noFill/>
        <a:ln>
          <a:noFill/>
        </a:ln>
      </xdr:spPr>
    </xdr:pic>
    <xdr:clientData/>
  </xdr:twoCellAnchor>
  <xdr:twoCellAnchor editAs="oneCell">
    <xdr:from>
      <xdr:col>2</xdr:col>
      <xdr:colOff>263071</xdr:colOff>
      <xdr:row>39</xdr:row>
      <xdr:rowOff>54429</xdr:rowOff>
    </xdr:from>
    <xdr:to>
      <xdr:col>2</xdr:col>
      <xdr:colOff>263071</xdr:colOff>
      <xdr:row>41</xdr:row>
      <xdr:rowOff>182223</xdr:rowOff>
    </xdr:to>
    <xdr:pic>
      <xdr:nvPicPr>
        <xdr:cNvPr id="126" name="Picture 4">
          <a:extLst>
            <a:ext uri="{FF2B5EF4-FFF2-40B4-BE49-F238E27FC236}">
              <a16:creationId xmlns:a16="http://schemas.microsoft.com/office/drawing/2014/main" id="{00000000-0008-0000-2000-00007E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8160204"/>
          <a:ext cx="0" cy="527844"/>
        </a:xfrm>
        <a:prstGeom prst="rect">
          <a:avLst/>
        </a:prstGeom>
        <a:noFill/>
        <a:ln>
          <a:noFill/>
        </a:ln>
      </xdr:spPr>
    </xdr:pic>
    <xdr:clientData/>
  </xdr:twoCellAnchor>
  <xdr:twoCellAnchor editAs="oneCell">
    <xdr:from>
      <xdr:col>1</xdr:col>
      <xdr:colOff>42863</xdr:colOff>
      <xdr:row>37</xdr:row>
      <xdr:rowOff>123825</xdr:rowOff>
    </xdr:from>
    <xdr:to>
      <xdr:col>1</xdr:col>
      <xdr:colOff>42863</xdr:colOff>
      <xdr:row>43</xdr:row>
      <xdr:rowOff>69375</xdr:rowOff>
    </xdr:to>
    <xdr:pic>
      <xdr:nvPicPr>
        <xdr:cNvPr id="127" name="Picture 6">
          <a:extLst>
            <a:ext uri="{FF2B5EF4-FFF2-40B4-BE49-F238E27FC236}">
              <a16:creationId xmlns:a16="http://schemas.microsoft.com/office/drawing/2014/main" id="{00000000-0008-0000-2000-00007F000000}"/>
            </a:ext>
          </a:extLst>
        </xdr:cNvPr>
        <xdr:cNvPicPr>
          <a:picLocks/>
        </xdr:cNvPicPr>
      </xdr:nvPicPr>
      <xdr:blipFill>
        <a:blip xmlns:r="http://schemas.openxmlformats.org/officeDocument/2006/relationships" r:embed="rId3"/>
        <a:srcRect/>
        <a:stretch>
          <a:fillRect/>
        </a:stretch>
      </xdr:blipFill>
      <xdr:spPr bwMode="auto">
        <a:xfrm>
          <a:off x="147638" y="7848600"/>
          <a:ext cx="0" cy="1145700"/>
        </a:xfrm>
        <a:prstGeom prst="rect">
          <a:avLst/>
        </a:prstGeom>
        <a:noFill/>
        <a:ln w="9525">
          <a:noFill/>
          <a:miter lim="800000"/>
          <a:headEnd/>
          <a:tailEnd/>
        </a:ln>
      </xdr:spPr>
    </xdr:pic>
    <xdr:clientData/>
  </xdr:twoCellAnchor>
  <xdr:twoCellAnchor editAs="oneCell">
    <xdr:from>
      <xdr:col>1</xdr:col>
      <xdr:colOff>42863</xdr:colOff>
      <xdr:row>37</xdr:row>
      <xdr:rowOff>123825</xdr:rowOff>
    </xdr:from>
    <xdr:to>
      <xdr:col>1</xdr:col>
      <xdr:colOff>42863</xdr:colOff>
      <xdr:row>43</xdr:row>
      <xdr:rowOff>69375</xdr:rowOff>
    </xdr:to>
    <xdr:pic>
      <xdr:nvPicPr>
        <xdr:cNvPr id="128" name="Picture 6">
          <a:extLst>
            <a:ext uri="{FF2B5EF4-FFF2-40B4-BE49-F238E27FC236}">
              <a16:creationId xmlns:a16="http://schemas.microsoft.com/office/drawing/2014/main" id="{00000000-0008-0000-2000-000080000000}"/>
            </a:ext>
          </a:extLst>
        </xdr:cNvPr>
        <xdr:cNvPicPr>
          <a:picLocks/>
        </xdr:cNvPicPr>
      </xdr:nvPicPr>
      <xdr:blipFill>
        <a:blip xmlns:r="http://schemas.openxmlformats.org/officeDocument/2006/relationships" r:embed="rId3"/>
        <a:srcRect/>
        <a:stretch>
          <a:fillRect/>
        </a:stretch>
      </xdr:blipFill>
      <xdr:spPr bwMode="auto">
        <a:xfrm>
          <a:off x="147638" y="7848600"/>
          <a:ext cx="0" cy="1145700"/>
        </a:xfrm>
        <a:prstGeom prst="rect">
          <a:avLst/>
        </a:prstGeom>
        <a:noFill/>
        <a:ln w="9525">
          <a:noFill/>
          <a:miter lim="800000"/>
          <a:headEnd/>
          <a:tailEnd/>
        </a:ln>
      </xdr:spPr>
    </xdr:pic>
    <xdr:clientData/>
  </xdr:twoCellAnchor>
  <xdr:twoCellAnchor editAs="oneCell">
    <xdr:from>
      <xdr:col>2</xdr:col>
      <xdr:colOff>263071</xdr:colOff>
      <xdr:row>56</xdr:row>
      <xdr:rowOff>54429</xdr:rowOff>
    </xdr:from>
    <xdr:to>
      <xdr:col>2</xdr:col>
      <xdr:colOff>263071</xdr:colOff>
      <xdr:row>59</xdr:row>
      <xdr:rowOff>3628</xdr:rowOff>
    </xdr:to>
    <xdr:pic>
      <xdr:nvPicPr>
        <xdr:cNvPr id="129" name="Picture 4">
          <a:extLst>
            <a:ext uri="{FF2B5EF4-FFF2-40B4-BE49-F238E27FC236}">
              <a16:creationId xmlns:a16="http://schemas.microsoft.com/office/drawing/2014/main" id="{00000000-0008-0000-2000-000081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11455854"/>
          <a:ext cx="0" cy="549274"/>
        </a:xfrm>
        <a:prstGeom prst="rect">
          <a:avLst/>
        </a:prstGeom>
        <a:noFill/>
        <a:ln>
          <a:noFill/>
        </a:ln>
      </xdr:spPr>
    </xdr:pic>
    <xdr:clientData/>
  </xdr:twoCellAnchor>
  <xdr:twoCellAnchor editAs="oneCell">
    <xdr:from>
      <xdr:col>2</xdr:col>
      <xdr:colOff>263071</xdr:colOff>
      <xdr:row>56</xdr:row>
      <xdr:rowOff>54429</xdr:rowOff>
    </xdr:from>
    <xdr:to>
      <xdr:col>2</xdr:col>
      <xdr:colOff>263071</xdr:colOff>
      <xdr:row>59</xdr:row>
      <xdr:rowOff>3628</xdr:rowOff>
    </xdr:to>
    <xdr:pic>
      <xdr:nvPicPr>
        <xdr:cNvPr id="130" name="Picture 4">
          <a:extLst>
            <a:ext uri="{FF2B5EF4-FFF2-40B4-BE49-F238E27FC236}">
              <a16:creationId xmlns:a16="http://schemas.microsoft.com/office/drawing/2014/main" id="{00000000-0008-0000-2000-000082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11455854"/>
          <a:ext cx="0" cy="549274"/>
        </a:xfrm>
        <a:prstGeom prst="rect">
          <a:avLst/>
        </a:prstGeom>
        <a:noFill/>
        <a:ln>
          <a:noFill/>
        </a:ln>
      </xdr:spPr>
    </xdr:pic>
    <xdr:clientData/>
  </xdr:twoCellAnchor>
  <xdr:twoCellAnchor editAs="oneCell">
    <xdr:from>
      <xdr:col>2</xdr:col>
      <xdr:colOff>263071</xdr:colOff>
      <xdr:row>56</xdr:row>
      <xdr:rowOff>54429</xdr:rowOff>
    </xdr:from>
    <xdr:to>
      <xdr:col>2</xdr:col>
      <xdr:colOff>263071</xdr:colOff>
      <xdr:row>59</xdr:row>
      <xdr:rowOff>3628</xdr:rowOff>
    </xdr:to>
    <xdr:pic>
      <xdr:nvPicPr>
        <xdr:cNvPr id="131" name="Picture 4">
          <a:extLst>
            <a:ext uri="{FF2B5EF4-FFF2-40B4-BE49-F238E27FC236}">
              <a16:creationId xmlns:a16="http://schemas.microsoft.com/office/drawing/2014/main" id="{00000000-0008-0000-2000-000083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11455854"/>
          <a:ext cx="0" cy="549274"/>
        </a:xfrm>
        <a:prstGeom prst="rect">
          <a:avLst/>
        </a:prstGeom>
        <a:noFill/>
        <a:ln>
          <a:noFill/>
        </a:ln>
      </xdr:spPr>
    </xdr:pic>
    <xdr:clientData/>
  </xdr:twoCellAnchor>
  <xdr:twoCellAnchor editAs="oneCell">
    <xdr:from>
      <xdr:col>2</xdr:col>
      <xdr:colOff>263071</xdr:colOff>
      <xdr:row>56</xdr:row>
      <xdr:rowOff>54429</xdr:rowOff>
    </xdr:from>
    <xdr:to>
      <xdr:col>2</xdr:col>
      <xdr:colOff>263071</xdr:colOff>
      <xdr:row>59</xdr:row>
      <xdr:rowOff>3628</xdr:rowOff>
    </xdr:to>
    <xdr:pic>
      <xdr:nvPicPr>
        <xdr:cNvPr id="132" name="Picture 4">
          <a:extLst>
            <a:ext uri="{FF2B5EF4-FFF2-40B4-BE49-F238E27FC236}">
              <a16:creationId xmlns:a16="http://schemas.microsoft.com/office/drawing/2014/main" id="{00000000-0008-0000-2000-000084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11455854"/>
          <a:ext cx="0" cy="549274"/>
        </a:xfrm>
        <a:prstGeom prst="rect">
          <a:avLst/>
        </a:prstGeom>
        <a:noFill/>
        <a:ln>
          <a:noFill/>
        </a:ln>
      </xdr:spPr>
    </xdr:pic>
    <xdr:clientData/>
  </xdr:twoCellAnchor>
  <xdr:twoCellAnchor editAs="oneCell">
    <xdr:from>
      <xdr:col>2</xdr:col>
      <xdr:colOff>263071</xdr:colOff>
      <xdr:row>56</xdr:row>
      <xdr:rowOff>54429</xdr:rowOff>
    </xdr:from>
    <xdr:to>
      <xdr:col>2</xdr:col>
      <xdr:colOff>263071</xdr:colOff>
      <xdr:row>59</xdr:row>
      <xdr:rowOff>3628</xdr:rowOff>
    </xdr:to>
    <xdr:pic>
      <xdr:nvPicPr>
        <xdr:cNvPr id="133" name="Picture 4">
          <a:extLst>
            <a:ext uri="{FF2B5EF4-FFF2-40B4-BE49-F238E27FC236}">
              <a16:creationId xmlns:a16="http://schemas.microsoft.com/office/drawing/2014/main" id="{00000000-0008-0000-2000-000085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11455854"/>
          <a:ext cx="0" cy="549274"/>
        </a:xfrm>
        <a:prstGeom prst="rect">
          <a:avLst/>
        </a:prstGeom>
        <a:noFill/>
        <a:ln>
          <a:noFill/>
        </a:ln>
      </xdr:spPr>
    </xdr:pic>
    <xdr:clientData/>
  </xdr:twoCellAnchor>
  <xdr:twoCellAnchor editAs="oneCell">
    <xdr:from>
      <xdr:col>2</xdr:col>
      <xdr:colOff>263071</xdr:colOff>
      <xdr:row>55</xdr:row>
      <xdr:rowOff>54429</xdr:rowOff>
    </xdr:from>
    <xdr:to>
      <xdr:col>2</xdr:col>
      <xdr:colOff>263071</xdr:colOff>
      <xdr:row>58</xdr:row>
      <xdr:rowOff>3628</xdr:rowOff>
    </xdr:to>
    <xdr:pic>
      <xdr:nvPicPr>
        <xdr:cNvPr id="134" name="Picture 4">
          <a:extLst>
            <a:ext uri="{FF2B5EF4-FFF2-40B4-BE49-F238E27FC236}">
              <a16:creationId xmlns:a16="http://schemas.microsoft.com/office/drawing/2014/main" id="{00000000-0008-0000-2000-000086000000}"/>
            </a:ext>
          </a:extLst>
        </xdr:cNvPr>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25021" y="11255829"/>
          <a:ext cx="0" cy="549274"/>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xdr:from>
          <xdr:col>14</xdr:col>
          <xdr:colOff>28575</xdr:colOff>
          <xdr:row>8</xdr:row>
          <xdr:rowOff>47625</xdr:rowOff>
        </xdr:from>
        <xdr:to>
          <xdr:col>14</xdr:col>
          <xdr:colOff>466725</xdr:colOff>
          <xdr:row>14</xdr:row>
          <xdr:rowOff>57150</xdr:rowOff>
        </xdr:to>
        <xdr:sp macro="" textlink="">
          <xdr:nvSpPr>
            <xdr:cNvPr id="21505" name="Spinner 1" hidden="1">
              <a:extLst>
                <a:ext uri="{63B3BB69-23CF-44E3-9099-C40C66FF867C}">
                  <a14:compatExt spid="_x0000_s21505"/>
                </a:ext>
                <a:ext uri="{FF2B5EF4-FFF2-40B4-BE49-F238E27FC236}">
                  <a16:creationId xmlns:a16="http://schemas.microsoft.com/office/drawing/2014/main" id="{00000000-0008-0000-2000-0000015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28575</xdr:colOff>
          <xdr:row>8</xdr:row>
          <xdr:rowOff>47625</xdr:rowOff>
        </xdr:from>
        <xdr:to>
          <xdr:col>14</xdr:col>
          <xdr:colOff>466725</xdr:colOff>
          <xdr:row>14</xdr:row>
          <xdr:rowOff>57150</xdr:rowOff>
        </xdr:to>
        <xdr:sp macro="" textlink="">
          <xdr:nvSpPr>
            <xdr:cNvPr id="21506" name="Spinner 2" hidden="1">
              <a:extLst>
                <a:ext uri="{63B3BB69-23CF-44E3-9099-C40C66FF867C}">
                  <a14:compatExt spid="_x0000_s21506"/>
                </a:ext>
                <a:ext uri="{FF2B5EF4-FFF2-40B4-BE49-F238E27FC236}">
                  <a16:creationId xmlns:a16="http://schemas.microsoft.com/office/drawing/2014/main" id="{00000000-0008-0000-2000-0000025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xdr:oneCellAnchor>
    <xdr:from>
      <xdr:col>1</xdr:col>
      <xdr:colOff>85725</xdr:colOff>
      <xdr:row>0</xdr:row>
      <xdr:rowOff>85726</xdr:rowOff>
    </xdr:from>
    <xdr:ext cx="1543050" cy="1531218"/>
    <xdr:pic>
      <xdr:nvPicPr>
        <xdr:cNvPr id="2" name="Picture 1">
          <a:extLst>
            <a:ext uri="{FF2B5EF4-FFF2-40B4-BE49-F238E27FC236}">
              <a16:creationId xmlns:a16="http://schemas.microsoft.com/office/drawing/2014/main" id="{00000000-0008-0000-2100-000002000000}"/>
            </a:ext>
          </a:extLst>
        </xdr:cNvPr>
        <xdr:cNvPicPr>
          <a:picLocks noChangeAspect="1"/>
        </xdr:cNvPicPr>
      </xdr:nvPicPr>
      <xdr:blipFill>
        <a:blip xmlns:r="http://schemas.openxmlformats.org/officeDocument/2006/relationships" r:embed="rId1"/>
        <a:stretch>
          <a:fillRect/>
        </a:stretch>
      </xdr:blipFill>
      <xdr:spPr>
        <a:xfrm>
          <a:off x="190500" y="85726"/>
          <a:ext cx="1543050" cy="1531218"/>
        </a:xfrm>
        <a:prstGeom prst="rect">
          <a:avLst/>
        </a:prstGeom>
      </xdr:spPr>
    </xdr:pic>
    <xdr:clientData/>
  </xdr:oneCellAnchor>
  <xdr:twoCellAnchor editAs="oneCell">
    <xdr:from>
      <xdr:col>2</xdr:col>
      <xdr:colOff>263071</xdr:colOff>
      <xdr:row>39</xdr:row>
      <xdr:rowOff>54429</xdr:rowOff>
    </xdr:from>
    <xdr:to>
      <xdr:col>2</xdr:col>
      <xdr:colOff>263071</xdr:colOff>
      <xdr:row>42</xdr:row>
      <xdr:rowOff>3629</xdr:rowOff>
    </xdr:to>
    <xdr:pic>
      <xdr:nvPicPr>
        <xdr:cNvPr id="3" name="Picture 4">
          <a:extLst>
            <a:ext uri="{FF2B5EF4-FFF2-40B4-BE49-F238E27FC236}">
              <a16:creationId xmlns:a16="http://schemas.microsoft.com/office/drawing/2014/main" id="{00000000-0008-0000-2100-000003000000}"/>
            </a:ext>
          </a:extLst>
        </xdr:cNvPr>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l="14732" t="20644" r="49908" b="73296"/>
        <a:stretch>
          <a:fillRect/>
        </a:stretch>
      </xdr:blipFill>
      <xdr:spPr bwMode="auto">
        <a:xfrm>
          <a:off x="682171" y="12827454"/>
          <a:ext cx="0" cy="549275"/>
        </a:xfrm>
        <a:prstGeom prst="rect">
          <a:avLst/>
        </a:prstGeom>
        <a:noFill/>
        <a:ln>
          <a:noFill/>
        </a:ln>
      </xdr:spPr>
    </xdr:pic>
    <xdr:clientData/>
  </xdr:twoCellAnchor>
  <xdr:oneCellAnchor>
    <xdr:from>
      <xdr:col>1</xdr:col>
      <xdr:colOff>85725</xdr:colOff>
      <xdr:row>0</xdr:row>
      <xdr:rowOff>85726</xdr:rowOff>
    </xdr:from>
    <xdr:ext cx="1543050" cy="1531218"/>
    <xdr:pic>
      <xdr:nvPicPr>
        <xdr:cNvPr id="4" name="Picture 3">
          <a:extLst>
            <a:ext uri="{FF2B5EF4-FFF2-40B4-BE49-F238E27FC236}">
              <a16:creationId xmlns:a16="http://schemas.microsoft.com/office/drawing/2014/main" id="{00000000-0008-0000-2100-000004000000}"/>
            </a:ext>
          </a:extLst>
        </xdr:cNvPr>
        <xdr:cNvPicPr>
          <a:picLocks noChangeAspect="1"/>
        </xdr:cNvPicPr>
      </xdr:nvPicPr>
      <xdr:blipFill>
        <a:blip xmlns:r="http://schemas.openxmlformats.org/officeDocument/2006/relationships" r:embed="rId1"/>
        <a:stretch>
          <a:fillRect/>
        </a:stretch>
      </xdr:blipFill>
      <xdr:spPr>
        <a:xfrm>
          <a:off x="190500" y="85726"/>
          <a:ext cx="1543050" cy="1531218"/>
        </a:xfrm>
        <a:prstGeom prst="rect">
          <a:avLst/>
        </a:prstGeom>
      </xdr:spPr>
    </xdr:pic>
    <xdr:clientData/>
  </xdr:oneCellAnchor>
  <xdr:twoCellAnchor>
    <xdr:from>
      <xdr:col>13</xdr:col>
      <xdr:colOff>38100</xdr:colOff>
      <xdr:row>1</xdr:row>
      <xdr:rowOff>28575</xdr:rowOff>
    </xdr:from>
    <xdr:to>
      <xdr:col>15</xdr:col>
      <xdr:colOff>428625</xdr:colOff>
      <xdr:row>5</xdr:row>
      <xdr:rowOff>28575</xdr:rowOff>
    </xdr:to>
    <xdr:sp macro="[0]!Home" textlink="">
      <xdr:nvSpPr>
        <xdr:cNvPr id="5" name="Arrow: Left 4">
          <a:extLst>
            <a:ext uri="{FF2B5EF4-FFF2-40B4-BE49-F238E27FC236}">
              <a16:creationId xmlns:a16="http://schemas.microsoft.com/office/drawing/2014/main" id="{00000000-0008-0000-2100-000005000000}"/>
            </a:ext>
          </a:extLst>
        </xdr:cNvPr>
        <xdr:cNvSpPr/>
      </xdr:nvSpPr>
      <xdr:spPr>
        <a:xfrm>
          <a:off x="7648575" y="123825"/>
          <a:ext cx="1114425" cy="800100"/>
        </a:xfrm>
        <a:prstGeom prst="leftArrow">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800">
              <a:latin typeface="Times New Roman" panose="02020603050405020304" pitchFamily="18" charset="0"/>
              <a:cs typeface="Times New Roman" panose="02020603050405020304" pitchFamily="18" charset="0"/>
            </a:rPr>
            <a:t>HOME</a:t>
          </a:r>
        </a:p>
      </xdr:txBody>
    </xdr:sp>
    <xdr:clientData/>
  </xdr:twoCellAnchor>
  <xdr:twoCellAnchor>
    <xdr:from>
      <xdr:col>14</xdr:col>
      <xdr:colOff>161925</xdr:colOff>
      <xdr:row>14</xdr:row>
      <xdr:rowOff>161925</xdr:rowOff>
    </xdr:from>
    <xdr:to>
      <xdr:col>15</xdr:col>
      <xdr:colOff>523875</xdr:colOff>
      <xdr:row>18</xdr:row>
      <xdr:rowOff>0</xdr:rowOff>
    </xdr:to>
    <xdr:sp macro="[0]!Cetak" textlink="">
      <xdr:nvSpPr>
        <xdr:cNvPr id="7" name="Rectangle: Single Corner Snipped 6">
          <a:extLst>
            <a:ext uri="{FF2B5EF4-FFF2-40B4-BE49-F238E27FC236}">
              <a16:creationId xmlns:a16="http://schemas.microsoft.com/office/drawing/2014/main" id="{00000000-0008-0000-2100-000007000000}"/>
            </a:ext>
          </a:extLst>
        </xdr:cNvPr>
        <xdr:cNvSpPr/>
      </xdr:nvSpPr>
      <xdr:spPr>
        <a:xfrm>
          <a:off x="7886700" y="2647950"/>
          <a:ext cx="971550" cy="923925"/>
        </a:xfrm>
        <a:prstGeom prst="snip1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600" b="1">
              <a:solidFill>
                <a:schemeClr val="tx1"/>
              </a:solidFill>
              <a:latin typeface="Times New Roman" panose="02020603050405020304" pitchFamily="18" charset="0"/>
              <a:cs typeface="Times New Roman" panose="02020603050405020304" pitchFamily="18" charset="0"/>
            </a:rPr>
            <a:t>CETAK</a:t>
          </a:r>
        </a:p>
      </xdr:txBody>
    </xdr:sp>
    <xdr:clientData/>
  </xdr:twoCellAnchor>
  <xdr:twoCellAnchor>
    <xdr:from>
      <xdr:col>16</xdr:col>
      <xdr:colOff>95250</xdr:colOff>
      <xdr:row>14</xdr:row>
      <xdr:rowOff>161925</xdr:rowOff>
    </xdr:from>
    <xdr:to>
      <xdr:col>17</xdr:col>
      <xdr:colOff>974910</xdr:colOff>
      <xdr:row>18</xdr:row>
      <xdr:rowOff>0</xdr:rowOff>
    </xdr:to>
    <xdr:sp macro="[0]!PDF" textlink="">
      <xdr:nvSpPr>
        <xdr:cNvPr id="8" name="Rectangle: Single Corner Snipped 7">
          <a:extLst>
            <a:ext uri="{FF2B5EF4-FFF2-40B4-BE49-F238E27FC236}">
              <a16:creationId xmlns:a16="http://schemas.microsoft.com/office/drawing/2014/main" id="{00000000-0008-0000-2100-000008000000}"/>
            </a:ext>
          </a:extLst>
        </xdr:cNvPr>
        <xdr:cNvSpPr/>
      </xdr:nvSpPr>
      <xdr:spPr>
        <a:xfrm>
          <a:off x="9039225" y="2647950"/>
          <a:ext cx="1041585" cy="923925"/>
        </a:xfrm>
        <a:prstGeom prst="snip1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600" b="1">
              <a:solidFill>
                <a:schemeClr val="tx1"/>
              </a:solidFill>
              <a:latin typeface="Times New Roman" panose="02020603050405020304" pitchFamily="18" charset="0"/>
              <a:cs typeface="Times New Roman" panose="02020603050405020304" pitchFamily="18" charset="0"/>
            </a:rPr>
            <a:t>PDF</a:t>
          </a:r>
        </a:p>
      </xdr:txBody>
    </xdr:sp>
    <xdr:clientData/>
  </xdr:twoCellAnchor>
  <xdr:twoCellAnchor>
    <xdr:from>
      <xdr:col>15</xdr:col>
      <xdr:colOff>178734</xdr:colOff>
      <xdr:row>18</xdr:row>
      <xdr:rowOff>201706</xdr:rowOff>
    </xdr:from>
    <xdr:to>
      <xdr:col>17</xdr:col>
      <xdr:colOff>312084</xdr:colOff>
      <xdr:row>19</xdr:row>
      <xdr:rowOff>268381</xdr:rowOff>
    </xdr:to>
    <xdr:sp macro="[0]!_xludf.SAVE" textlink="">
      <xdr:nvSpPr>
        <xdr:cNvPr id="9" name="Rectangle: Top Corners Snipped 8">
          <a:extLst>
            <a:ext uri="{FF2B5EF4-FFF2-40B4-BE49-F238E27FC236}">
              <a16:creationId xmlns:a16="http://schemas.microsoft.com/office/drawing/2014/main" id="{00000000-0008-0000-2100-000009000000}"/>
            </a:ext>
          </a:extLst>
        </xdr:cNvPr>
        <xdr:cNvSpPr/>
      </xdr:nvSpPr>
      <xdr:spPr>
        <a:xfrm>
          <a:off x="8513109" y="3773581"/>
          <a:ext cx="904875" cy="542925"/>
        </a:xfrm>
        <a:prstGeom prst="snip2Same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ctr"/>
          <a:r>
            <a:rPr lang="en-US" sz="1200" b="1">
              <a:solidFill>
                <a:schemeClr val="tx1"/>
              </a:solidFill>
              <a:latin typeface="Times New Roman" panose="02020603050405020304" pitchFamily="18" charset="0"/>
              <a:cs typeface="Times New Roman" panose="02020603050405020304" pitchFamily="18" charset="0"/>
            </a:rPr>
            <a:t>SIMPAN DOKUMEN</a:t>
          </a:r>
        </a:p>
      </xdr:txBody>
    </xdr:sp>
    <xdr:clientData/>
  </xdr:twoCellAnchor>
  <mc:AlternateContent xmlns:mc="http://schemas.openxmlformats.org/markup-compatibility/2006">
    <mc:Choice xmlns:a14="http://schemas.microsoft.com/office/drawing/2010/main" Requires="a14">
      <xdr:twoCellAnchor>
        <xdr:from>
          <xdr:col>14</xdr:col>
          <xdr:colOff>28575</xdr:colOff>
          <xdr:row>8</xdr:row>
          <xdr:rowOff>0</xdr:rowOff>
        </xdr:from>
        <xdr:to>
          <xdr:col>14</xdr:col>
          <xdr:colOff>466725</xdr:colOff>
          <xdr:row>14</xdr:row>
          <xdr:rowOff>19050</xdr:rowOff>
        </xdr:to>
        <xdr:sp macro="" textlink="">
          <xdr:nvSpPr>
            <xdr:cNvPr id="84993" name="Spinner 1" hidden="1">
              <a:extLst>
                <a:ext uri="{63B3BB69-23CF-44E3-9099-C40C66FF867C}">
                  <a14:compatExt spid="_x0000_s84993"/>
                </a:ext>
                <a:ext uri="{FF2B5EF4-FFF2-40B4-BE49-F238E27FC236}">
                  <a16:creationId xmlns:a16="http://schemas.microsoft.com/office/drawing/2014/main" id="{00000000-0008-0000-2100-0000014C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30303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trlProp" Target="../ctrlProps/ctrlProp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2.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3.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4.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22.xml"/><Relationship Id="rId1" Type="http://schemas.openxmlformats.org/officeDocument/2006/relationships/printerSettings" Target="../printerSettings/printerSettings22.bin"/><Relationship Id="rId4" Type="http://schemas.openxmlformats.org/officeDocument/2006/relationships/ctrlProp" Target="../ctrlProps/ctrlProp10.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23.xml"/><Relationship Id="rId1" Type="http://schemas.openxmlformats.org/officeDocument/2006/relationships/printerSettings" Target="../printerSettings/printerSettings23.bin"/><Relationship Id="rId4" Type="http://schemas.openxmlformats.org/officeDocument/2006/relationships/ctrlProp" Target="../ctrlProps/ctrlProp11.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4.xml"/><Relationship Id="rId1" Type="http://schemas.openxmlformats.org/officeDocument/2006/relationships/printerSettings" Target="../printerSettings/printerSettings24.bin"/><Relationship Id="rId4" Type="http://schemas.openxmlformats.org/officeDocument/2006/relationships/ctrlProp" Target="../ctrlProps/ctrlProp12.xml"/></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7.xml"/><Relationship Id="rId1" Type="http://schemas.openxmlformats.org/officeDocument/2006/relationships/printerSettings" Target="../printerSettings/printerSettings27.bin"/><Relationship Id="rId4" Type="http://schemas.openxmlformats.org/officeDocument/2006/relationships/ctrlProp" Target="../ctrlProps/ctrlProp13.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28.xml"/><Relationship Id="rId1" Type="http://schemas.openxmlformats.org/officeDocument/2006/relationships/printerSettings" Target="../printerSettings/printerSettings28.bin"/><Relationship Id="rId4" Type="http://schemas.openxmlformats.org/officeDocument/2006/relationships/ctrlProp" Target="../ctrlProps/ctrlProp14.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9.xml"/><Relationship Id="rId1" Type="http://schemas.openxmlformats.org/officeDocument/2006/relationships/printerSettings" Target="../printerSettings/printerSettings29.bin"/><Relationship Id="rId4" Type="http://schemas.openxmlformats.org/officeDocument/2006/relationships/ctrlProp" Target="../ctrlProps/ctrlProp15.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32.xml"/><Relationship Id="rId1" Type="http://schemas.openxmlformats.org/officeDocument/2006/relationships/printerSettings" Target="../printerSettings/printerSettings32.bin"/><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33.xml"/><Relationship Id="rId1" Type="http://schemas.openxmlformats.org/officeDocument/2006/relationships/printerSettings" Target="../printerSettings/printerSettings33.bin"/><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34.xml"/><Relationship Id="rId1" Type="http://schemas.openxmlformats.org/officeDocument/2006/relationships/printerSettings" Target="../printerSettings/printerSettings34.bin"/><Relationship Id="rId4" Type="http://schemas.openxmlformats.org/officeDocument/2006/relationships/ctrlProp" Target="../ctrlProps/ctrlProp2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7" tint="-0.499984740745262"/>
  </sheetPr>
  <dimension ref="A1:L58"/>
  <sheetViews>
    <sheetView tabSelected="1" workbookViewId="0">
      <selection activeCell="B11" sqref="B11:K33"/>
    </sheetView>
  </sheetViews>
  <sheetFormatPr defaultColWidth="0" defaultRowHeight="15.75" zeroHeight="1" x14ac:dyDescent="0.25"/>
  <cols>
    <col min="1" max="1" width="1.5703125" style="78" customWidth="1"/>
    <col min="2" max="5" width="9.140625" style="54" customWidth="1"/>
    <col min="6" max="6" width="2.5703125" style="54" customWidth="1"/>
    <col min="7" max="10" width="9.140625" style="54" customWidth="1"/>
    <col min="11" max="11" width="15.28515625" style="54" customWidth="1"/>
    <col min="12" max="12" width="1.5703125" style="78" customWidth="1"/>
    <col min="13" max="16384" width="9.140625" style="54" hidden="1"/>
  </cols>
  <sheetData>
    <row r="1" spans="2:12" ht="9.75" customHeight="1" thickBot="1" x14ac:dyDescent="0.3"/>
    <row r="2" spans="2:12" ht="36" thickBot="1" x14ac:dyDescent="0.55000000000000004">
      <c r="B2" s="144" t="s">
        <v>0</v>
      </c>
      <c r="C2" s="145"/>
      <c r="D2" s="145"/>
      <c r="E2" s="145"/>
      <c r="F2" s="145"/>
      <c r="G2" s="145"/>
      <c r="H2" s="145"/>
      <c r="I2" s="145"/>
      <c r="J2" s="145"/>
      <c r="K2" s="146"/>
    </row>
    <row r="3" spans="2:12" ht="6.75" customHeight="1" thickBot="1" x14ac:dyDescent="0.3">
      <c r="B3" s="70"/>
      <c r="K3" s="71"/>
    </row>
    <row r="4" spans="2:12" x14ac:dyDescent="0.25">
      <c r="B4" s="149" t="s">
        <v>2</v>
      </c>
      <c r="C4" s="150"/>
      <c r="D4" s="150"/>
      <c r="E4" s="150"/>
      <c r="F4" s="72" t="s">
        <v>6</v>
      </c>
      <c r="G4" s="147" t="s">
        <v>7</v>
      </c>
      <c r="H4" s="147"/>
      <c r="I4" s="147"/>
      <c r="J4" s="147"/>
      <c r="K4" s="148"/>
    </row>
    <row r="5" spans="2:12" x14ac:dyDescent="0.25">
      <c r="B5" s="136" t="s">
        <v>3</v>
      </c>
      <c r="C5" s="137"/>
      <c r="D5" s="137"/>
      <c r="E5" s="137"/>
      <c r="F5" s="54" t="s">
        <v>6</v>
      </c>
      <c r="G5" s="138" t="s">
        <v>68</v>
      </c>
      <c r="H5" s="139"/>
      <c r="I5" s="139"/>
      <c r="J5" s="139"/>
      <c r="K5" s="140"/>
    </row>
    <row r="6" spans="2:12" x14ac:dyDescent="0.25">
      <c r="B6" s="136" t="s">
        <v>4</v>
      </c>
      <c r="C6" s="137"/>
      <c r="D6" s="137"/>
      <c r="E6" s="137"/>
      <c r="F6" s="54" t="s">
        <v>6</v>
      </c>
      <c r="G6" s="138" t="s">
        <v>236</v>
      </c>
      <c r="H6" s="139"/>
      <c r="I6" s="139"/>
      <c r="J6" s="139"/>
      <c r="K6" s="140"/>
      <c r="L6" s="79" t="str">
        <f>IF(OR(G6="HASIL PENILAIAN TENGAH SEMESTER GANJIL",G6="HASIL PENILAIAN TENGAH SEMESTER GENAP"),"PTS",IF(OR(G6="HASIL PENILAIAN AKHIR SEMESTER GANJIL",G6="HASIL PENILAIAN AKHIR SEMESTER GENAP"),"PAS",0))</f>
        <v>PTS</v>
      </c>
    </row>
    <row r="7" spans="2:12" x14ac:dyDescent="0.25">
      <c r="B7" s="136" t="s">
        <v>5</v>
      </c>
      <c r="C7" s="137"/>
      <c r="D7" s="137"/>
      <c r="E7" s="137"/>
      <c r="F7" s="54" t="s">
        <v>6</v>
      </c>
      <c r="G7" s="138" t="s">
        <v>219</v>
      </c>
      <c r="H7" s="139"/>
      <c r="I7" s="139"/>
      <c r="J7" s="139"/>
      <c r="K7" s="140"/>
    </row>
    <row r="8" spans="2:12" x14ac:dyDescent="0.25">
      <c r="B8" s="136" t="s">
        <v>198</v>
      </c>
      <c r="C8" s="137"/>
      <c r="D8" s="137"/>
      <c r="E8" s="137"/>
      <c r="F8" s="54" t="s">
        <v>6</v>
      </c>
      <c r="G8" s="138" t="s">
        <v>220</v>
      </c>
      <c r="H8" s="139"/>
      <c r="I8" s="139"/>
      <c r="J8" s="139"/>
      <c r="K8" s="140"/>
    </row>
    <row r="9" spans="2:12" x14ac:dyDescent="0.25">
      <c r="B9" s="136" t="s">
        <v>63</v>
      </c>
      <c r="C9" s="137"/>
      <c r="D9" s="137"/>
      <c r="E9" s="137"/>
      <c r="F9" s="54" t="s">
        <v>6</v>
      </c>
      <c r="G9" s="138" t="s">
        <v>281</v>
      </c>
      <c r="H9" s="139"/>
      <c r="I9" s="139"/>
      <c r="J9" s="139"/>
      <c r="K9" s="140"/>
    </row>
    <row r="10" spans="2:12" ht="16.5" thickBot="1" x14ac:dyDescent="0.3">
      <c r="B10" s="134" t="s">
        <v>10</v>
      </c>
      <c r="C10" s="135"/>
      <c r="D10" s="135"/>
      <c r="E10" s="135"/>
      <c r="F10" s="73" t="s">
        <v>6</v>
      </c>
      <c r="G10" s="141" t="s">
        <v>237</v>
      </c>
      <c r="H10" s="142"/>
      <c r="I10" s="142"/>
      <c r="J10" s="142"/>
      <c r="K10" s="143"/>
    </row>
    <row r="11" spans="2:12" x14ac:dyDescent="0.25">
      <c r="B11" s="125"/>
      <c r="C11" s="126"/>
      <c r="D11" s="126"/>
      <c r="E11" s="126"/>
      <c r="F11" s="126"/>
      <c r="G11" s="126"/>
      <c r="H11" s="126"/>
      <c r="I11" s="126"/>
      <c r="J11" s="126"/>
      <c r="K11" s="127"/>
    </row>
    <row r="12" spans="2:12" x14ac:dyDescent="0.25">
      <c r="B12" s="128"/>
      <c r="C12" s="129"/>
      <c r="D12" s="129"/>
      <c r="E12" s="129"/>
      <c r="F12" s="129"/>
      <c r="G12" s="129"/>
      <c r="H12" s="129"/>
      <c r="I12" s="129"/>
      <c r="J12" s="129"/>
      <c r="K12" s="130"/>
    </row>
    <row r="13" spans="2:12" x14ac:dyDescent="0.25">
      <c r="B13" s="128"/>
      <c r="C13" s="129"/>
      <c r="D13" s="129"/>
      <c r="E13" s="129"/>
      <c r="F13" s="129"/>
      <c r="G13" s="129"/>
      <c r="H13" s="129"/>
      <c r="I13" s="129"/>
      <c r="J13" s="129"/>
      <c r="K13" s="130"/>
    </row>
    <row r="14" spans="2:12" x14ac:dyDescent="0.25">
      <c r="B14" s="128"/>
      <c r="C14" s="129"/>
      <c r="D14" s="129"/>
      <c r="E14" s="129"/>
      <c r="F14" s="129"/>
      <c r="G14" s="129"/>
      <c r="H14" s="129"/>
      <c r="I14" s="129"/>
      <c r="J14" s="129"/>
      <c r="K14" s="130"/>
    </row>
    <row r="15" spans="2:12" x14ac:dyDescent="0.25">
      <c r="B15" s="128"/>
      <c r="C15" s="129"/>
      <c r="D15" s="129"/>
      <c r="E15" s="129"/>
      <c r="F15" s="129"/>
      <c r="G15" s="129"/>
      <c r="H15" s="129"/>
      <c r="I15" s="129"/>
      <c r="J15" s="129"/>
      <c r="K15" s="130"/>
    </row>
    <row r="16" spans="2:12" x14ac:dyDescent="0.25">
      <c r="B16" s="128"/>
      <c r="C16" s="129"/>
      <c r="D16" s="129"/>
      <c r="E16" s="129"/>
      <c r="F16" s="129"/>
      <c r="G16" s="129"/>
      <c r="H16" s="129"/>
      <c r="I16" s="129"/>
      <c r="J16" s="129"/>
      <c r="K16" s="130"/>
    </row>
    <row r="17" spans="2:11" x14ac:dyDescent="0.25">
      <c r="B17" s="128"/>
      <c r="C17" s="129"/>
      <c r="D17" s="129"/>
      <c r="E17" s="129"/>
      <c r="F17" s="129"/>
      <c r="G17" s="129"/>
      <c r="H17" s="129"/>
      <c r="I17" s="129"/>
      <c r="J17" s="129"/>
      <c r="K17" s="130"/>
    </row>
    <row r="18" spans="2:11" x14ac:dyDescent="0.25">
      <c r="B18" s="128"/>
      <c r="C18" s="129"/>
      <c r="D18" s="129"/>
      <c r="E18" s="129"/>
      <c r="F18" s="129"/>
      <c r="G18" s="129"/>
      <c r="H18" s="129"/>
      <c r="I18" s="129"/>
      <c r="J18" s="129"/>
      <c r="K18" s="130"/>
    </row>
    <row r="19" spans="2:11" x14ac:dyDescent="0.25">
      <c r="B19" s="128"/>
      <c r="C19" s="129"/>
      <c r="D19" s="129"/>
      <c r="E19" s="129"/>
      <c r="F19" s="129"/>
      <c r="G19" s="129"/>
      <c r="H19" s="129"/>
      <c r="I19" s="129"/>
      <c r="J19" s="129"/>
      <c r="K19" s="130"/>
    </row>
    <row r="20" spans="2:11" x14ac:dyDescent="0.25">
      <c r="B20" s="128"/>
      <c r="C20" s="129"/>
      <c r="D20" s="129"/>
      <c r="E20" s="129"/>
      <c r="F20" s="129"/>
      <c r="G20" s="129"/>
      <c r="H20" s="129"/>
      <c r="I20" s="129"/>
      <c r="J20" s="129"/>
      <c r="K20" s="130"/>
    </row>
    <row r="21" spans="2:11" x14ac:dyDescent="0.25">
      <c r="B21" s="128"/>
      <c r="C21" s="129"/>
      <c r="D21" s="129"/>
      <c r="E21" s="129"/>
      <c r="F21" s="129"/>
      <c r="G21" s="129"/>
      <c r="H21" s="129"/>
      <c r="I21" s="129"/>
      <c r="J21" s="129"/>
      <c r="K21" s="130"/>
    </row>
    <row r="22" spans="2:11" x14ac:dyDescent="0.25">
      <c r="B22" s="128"/>
      <c r="C22" s="129"/>
      <c r="D22" s="129"/>
      <c r="E22" s="129"/>
      <c r="F22" s="129"/>
      <c r="G22" s="129"/>
      <c r="H22" s="129"/>
      <c r="I22" s="129"/>
      <c r="J22" s="129"/>
      <c r="K22" s="130"/>
    </row>
    <row r="23" spans="2:11" x14ac:dyDescent="0.25">
      <c r="B23" s="128"/>
      <c r="C23" s="129"/>
      <c r="D23" s="129"/>
      <c r="E23" s="129"/>
      <c r="F23" s="129"/>
      <c r="G23" s="129"/>
      <c r="H23" s="129"/>
      <c r="I23" s="129"/>
      <c r="J23" s="129"/>
      <c r="K23" s="130"/>
    </row>
    <row r="24" spans="2:11" x14ac:dyDescent="0.25">
      <c r="B24" s="128"/>
      <c r="C24" s="129"/>
      <c r="D24" s="129"/>
      <c r="E24" s="129"/>
      <c r="F24" s="129"/>
      <c r="G24" s="129"/>
      <c r="H24" s="129"/>
      <c r="I24" s="129"/>
      <c r="J24" s="129"/>
      <c r="K24" s="130"/>
    </row>
    <row r="25" spans="2:11" x14ac:dyDescent="0.25">
      <c r="B25" s="128"/>
      <c r="C25" s="129"/>
      <c r="D25" s="129"/>
      <c r="E25" s="129"/>
      <c r="F25" s="129"/>
      <c r="G25" s="129"/>
      <c r="H25" s="129"/>
      <c r="I25" s="129"/>
      <c r="J25" s="129"/>
      <c r="K25" s="130"/>
    </row>
    <row r="26" spans="2:11" x14ac:dyDescent="0.25">
      <c r="B26" s="128"/>
      <c r="C26" s="129"/>
      <c r="D26" s="129"/>
      <c r="E26" s="129"/>
      <c r="F26" s="129"/>
      <c r="G26" s="129"/>
      <c r="H26" s="129"/>
      <c r="I26" s="129"/>
      <c r="J26" s="129"/>
      <c r="K26" s="130"/>
    </row>
    <row r="27" spans="2:11" x14ac:dyDescent="0.25">
      <c r="B27" s="128"/>
      <c r="C27" s="129"/>
      <c r="D27" s="129"/>
      <c r="E27" s="129"/>
      <c r="F27" s="129"/>
      <c r="G27" s="129"/>
      <c r="H27" s="129"/>
      <c r="I27" s="129"/>
      <c r="J27" s="129"/>
      <c r="K27" s="130"/>
    </row>
    <row r="28" spans="2:11" x14ac:dyDescent="0.25">
      <c r="B28" s="128"/>
      <c r="C28" s="129"/>
      <c r="D28" s="129"/>
      <c r="E28" s="129"/>
      <c r="F28" s="129"/>
      <c r="G28" s="129"/>
      <c r="H28" s="129"/>
      <c r="I28" s="129"/>
      <c r="J28" s="129"/>
      <c r="K28" s="130"/>
    </row>
    <row r="29" spans="2:11" x14ac:dyDescent="0.25">
      <c r="B29" s="128"/>
      <c r="C29" s="129"/>
      <c r="D29" s="129"/>
      <c r="E29" s="129"/>
      <c r="F29" s="129"/>
      <c r="G29" s="129"/>
      <c r="H29" s="129"/>
      <c r="I29" s="129"/>
      <c r="J29" s="129"/>
      <c r="K29" s="130"/>
    </row>
    <row r="30" spans="2:11" x14ac:dyDescent="0.25">
      <c r="B30" s="128"/>
      <c r="C30" s="129"/>
      <c r="D30" s="129"/>
      <c r="E30" s="129"/>
      <c r="F30" s="129"/>
      <c r="G30" s="129"/>
      <c r="H30" s="129"/>
      <c r="I30" s="129"/>
      <c r="J30" s="129"/>
      <c r="K30" s="130"/>
    </row>
    <row r="31" spans="2:11" x14ac:dyDescent="0.25">
      <c r="B31" s="128"/>
      <c r="C31" s="129"/>
      <c r="D31" s="129"/>
      <c r="E31" s="129"/>
      <c r="F31" s="129"/>
      <c r="G31" s="129"/>
      <c r="H31" s="129"/>
      <c r="I31" s="129"/>
      <c r="J31" s="129"/>
      <c r="K31" s="130"/>
    </row>
    <row r="32" spans="2:11" x14ac:dyDescent="0.25">
      <c r="B32" s="128"/>
      <c r="C32" s="129"/>
      <c r="D32" s="129"/>
      <c r="E32" s="129"/>
      <c r="F32" s="129"/>
      <c r="G32" s="129"/>
      <c r="H32" s="129"/>
      <c r="I32" s="129"/>
      <c r="J32" s="129"/>
      <c r="K32" s="130"/>
    </row>
    <row r="33" spans="2:11" ht="16.5" thickBot="1" x14ac:dyDescent="0.3">
      <c r="B33" s="131"/>
      <c r="C33" s="132"/>
      <c r="D33" s="132"/>
      <c r="E33" s="132"/>
      <c r="F33" s="132"/>
      <c r="G33" s="132"/>
      <c r="H33" s="132"/>
      <c r="I33" s="132"/>
      <c r="J33" s="132"/>
      <c r="K33" s="133"/>
    </row>
    <row r="34" spans="2:11" x14ac:dyDescent="0.25"/>
    <row r="35" spans="2:11" x14ac:dyDescent="0.25">
      <c r="B35" s="129" t="s">
        <v>143</v>
      </c>
      <c r="C35" s="129"/>
      <c r="D35" s="129"/>
      <c r="E35" s="129"/>
      <c r="F35" s="129"/>
      <c r="G35" s="129"/>
      <c r="H35" s="129"/>
      <c r="I35" s="129"/>
      <c r="J35" s="129"/>
      <c r="K35" s="129"/>
    </row>
    <row r="36" spans="2:11" x14ac:dyDescent="0.25">
      <c r="B36" s="129" t="s">
        <v>144</v>
      </c>
      <c r="C36" s="129"/>
      <c r="D36" s="129"/>
      <c r="E36" s="129"/>
      <c r="F36" s="129"/>
      <c r="G36" s="129"/>
      <c r="H36" s="129"/>
      <c r="I36" s="129"/>
      <c r="J36" s="129"/>
      <c r="K36" s="129"/>
    </row>
    <row r="37" spans="2:11" x14ac:dyDescent="0.25"/>
    <row r="38" spans="2:11" x14ac:dyDescent="0.25"/>
    <row r="39" spans="2:11" x14ac:dyDescent="0.25"/>
    <row r="40" spans="2:11" x14ac:dyDescent="0.25"/>
    <row r="41" spans="2:11" x14ac:dyDescent="0.25"/>
    <row r="58" x14ac:dyDescent="0.25"/>
  </sheetData>
  <sheetProtection selectLockedCells="1"/>
  <mergeCells count="18">
    <mergeCell ref="G5:K5"/>
    <mergeCell ref="B9:E9"/>
    <mergeCell ref="G9:K9"/>
    <mergeCell ref="B2:K2"/>
    <mergeCell ref="G7:K7"/>
    <mergeCell ref="G6:K6"/>
    <mergeCell ref="G4:K4"/>
    <mergeCell ref="B7:E7"/>
    <mergeCell ref="B6:E6"/>
    <mergeCell ref="B5:E5"/>
    <mergeCell ref="B4:E4"/>
    <mergeCell ref="B11:K33"/>
    <mergeCell ref="B35:K35"/>
    <mergeCell ref="B36:K36"/>
    <mergeCell ref="B10:E10"/>
    <mergeCell ref="B8:E8"/>
    <mergeCell ref="G8:K8"/>
    <mergeCell ref="G10:K10"/>
  </mergeCells>
  <dataValidations count="5">
    <dataValidation type="list" allowBlank="1" showInputMessage="1" showErrorMessage="1" sqref="G6:K6" xr:uid="{00000000-0002-0000-0000-000000000000}">
      <formula1>"'-- Pilih Satu --,HASIL PENILAIAN TENGAH SEMESTER GANJIL, HASIL PENILAIAN TENGAH SEMESTER GENAP, HASIL PENILAIAN AKHIR SEMESTER GANJIL, HASIL PENILAIAN AKHIR SEMESTER GENAP"</formula1>
    </dataValidation>
    <dataValidation type="list" allowBlank="1" showInputMessage="1" showErrorMessage="1" sqref="G7:K7" xr:uid="{00000000-0002-0000-0000-000001000000}">
      <formula1>"'-- Pilih Satu --,2021/2022,2022/2023,2023/2024,2024/2025"</formula1>
    </dataValidation>
    <dataValidation type="list" allowBlank="1" showInputMessage="1" showErrorMessage="1" sqref="G10:K10" xr:uid="{00000000-0002-0000-0000-000002000000}">
      <formula1>"'-- Pilih Satu --,RPL,AKL"</formula1>
    </dataValidation>
    <dataValidation type="list" allowBlank="1" showInputMessage="1" showErrorMessage="1" sqref="G9:K9" xr:uid="{00000000-0002-0000-0000-000003000000}">
      <formula1>"'-- Pilih Satu --,Teknik Komputer dan Informatika, Bisnis Manajemen"</formula1>
    </dataValidation>
    <dataValidation type="list" allowBlank="1" showInputMessage="1" showErrorMessage="1" sqref="G8:K8" xr:uid="{00000000-0002-0000-0000-000004000000}">
      <formula1>"'-- Pilih Satu --,X,XI,XII"</formula1>
    </dataValidation>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C000"/>
  </sheetPr>
  <dimension ref="A1:H14"/>
  <sheetViews>
    <sheetView topLeftCell="C1" workbookViewId="0">
      <selection activeCell="G9" sqref="G9"/>
    </sheetView>
  </sheetViews>
  <sheetFormatPr defaultColWidth="0" defaultRowHeight="15" zeroHeight="1" x14ac:dyDescent="0.25"/>
  <cols>
    <col min="1" max="2" width="9.140625" style="6" customWidth="1"/>
    <col min="3" max="3" width="1.42578125" style="5" customWidth="1"/>
    <col min="4" max="4" width="9.140625" style="6" customWidth="1"/>
    <col min="5" max="5" width="22.140625" style="6" customWidth="1"/>
    <col min="6" max="6" width="2.42578125" style="6" customWidth="1"/>
    <col min="7" max="7" width="40.7109375" style="6" customWidth="1"/>
    <col min="8" max="8" width="1.85546875" style="5" customWidth="1"/>
    <col min="9" max="12" width="9.140625" style="6" hidden="1" customWidth="1"/>
    <col min="13" max="16384" width="9.140625" style="6" hidden="1"/>
  </cols>
  <sheetData>
    <row r="1" spans="4:7" s="5" customFormat="1" ht="9.75" customHeight="1" x14ac:dyDescent="0.25"/>
    <row r="2" spans="4:7" ht="62.25" customHeight="1" thickBot="1" x14ac:dyDescent="0.3">
      <c r="D2" s="151"/>
      <c r="E2" s="151"/>
      <c r="F2" s="151"/>
      <c r="G2" s="151"/>
    </row>
    <row r="3" spans="4:7" ht="21" thickBot="1" x14ac:dyDescent="0.35">
      <c r="D3" s="154" t="s">
        <v>21</v>
      </c>
      <c r="E3" s="155"/>
      <c r="F3" s="155"/>
      <c r="G3" s="156"/>
    </row>
    <row r="4" spans="4:7" ht="3" customHeight="1" x14ac:dyDescent="0.25">
      <c r="D4" s="151"/>
      <c r="E4" s="151"/>
      <c r="F4" s="151"/>
      <c r="G4" s="151"/>
    </row>
    <row r="5" spans="4:7" x14ac:dyDescent="0.25">
      <c r="D5" s="157" t="s">
        <v>22</v>
      </c>
      <c r="E5" s="157"/>
      <c r="F5" s="7" t="s">
        <v>6</v>
      </c>
      <c r="G5" s="9" t="str">
        <f>HOME!G5</f>
        <v>SMK Pancasila 8 Slogohimo</v>
      </c>
    </row>
    <row r="6" spans="4:7" x14ac:dyDescent="0.25">
      <c r="D6" s="157" t="s">
        <v>23</v>
      </c>
      <c r="E6" s="157"/>
      <c r="F6" s="7" t="s">
        <v>6</v>
      </c>
      <c r="G6" s="9" t="s">
        <v>229</v>
      </c>
    </row>
    <row r="7" spans="4:7" x14ac:dyDescent="0.25">
      <c r="D7" s="152" t="s">
        <v>64</v>
      </c>
      <c r="E7" s="153"/>
      <c r="F7" s="7" t="s">
        <v>6</v>
      </c>
      <c r="G7" s="10" t="s">
        <v>65</v>
      </c>
    </row>
    <row r="8" spans="4:7" x14ac:dyDescent="0.25">
      <c r="D8" s="157" t="s">
        <v>8</v>
      </c>
      <c r="E8" s="157"/>
      <c r="F8" s="7" t="s">
        <v>6</v>
      </c>
      <c r="G8" s="10" t="s">
        <v>238</v>
      </c>
    </row>
    <row r="9" spans="4:7" x14ac:dyDescent="0.25">
      <c r="D9" s="152" t="s">
        <v>31</v>
      </c>
      <c r="E9" s="153"/>
      <c r="F9" s="7" t="s">
        <v>6</v>
      </c>
      <c r="G9" s="10" t="s">
        <v>235</v>
      </c>
    </row>
    <row r="10" spans="4:7" x14ac:dyDescent="0.25">
      <c r="D10" s="157" t="s">
        <v>24</v>
      </c>
      <c r="E10" s="157"/>
      <c r="F10" s="7" t="s">
        <v>6</v>
      </c>
      <c r="G10" s="9" t="s">
        <v>239</v>
      </c>
    </row>
    <row r="11" spans="4:7" x14ac:dyDescent="0.25">
      <c r="D11" s="157" t="s">
        <v>25</v>
      </c>
      <c r="E11" s="157"/>
      <c r="F11" s="7" t="s">
        <v>6</v>
      </c>
      <c r="G11" s="9" t="s">
        <v>240</v>
      </c>
    </row>
    <row r="12" spans="4:7" s="5" customFormat="1" x14ac:dyDescent="0.25"/>
    <row r="13" spans="4:7" s="5" customFormat="1" x14ac:dyDescent="0.25"/>
    <row r="14" spans="4:7" s="5" customFormat="1" x14ac:dyDescent="0.25"/>
  </sheetData>
  <sheetProtection selectLockedCells="1"/>
  <mergeCells count="10">
    <mergeCell ref="D2:G2"/>
    <mergeCell ref="D9:E9"/>
    <mergeCell ref="D3:G3"/>
    <mergeCell ref="D4:G4"/>
    <mergeCell ref="D11:E11"/>
    <mergeCell ref="D10:E10"/>
    <mergeCell ref="D8:E8"/>
    <mergeCell ref="D6:E6"/>
    <mergeCell ref="D5:E5"/>
    <mergeCell ref="D7:E7"/>
  </mergeCells>
  <dataValidations count="3">
    <dataValidation type="list" allowBlank="1" showInputMessage="1" showErrorMessage="1" sqref="G8" xr:uid="{00000000-0002-0000-0100-000000000000}">
      <formula1>"'-- Pilih Satu --,X AKL 1,X AKL 2, X AKL 3, X RPL 1, X RPL 2, X RPL 3, X RPL 4, X RPL 5, XI AKL 1, XI AKL 2, XI AKL 3, XI RPL 1, XI RPL 2, XI RPL 3, XI RPL 4, XI RPL 5, XII AKL 1, XII AKL 2, XII AKL 3, XII RPL 1, XII RPL 2, XII RPL 3, XII RPL 4, XII RPL 5"</formula1>
    </dataValidation>
    <dataValidation type="list" allowBlank="1" showInputMessage="1" showErrorMessage="1" sqref="G9" xr:uid="{00000000-0002-0000-0100-000001000000}">
      <formula1>"'-- Pilih Satu --,1/GANJIL,2/GENAP,3/GANJIL,4/GENAP,5/GANJIL,6/GENAP"</formula1>
    </dataValidation>
    <dataValidation type="list" allowBlank="1" showInputMessage="1" showErrorMessage="1" sqref="G7" xr:uid="{00000000-0002-0000-0100-000002000000}">
      <formula1>"'-- Pilih Satu --, Akuntansi dan Keuangan Lembaga, Rekayasa Perangkat Lunak"</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9"/>
  </sheetPr>
  <dimension ref="A1:F43"/>
  <sheetViews>
    <sheetView workbookViewId="0">
      <selection activeCell="B3" sqref="B3:E3"/>
    </sheetView>
  </sheetViews>
  <sheetFormatPr defaultColWidth="0" defaultRowHeight="15" zeroHeight="1" x14ac:dyDescent="0.25"/>
  <cols>
    <col min="1" max="1" width="2.140625" style="5" customWidth="1"/>
    <col min="2" max="2" width="5.140625" style="6" customWidth="1"/>
    <col min="3" max="3" width="55" style="6" customWidth="1"/>
    <col min="4" max="4" width="28.5703125" style="6" customWidth="1"/>
    <col min="5" max="5" width="24.140625" style="6" customWidth="1"/>
    <col min="6" max="6" width="1.85546875" style="5" customWidth="1"/>
    <col min="7" max="16384" width="9.140625" style="6" hidden="1"/>
  </cols>
  <sheetData>
    <row r="1" spans="2:5" s="5" customFormat="1" ht="9.75" customHeight="1" x14ac:dyDescent="0.25"/>
    <row r="2" spans="2:5" ht="57.75" customHeight="1" thickBot="1" x14ac:dyDescent="0.3">
      <c r="B2" s="151"/>
      <c r="C2" s="151"/>
      <c r="D2" s="151"/>
      <c r="E2" s="151"/>
    </row>
    <row r="3" spans="2:5" ht="27" thickBot="1" x14ac:dyDescent="0.45">
      <c r="B3" s="158" t="s">
        <v>26</v>
      </c>
      <c r="C3" s="159"/>
      <c r="D3" s="159"/>
      <c r="E3" s="160"/>
    </row>
    <row r="4" spans="2:5" ht="5.25" customHeight="1" x14ac:dyDescent="0.25"/>
    <row r="5" spans="2:5" x14ac:dyDescent="0.25">
      <c r="B5" s="8" t="s">
        <v>27</v>
      </c>
      <c r="C5" s="8" t="s">
        <v>28</v>
      </c>
      <c r="D5" s="8" t="s">
        <v>29</v>
      </c>
      <c r="E5" s="8" t="s">
        <v>30</v>
      </c>
    </row>
    <row r="6" spans="2:5" x14ac:dyDescent="0.25">
      <c r="B6" s="7">
        <v>1</v>
      </c>
      <c r="C6" s="9" t="s">
        <v>241</v>
      </c>
      <c r="D6" s="9">
        <v>4020</v>
      </c>
      <c r="E6" s="9" t="s">
        <v>261</v>
      </c>
    </row>
    <row r="7" spans="2:5" x14ac:dyDescent="0.25">
      <c r="B7" s="7">
        <v>2</v>
      </c>
      <c r="C7" s="9" t="s">
        <v>242</v>
      </c>
      <c r="D7" s="9">
        <v>4044</v>
      </c>
      <c r="E7" s="9" t="s">
        <v>262</v>
      </c>
    </row>
    <row r="8" spans="2:5" x14ac:dyDescent="0.25">
      <c r="B8" s="7">
        <v>3</v>
      </c>
      <c r="C8" s="9" t="s">
        <v>243</v>
      </c>
      <c r="D8" s="9">
        <v>4024</v>
      </c>
      <c r="E8" s="9" t="s">
        <v>263</v>
      </c>
    </row>
    <row r="9" spans="2:5" x14ac:dyDescent="0.25">
      <c r="B9" s="7">
        <v>4</v>
      </c>
      <c r="C9" s="9" t="s">
        <v>244</v>
      </c>
      <c r="D9" s="9">
        <v>4048</v>
      </c>
      <c r="E9" s="9" t="s">
        <v>264</v>
      </c>
    </row>
    <row r="10" spans="2:5" x14ac:dyDescent="0.25">
      <c r="B10" s="7">
        <v>5</v>
      </c>
      <c r="C10" s="9" t="s">
        <v>245</v>
      </c>
      <c r="D10" s="9">
        <v>4049</v>
      </c>
      <c r="E10" s="9" t="s">
        <v>265</v>
      </c>
    </row>
    <row r="11" spans="2:5" x14ac:dyDescent="0.25">
      <c r="B11" s="7">
        <v>6</v>
      </c>
      <c r="C11" s="9" t="s">
        <v>246</v>
      </c>
      <c r="D11" s="9">
        <v>4027</v>
      </c>
      <c r="E11" s="9" t="s">
        <v>266</v>
      </c>
    </row>
    <row r="12" spans="2:5" x14ac:dyDescent="0.25">
      <c r="B12" s="7">
        <v>7</v>
      </c>
      <c r="C12" s="9" t="s">
        <v>247</v>
      </c>
      <c r="D12" s="9">
        <v>4030</v>
      </c>
      <c r="E12" s="9" t="s">
        <v>267</v>
      </c>
    </row>
    <row r="13" spans="2:5" x14ac:dyDescent="0.25">
      <c r="B13" s="7">
        <v>8</v>
      </c>
      <c r="C13" s="9" t="s">
        <v>248</v>
      </c>
      <c r="D13" s="9">
        <v>4053</v>
      </c>
      <c r="E13" s="9" t="s">
        <v>268</v>
      </c>
    </row>
    <row r="14" spans="2:5" x14ac:dyDescent="0.25">
      <c r="B14" s="7">
        <v>9</v>
      </c>
      <c r="C14" s="9" t="s">
        <v>249</v>
      </c>
      <c r="D14" s="9">
        <v>4033</v>
      </c>
      <c r="E14" s="9" t="s">
        <v>269</v>
      </c>
    </row>
    <row r="15" spans="2:5" x14ac:dyDescent="0.25">
      <c r="B15" s="7">
        <v>10</v>
      </c>
      <c r="C15" s="9" t="s">
        <v>250</v>
      </c>
      <c r="D15" s="9">
        <v>4054</v>
      </c>
      <c r="E15" s="9" t="s">
        <v>270</v>
      </c>
    </row>
    <row r="16" spans="2:5" x14ac:dyDescent="0.25">
      <c r="B16" s="7">
        <v>11</v>
      </c>
      <c r="C16" s="9" t="s">
        <v>251</v>
      </c>
      <c r="D16" s="9">
        <v>4056</v>
      </c>
      <c r="E16" s="9" t="s">
        <v>271</v>
      </c>
    </row>
    <row r="17" spans="2:5" x14ac:dyDescent="0.25">
      <c r="B17" s="7">
        <v>12</v>
      </c>
      <c r="C17" s="9" t="s">
        <v>252</v>
      </c>
      <c r="D17" s="9">
        <v>4057</v>
      </c>
      <c r="E17" s="9" t="s">
        <v>272</v>
      </c>
    </row>
    <row r="18" spans="2:5" x14ac:dyDescent="0.25">
      <c r="B18" s="7">
        <v>13</v>
      </c>
      <c r="C18" s="9" t="s">
        <v>253</v>
      </c>
      <c r="D18" s="9">
        <v>4058</v>
      </c>
      <c r="E18" s="9" t="s">
        <v>273</v>
      </c>
    </row>
    <row r="19" spans="2:5" x14ac:dyDescent="0.25">
      <c r="B19" s="7">
        <v>14</v>
      </c>
      <c r="C19" s="9" t="s">
        <v>254</v>
      </c>
      <c r="D19" s="9">
        <v>4036</v>
      </c>
      <c r="E19" s="9" t="s">
        <v>274</v>
      </c>
    </row>
    <row r="20" spans="2:5" x14ac:dyDescent="0.25">
      <c r="B20" s="7">
        <v>15</v>
      </c>
      <c r="C20" s="9" t="s">
        <v>255</v>
      </c>
      <c r="D20" s="9">
        <v>4037</v>
      </c>
      <c r="E20" s="9" t="s">
        <v>275</v>
      </c>
    </row>
    <row r="21" spans="2:5" x14ac:dyDescent="0.25">
      <c r="B21" s="7">
        <v>16</v>
      </c>
      <c r="C21" s="9" t="s">
        <v>256</v>
      </c>
      <c r="D21" s="9">
        <v>4038</v>
      </c>
      <c r="E21" s="9" t="s">
        <v>276</v>
      </c>
    </row>
    <row r="22" spans="2:5" x14ac:dyDescent="0.25">
      <c r="B22" s="7">
        <v>17</v>
      </c>
      <c r="C22" s="9" t="s">
        <v>257</v>
      </c>
      <c r="D22" s="9">
        <v>4060</v>
      </c>
      <c r="E22" s="9" t="s">
        <v>277</v>
      </c>
    </row>
    <row r="23" spans="2:5" x14ac:dyDescent="0.25">
      <c r="B23" s="7">
        <v>18</v>
      </c>
      <c r="C23" s="9" t="s">
        <v>258</v>
      </c>
      <c r="D23" s="9">
        <v>4039</v>
      </c>
      <c r="E23" s="9" t="s">
        <v>278</v>
      </c>
    </row>
    <row r="24" spans="2:5" x14ac:dyDescent="0.25">
      <c r="B24" s="7">
        <v>19</v>
      </c>
      <c r="C24" s="9" t="s">
        <v>259</v>
      </c>
      <c r="D24" s="9">
        <v>4040</v>
      </c>
      <c r="E24" s="9" t="s">
        <v>279</v>
      </c>
    </row>
    <row r="25" spans="2:5" x14ac:dyDescent="0.25">
      <c r="B25" s="7">
        <v>20</v>
      </c>
      <c r="C25" s="9" t="s">
        <v>260</v>
      </c>
      <c r="D25" s="9">
        <v>4061</v>
      </c>
      <c r="E25" s="9" t="s">
        <v>280</v>
      </c>
    </row>
    <row r="26" spans="2:5" x14ac:dyDescent="0.25">
      <c r="B26" s="7">
        <v>21</v>
      </c>
      <c r="C26" s="9"/>
      <c r="D26" s="9"/>
      <c r="E26" s="9"/>
    </row>
    <row r="27" spans="2:5" x14ac:dyDescent="0.25">
      <c r="B27" s="7">
        <v>22</v>
      </c>
      <c r="C27" s="9"/>
      <c r="D27" s="9"/>
      <c r="E27" s="9"/>
    </row>
    <row r="28" spans="2:5" x14ac:dyDescent="0.25">
      <c r="B28" s="7">
        <v>23</v>
      </c>
      <c r="C28" s="9"/>
      <c r="D28" s="9"/>
      <c r="E28" s="9"/>
    </row>
    <row r="29" spans="2:5" x14ac:dyDescent="0.25">
      <c r="B29" s="7">
        <v>24</v>
      </c>
      <c r="C29" s="9"/>
      <c r="D29" s="9"/>
      <c r="E29" s="9"/>
    </row>
    <row r="30" spans="2:5" x14ac:dyDescent="0.25">
      <c r="B30" s="7">
        <v>25</v>
      </c>
      <c r="C30" s="9"/>
      <c r="D30" s="9"/>
      <c r="E30" s="9"/>
    </row>
    <row r="31" spans="2:5" x14ac:dyDescent="0.25">
      <c r="B31" s="7">
        <v>26</v>
      </c>
      <c r="C31" s="9"/>
      <c r="D31" s="9"/>
      <c r="E31" s="9"/>
    </row>
    <row r="32" spans="2:5" x14ac:dyDescent="0.25">
      <c r="B32" s="7">
        <v>27</v>
      </c>
      <c r="C32" s="9"/>
      <c r="D32" s="9"/>
      <c r="E32" s="9"/>
    </row>
    <row r="33" spans="2:5" x14ac:dyDescent="0.25">
      <c r="B33" s="7">
        <v>28</v>
      </c>
      <c r="C33" s="9"/>
      <c r="D33" s="9"/>
      <c r="E33" s="9"/>
    </row>
    <row r="34" spans="2:5" x14ac:dyDescent="0.25">
      <c r="B34" s="7">
        <v>29</v>
      </c>
      <c r="C34" s="9"/>
      <c r="D34" s="9"/>
      <c r="E34" s="9"/>
    </row>
    <row r="35" spans="2:5" x14ac:dyDescent="0.25">
      <c r="B35" s="7">
        <v>30</v>
      </c>
      <c r="C35" s="9"/>
      <c r="D35" s="9"/>
      <c r="E35" s="9"/>
    </row>
    <row r="36" spans="2:5" x14ac:dyDescent="0.25">
      <c r="B36" s="7">
        <v>31</v>
      </c>
      <c r="C36" s="9"/>
      <c r="D36" s="9"/>
      <c r="E36" s="9"/>
    </row>
    <row r="37" spans="2:5" x14ac:dyDescent="0.25">
      <c r="B37" s="7">
        <v>32</v>
      </c>
      <c r="C37" s="9"/>
      <c r="D37" s="9"/>
      <c r="E37" s="9"/>
    </row>
    <row r="38" spans="2:5" x14ac:dyDescent="0.25">
      <c r="B38" s="7">
        <v>33</v>
      </c>
      <c r="C38" s="9"/>
      <c r="D38" s="9"/>
      <c r="E38" s="9"/>
    </row>
    <row r="39" spans="2:5" x14ac:dyDescent="0.25">
      <c r="B39" s="7">
        <v>34</v>
      </c>
      <c r="C39" s="9"/>
      <c r="D39" s="9"/>
      <c r="E39" s="9"/>
    </row>
    <row r="40" spans="2:5" x14ac:dyDescent="0.25">
      <c r="B40" s="7">
        <v>35</v>
      </c>
      <c r="C40" s="9"/>
      <c r="D40" s="9"/>
      <c r="E40" s="9"/>
    </row>
    <row r="41" spans="2:5" x14ac:dyDescent="0.25"/>
    <row r="42" spans="2:5" x14ac:dyDescent="0.25"/>
    <row r="43" spans="2:5" s="5" customFormat="1" ht="9.75" customHeight="1" x14ac:dyDescent="0.25">
      <c r="B43" s="161"/>
      <c r="C43" s="161"/>
      <c r="D43" s="161"/>
      <c r="E43" s="161"/>
    </row>
  </sheetData>
  <sheetProtection selectLockedCells="1"/>
  <mergeCells count="3">
    <mergeCell ref="B3:E3"/>
    <mergeCell ref="B2:E2"/>
    <mergeCell ref="B43:E43"/>
  </mergeCell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8">
    <tabColor rgb="FF002060"/>
  </sheetPr>
  <dimension ref="A1:BP46"/>
  <sheetViews>
    <sheetView workbookViewId="0">
      <pane xSplit="5" topLeftCell="F1" activePane="topRight" state="frozen"/>
      <selection pane="topRight" activeCell="C5" sqref="C5:C7"/>
    </sheetView>
  </sheetViews>
  <sheetFormatPr defaultColWidth="0" defaultRowHeight="0" customHeight="1" zeroHeight="1" x14ac:dyDescent="0.25"/>
  <cols>
    <col min="1" max="1" width="1.42578125" style="54" customWidth="1"/>
    <col min="2" max="2" width="6.42578125" style="54" customWidth="1"/>
    <col min="3" max="3" width="27.28515625" style="54" customWidth="1"/>
    <col min="4" max="4" width="5.5703125" style="54" bestFit="1" customWidth="1"/>
    <col min="5" max="5" width="13.85546875" style="54" bestFit="1" customWidth="1"/>
    <col min="6" max="8" width="6.7109375" style="55" customWidth="1"/>
    <col min="9" max="9" width="65.42578125" style="55" customWidth="1"/>
    <col min="10" max="12" width="6.7109375" style="55" customWidth="1"/>
    <col min="13" max="13" width="65.42578125" style="55" customWidth="1"/>
    <col min="14" max="16" width="6.7109375" style="55" customWidth="1"/>
    <col min="17" max="17" width="65.42578125" style="55" customWidth="1"/>
    <col min="18" max="20" width="6.7109375" style="55" customWidth="1"/>
    <col min="21" max="21" width="65.42578125" style="55" customWidth="1"/>
    <col min="22" max="24" width="6.7109375" style="55" customWidth="1"/>
    <col min="25" max="25" width="65.42578125" style="55" customWidth="1"/>
    <col min="26" max="26" width="4.7109375" style="82" customWidth="1"/>
    <col min="27" max="27" width="12.28515625" style="55" customWidth="1"/>
    <col min="28" max="28" width="39" style="55" customWidth="1"/>
    <col min="29" max="29" width="10.7109375" style="55" customWidth="1"/>
    <col min="30" max="30" width="12.28515625" style="55" customWidth="1"/>
    <col min="31" max="31" width="39" style="55" customWidth="1"/>
    <col min="32" max="32" width="10.7109375" style="55" customWidth="1"/>
    <col min="33" max="33" width="12.28515625" style="55" customWidth="1"/>
    <col min="34" max="34" width="39" style="55" customWidth="1"/>
    <col min="35" max="35" width="10.7109375" style="55" customWidth="1"/>
    <col min="36" max="36" width="12.28515625" style="55" customWidth="1"/>
    <col min="37" max="37" width="39" style="55" customWidth="1"/>
    <col min="38" max="38" width="10.7109375" style="55" customWidth="1"/>
    <col min="39" max="39" width="12.28515625" style="55" customWidth="1"/>
    <col min="40" max="40" width="39" style="55" customWidth="1"/>
    <col min="41" max="41" width="10.7109375" style="55" customWidth="1"/>
    <col min="42" max="42" width="12.28515625" style="55" customWidth="1"/>
    <col min="43" max="43" width="39" style="55" customWidth="1"/>
    <col min="44" max="44" width="10.7109375" style="55" customWidth="1"/>
    <col min="45" max="45" width="12.28515625" style="55" customWidth="1"/>
    <col min="46" max="46" width="39" style="55" customWidth="1"/>
    <col min="47" max="47" width="10.7109375" style="55" customWidth="1"/>
    <col min="48" max="48" width="12.28515625" style="55" customWidth="1"/>
    <col min="49" max="49" width="39" style="55" customWidth="1"/>
    <col min="50" max="50" width="10.7109375" style="55" customWidth="1"/>
    <col min="51" max="51" width="4.7109375" style="82" customWidth="1"/>
    <col min="52" max="52" width="31.5703125" style="55" customWidth="1"/>
    <col min="53" max="53" width="38.85546875" style="55" customWidth="1"/>
    <col min="54" max="55" width="36.42578125" style="55" customWidth="1"/>
    <col min="56" max="56" width="4.7109375" style="82" customWidth="1"/>
    <col min="57" max="59" width="8.28515625" style="55" customWidth="1"/>
    <col min="60" max="60" width="4.7109375" style="82" customWidth="1"/>
    <col min="61" max="65" width="4.7109375" style="55" customWidth="1"/>
    <col min="66" max="67" width="9.28515625" style="54" bestFit="1" customWidth="1"/>
    <col min="68" max="68" width="9.140625" style="54" customWidth="1"/>
    <col min="69" max="16384" width="9.140625" style="54" hidden="1"/>
  </cols>
  <sheetData>
    <row r="1" spans="2:67" ht="7.5" customHeight="1" x14ac:dyDescent="0.25"/>
    <row r="2" spans="2:67" ht="78.75" customHeight="1" thickBot="1" x14ac:dyDescent="0.3"/>
    <row r="3" spans="2:67" ht="35.25" thickBot="1" x14ac:dyDescent="0.5">
      <c r="B3" s="162" t="s">
        <v>153</v>
      </c>
      <c r="C3" s="163"/>
      <c r="D3" s="163"/>
      <c r="E3" s="163"/>
      <c r="F3" s="163"/>
      <c r="G3" s="163"/>
      <c r="H3" s="163"/>
      <c r="I3" s="163"/>
      <c r="J3" s="163"/>
      <c r="K3" s="163"/>
      <c r="L3" s="163"/>
      <c r="M3" s="163"/>
      <c r="N3" s="163"/>
      <c r="O3" s="163"/>
      <c r="P3" s="163"/>
      <c r="Q3" s="163"/>
      <c r="R3" s="163"/>
      <c r="S3" s="163"/>
      <c r="T3" s="163"/>
      <c r="U3" s="163"/>
      <c r="V3" s="163"/>
      <c r="W3" s="163"/>
      <c r="X3" s="163"/>
      <c r="Y3" s="163"/>
      <c r="Z3" s="163"/>
      <c r="AA3" s="163"/>
      <c r="AB3" s="163"/>
      <c r="AC3" s="163"/>
      <c r="AD3" s="163"/>
      <c r="AE3" s="163"/>
      <c r="AF3" s="163"/>
      <c r="AG3" s="163"/>
      <c r="AH3" s="163"/>
      <c r="AI3" s="163"/>
      <c r="AJ3" s="163"/>
      <c r="AK3" s="163"/>
      <c r="AL3" s="163"/>
      <c r="AM3" s="163"/>
      <c r="AN3" s="163"/>
      <c r="AO3" s="163"/>
      <c r="AP3" s="163"/>
      <c r="AQ3" s="163"/>
      <c r="AR3" s="163"/>
      <c r="AS3" s="163"/>
      <c r="AT3" s="163"/>
      <c r="AU3" s="163"/>
      <c r="AV3" s="163"/>
      <c r="AW3" s="163"/>
      <c r="AX3" s="163"/>
      <c r="AY3" s="163"/>
      <c r="AZ3" s="163"/>
      <c r="BA3" s="163"/>
      <c r="BB3" s="163"/>
      <c r="BC3" s="163"/>
      <c r="BD3" s="163"/>
      <c r="BE3" s="163"/>
      <c r="BF3" s="163"/>
      <c r="BG3" s="163"/>
      <c r="BH3" s="163"/>
      <c r="BI3" s="163"/>
      <c r="BJ3" s="163"/>
      <c r="BK3" s="163"/>
      <c r="BL3" s="163"/>
      <c r="BM3" s="163"/>
      <c r="BN3" s="163"/>
      <c r="BO3" s="164"/>
    </row>
    <row r="4" spans="2:67" ht="6" customHeight="1" x14ac:dyDescent="0.25"/>
    <row r="5" spans="2:67" ht="25.5" customHeight="1" x14ac:dyDescent="0.25">
      <c r="B5" s="165" t="s">
        <v>27</v>
      </c>
      <c r="C5" s="165" t="s">
        <v>88</v>
      </c>
      <c r="D5" s="165" t="s">
        <v>29</v>
      </c>
      <c r="E5" s="165" t="s">
        <v>30</v>
      </c>
      <c r="F5" s="172" t="s">
        <v>154</v>
      </c>
      <c r="G5" s="173"/>
      <c r="H5" s="173"/>
      <c r="I5" s="173"/>
      <c r="J5" s="173"/>
      <c r="K5" s="173"/>
      <c r="L5" s="173"/>
      <c r="M5" s="173"/>
      <c r="N5" s="173"/>
      <c r="O5" s="173"/>
      <c r="P5" s="173"/>
      <c r="Q5" s="173"/>
      <c r="R5" s="173"/>
      <c r="S5" s="173"/>
      <c r="T5" s="173"/>
      <c r="U5" s="173"/>
      <c r="V5" s="173"/>
      <c r="W5" s="173"/>
      <c r="X5" s="173"/>
      <c r="Y5" s="173"/>
      <c r="Z5" s="89"/>
      <c r="AA5" s="173" t="s">
        <v>193</v>
      </c>
      <c r="AB5" s="173"/>
      <c r="AC5" s="173"/>
      <c r="AD5" s="173"/>
      <c r="AE5" s="173"/>
      <c r="AF5" s="173"/>
      <c r="AG5" s="173"/>
      <c r="AH5" s="173"/>
      <c r="AI5" s="173"/>
      <c r="AJ5" s="173"/>
      <c r="AK5" s="173"/>
      <c r="AL5" s="173"/>
      <c r="AM5" s="173"/>
      <c r="AN5" s="173"/>
      <c r="AO5" s="173"/>
      <c r="AP5" s="173"/>
      <c r="AQ5" s="173"/>
      <c r="AR5" s="173"/>
      <c r="AS5" s="173"/>
      <c r="AT5" s="173"/>
      <c r="AU5" s="173"/>
      <c r="AV5" s="173"/>
      <c r="AW5" s="173"/>
      <c r="AX5" s="173"/>
      <c r="AY5" s="89"/>
      <c r="AZ5" s="173" t="s">
        <v>194</v>
      </c>
      <c r="BA5" s="173"/>
      <c r="BB5" s="173"/>
      <c r="BC5" s="173"/>
      <c r="BD5" s="89"/>
      <c r="BE5" s="173" t="s">
        <v>202</v>
      </c>
      <c r="BF5" s="173"/>
      <c r="BG5" s="173"/>
      <c r="BH5" s="89"/>
      <c r="BI5" s="87"/>
      <c r="BJ5" s="87"/>
      <c r="BK5" s="87"/>
      <c r="BL5" s="87"/>
      <c r="BM5" s="88"/>
      <c r="BN5" s="168"/>
      <c r="BO5" s="170"/>
    </row>
    <row r="6" spans="2:67" ht="98.25" customHeight="1" x14ac:dyDescent="0.25">
      <c r="B6" s="166"/>
      <c r="C6" s="166"/>
      <c r="D6" s="166"/>
      <c r="E6" s="166"/>
      <c r="F6" s="174" t="s">
        <v>148</v>
      </c>
      <c r="G6" s="175"/>
      <c r="H6" s="175"/>
      <c r="I6" s="176"/>
      <c r="J6" s="177" t="s">
        <v>149</v>
      </c>
      <c r="K6" s="178"/>
      <c r="L6" s="178"/>
      <c r="M6" s="179"/>
      <c r="N6" s="177" t="s">
        <v>150</v>
      </c>
      <c r="O6" s="178"/>
      <c r="P6" s="178"/>
      <c r="Q6" s="179"/>
      <c r="R6" s="177" t="s">
        <v>151</v>
      </c>
      <c r="S6" s="178"/>
      <c r="T6" s="178"/>
      <c r="U6" s="179"/>
      <c r="V6" s="177" t="s">
        <v>152</v>
      </c>
      <c r="W6" s="178"/>
      <c r="X6" s="178"/>
      <c r="Y6" s="179"/>
      <c r="Z6" s="83"/>
      <c r="AA6" s="180" t="s">
        <v>157</v>
      </c>
      <c r="AB6" s="181"/>
      <c r="AC6" s="182"/>
      <c r="AD6" s="180" t="s">
        <v>159</v>
      </c>
      <c r="AE6" s="181"/>
      <c r="AF6" s="182"/>
      <c r="AG6" s="180" t="s">
        <v>167</v>
      </c>
      <c r="AH6" s="181"/>
      <c r="AI6" s="182"/>
      <c r="AJ6" s="180" t="s">
        <v>168</v>
      </c>
      <c r="AK6" s="181"/>
      <c r="AL6" s="182"/>
      <c r="AM6" s="180" t="s">
        <v>169</v>
      </c>
      <c r="AN6" s="181"/>
      <c r="AO6" s="182"/>
      <c r="AP6" s="180" t="s">
        <v>160</v>
      </c>
      <c r="AQ6" s="181"/>
      <c r="AR6" s="182"/>
      <c r="AS6" s="180" t="s">
        <v>158</v>
      </c>
      <c r="AT6" s="181"/>
      <c r="AU6" s="182"/>
      <c r="AV6" s="180" t="s">
        <v>201</v>
      </c>
      <c r="AW6" s="181"/>
      <c r="AX6" s="182"/>
      <c r="AY6" s="106"/>
      <c r="AZ6" s="107" t="s">
        <v>195</v>
      </c>
      <c r="BA6" s="107" t="s">
        <v>184</v>
      </c>
      <c r="BB6" s="108" t="s">
        <v>185</v>
      </c>
      <c r="BC6" s="107" t="s">
        <v>186</v>
      </c>
      <c r="BD6" s="83"/>
      <c r="BE6" s="80" t="s">
        <v>204</v>
      </c>
      <c r="BF6" s="80" t="s">
        <v>205</v>
      </c>
      <c r="BG6" s="80" t="s">
        <v>203</v>
      </c>
      <c r="BH6" s="83"/>
      <c r="BI6" s="80"/>
      <c r="BJ6" s="80"/>
      <c r="BK6" s="80"/>
      <c r="BL6" s="80"/>
      <c r="BM6" s="80"/>
      <c r="BN6" s="169"/>
      <c r="BO6" s="171"/>
    </row>
    <row r="7" spans="2:67" ht="24" customHeight="1" x14ac:dyDescent="0.25">
      <c r="B7" s="167"/>
      <c r="C7" s="167"/>
      <c r="D7" s="167"/>
      <c r="E7" s="167"/>
      <c r="F7" s="59" t="s">
        <v>145</v>
      </c>
      <c r="G7" s="59" t="s">
        <v>146</v>
      </c>
      <c r="H7" s="59" t="s">
        <v>189</v>
      </c>
      <c r="I7" s="81" t="s">
        <v>147</v>
      </c>
      <c r="J7" s="59" t="s">
        <v>145</v>
      </c>
      <c r="K7" s="59" t="s">
        <v>96</v>
      </c>
      <c r="L7" s="59" t="s">
        <v>146</v>
      </c>
      <c r="M7" s="81" t="s">
        <v>147</v>
      </c>
      <c r="N7" s="59" t="s">
        <v>145</v>
      </c>
      <c r="O7" s="59" t="s">
        <v>96</v>
      </c>
      <c r="P7" s="59" t="s">
        <v>146</v>
      </c>
      <c r="Q7" s="81" t="s">
        <v>147</v>
      </c>
      <c r="R7" s="59" t="s">
        <v>145</v>
      </c>
      <c r="S7" s="59" t="s">
        <v>96</v>
      </c>
      <c r="T7" s="59" t="s">
        <v>146</v>
      </c>
      <c r="U7" s="81" t="s">
        <v>147</v>
      </c>
      <c r="V7" s="59" t="s">
        <v>145</v>
      </c>
      <c r="W7" s="59" t="s">
        <v>96</v>
      </c>
      <c r="X7" s="59" t="s">
        <v>146</v>
      </c>
      <c r="Y7" s="81" t="s">
        <v>147</v>
      </c>
      <c r="Z7" s="84" t="s">
        <v>98</v>
      </c>
      <c r="AA7" s="59" t="s">
        <v>138</v>
      </c>
      <c r="AB7" s="59" t="s">
        <v>199</v>
      </c>
      <c r="AC7" s="59" t="s">
        <v>200</v>
      </c>
      <c r="AD7" s="59" t="s">
        <v>138</v>
      </c>
      <c r="AE7" s="59" t="s">
        <v>199</v>
      </c>
      <c r="AF7" s="59" t="s">
        <v>200</v>
      </c>
      <c r="AG7" s="59" t="s">
        <v>138</v>
      </c>
      <c r="AH7" s="59" t="s">
        <v>199</v>
      </c>
      <c r="AI7" s="59" t="s">
        <v>200</v>
      </c>
      <c r="AJ7" s="59" t="s">
        <v>138</v>
      </c>
      <c r="AK7" s="59" t="s">
        <v>199</v>
      </c>
      <c r="AL7" s="59" t="s">
        <v>200</v>
      </c>
      <c r="AM7" s="59" t="s">
        <v>138</v>
      </c>
      <c r="AN7" s="59" t="s">
        <v>199</v>
      </c>
      <c r="AO7" s="59" t="s">
        <v>200</v>
      </c>
      <c r="AP7" s="59" t="s">
        <v>138</v>
      </c>
      <c r="AQ7" s="59" t="s">
        <v>199</v>
      </c>
      <c r="AR7" s="59" t="s">
        <v>200</v>
      </c>
      <c r="AS7" s="59" t="s">
        <v>138</v>
      </c>
      <c r="AT7" s="59" t="s">
        <v>199</v>
      </c>
      <c r="AU7" s="59" t="s">
        <v>200</v>
      </c>
      <c r="AV7" s="59" t="s">
        <v>138</v>
      </c>
      <c r="AW7" s="59" t="s">
        <v>199</v>
      </c>
      <c r="AX7" s="59" t="s">
        <v>200</v>
      </c>
      <c r="AY7" s="84" t="s">
        <v>96</v>
      </c>
      <c r="AZ7" s="59" t="s">
        <v>196</v>
      </c>
      <c r="BA7" s="59" t="s">
        <v>197</v>
      </c>
      <c r="BB7" s="59" t="s">
        <v>96</v>
      </c>
      <c r="BC7" s="59" t="s">
        <v>97</v>
      </c>
      <c r="BD7" s="84" t="s">
        <v>98</v>
      </c>
      <c r="BE7" s="59" t="s">
        <v>146</v>
      </c>
      <c r="BF7" s="59" t="s">
        <v>206</v>
      </c>
      <c r="BG7" s="59" t="s">
        <v>136</v>
      </c>
      <c r="BH7" s="84" t="s">
        <v>96</v>
      </c>
      <c r="BI7" s="59" t="s">
        <v>97</v>
      </c>
      <c r="BJ7" s="59" t="s">
        <v>98</v>
      </c>
      <c r="BK7" s="59" t="s">
        <v>96</v>
      </c>
      <c r="BL7" s="59" t="s">
        <v>97</v>
      </c>
      <c r="BM7" s="59" t="s">
        <v>98</v>
      </c>
      <c r="BN7" s="60"/>
      <c r="BO7" s="61"/>
    </row>
    <row r="8" spans="2:67" ht="15.75" x14ac:dyDescent="0.25">
      <c r="B8" s="62">
        <v>1</v>
      </c>
      <c r="C8" s="62">
        <v>2</v>
      </c>
      <c r="D8" s="62">
        <v>3</v>
      </c>
      <c r="E8" s="62">
        <v>4</v>
      </c>
      <c r="F8" s="62">
        <v>5</v>
      </c>
      <c r="G8" s="62">
        <v>6</v>
      </c>
      <c r="H8" s="62">
        <v>7</v>
      </c>
      <c r="I8" s="62">
        <v>8</v>
      </c>
      <c r="J8" s="62">
        <v>9</v>
      </c>
      <c r="K8" s="62">
        <v>10</v>
      </c>
      <c r="L8" s="62">
        <v>11</v>
      </c>
      <c r="M8" s="62">
        <v>12</v>
      </c>
      <c r="N8" s="62">
        <v>13</v>
      </c>
      <c r="O8" s="62">
        <v>14</v>
      </c>
      <c r="P8" s="62">
        <v>15</v>
      </c>
      <c r="Q8" s="62">
        <v>16</v>
      </c>
      <c r="R8" s="62">
        <v>17</v>
      </c>
      <c r="S8" s="62">
        <v>18</v>
      </c>
      <c r="T8" s="62">
        <v>19</v>
      </c>
      <c r="U8" s="62">
        <v>20</v>
      </c>
      <c r="V8" s="62">
        <v>21</v>
      </c>
      <c r="W8" s="62">
        <v>22</v>
      </c>
      <c r="X8" s="62">
        <v>23</v>
      </c>
      <c r="Y8" s="62">
        <v>24</v>
      </c>
      <c r="Z8" s="85">
        <v>25</v>
      </c>
      <c r="AA8" s="62">
        <v>26</v>
      </c>
      <c r="AB8" s="62">
        <v>27</v>
      </c>
      <c r="AC8" s="62">
        <v>28</v>
      </c>
      <c r="AD8" s="62">
        <v>29</v>
      </c>
      <c r="AE8" s="62">
        <v>30</v>
      </c>
      <c r="AF8" s="62">
        <v>31</v>
      </c>
      <c r="AG8" s="62">
        <v>32</v>
      </c>
      <c r="AH8" s="62">
        <v>33</v>
      </c>
      <c r="AI8" s="62">
        <v>34</v>
      </c>
      <c r="AJ8" s="62">
        <v>35</v>
      </c>
      <c r="AK8" s="62">
        <v>36</v>
      </c>
      <c r="AL8" s="62">
        <v>37</v>
      </c>
      <c r="AM8" s="62">
        <v>38</v>
      </c>
      <c r="AN8" s="62">
        <v>39</v>
      </c>
      <c r="AO8" s="62">
        <v>40</v>
      </c>
      <c r="AP8" s="62">
        <v>41</v>
      </c>
      <c r="AQ8" s="62">
        <v>42</v>
      </c>
      <c r="AR8" s="62">
        <v>43</v>
      </c>
      <c r="AS8" s="62">
        <v>44</v>
      </c>
      <c r="AT8" s="62">
        <v>45</v>
      </c>
      <c r="AU8" s="62">
        <v>46</v>
      </c>
      <c r="AV8" s="62">
        <v>47</v>
      </c>
      <c r="AW8" s="62">
        <v>48</v>
      </c>
      <c r="AX8" s="62">
        <v>49</v>
      </c>
      <c r="AY8" s="85">
        <v>50</v>
      </c>
      <c r="AZ8" s="62">
        <v>51</v>
      </c>
      <c r="BA8" s="62">
        <v>52</v>
      </c>
      <c r="BB8" s="62">
        <v>53</v>
      </c>
      <c r="BC8" s="62">
        <v>54</v>
      </c>
      <c r="BD8" s="85">
        <v>55</v>
      </c>
      <c r="BE8" s="62">
        <v>56</v>
      </c>
      <c r="BF8" s="62">
        <v>57</v>
      </c>
      <c r="BG8" s="62">
        <v>58</v>
      </c>
      <c r="BH8" s="85">
        <v>59</v>
      </c>
      <c r="BI8" s="62">
        <v>60</v>
      </c>
      <c r="BJ8" s="62">
        <v>61</v>
      </c>
      <c r="BK8" s="62">
        <v>62</v>
      </c>
      <c r="BL8" s="62">
        <v>63</v>
      </c>
      <c r="BM8" s="62">
        <v>64</v>
      </c>
      <c r="BN8" s="62">
        <v>65</v>
      </c>
      <c r="BO8" s="62">
        <v>66</v>
      </c>
    </row>
    <row r="9" spans="2:67" ht="63" x14ac:dyDescent="0.25">
      <c r="B9" s="63">
        <v>1</v>
      </c>
      <c r="C9" s="64" t="str">
        <f>NOMINATIF!C6</f>
        <v>AFMALA INSAN QOIRUNISA</v>
      </c>
      <c r="D9" s="65">
        <f>NOMINATIF!D6</f>
        <v>4020</v>
      </c>
      <c r="E9" s="65" t="str">
        <f>NOMINATIF!E6</f>
        <v>0059023845</v>
      </c>
      <c r="F9" s="53"/>
      <c r="G9" s="53"/>
      <c r="H9" s="53"/>
      <c r="I9" s="53" t="str">
        <f xml:space="preserve"> "Ananda " &amp; C9 &amp; " " &amp; IF(F9="",IF(G9="",IF(H9="","","Sering"),"Pernah"),"Tidak Pernah") &amp; " menunjukkan ketekunan di dalam mengerjakan pekerjaan, baik di sekolah maupun di rumah."</f>
        <v>Ananda AFMALA INSAN QOIRUNISA  menunjukkan ketekunan di dalam mengerjakan pekerjaan, baik di sekolah maupun di rumah.</v>
      </c>
      <c r="J9" s="53"/>
      <c r="K9" s="53"/>
      <c r="L9" s="53"/>
      <c r="M9" s="53" t="str">
        <f xml:space="preserve"> "Ananda " &amp; C9 &amp; " " &amp; IF(J9="",IF(K9="",IF(L9="","","Sering"),"Pernah"),"Tidak Pernah") &amp; " menunjukkan ketekunan di dalam mengerjakan pekerjaan, baik di sekolah maupun di  rumah."</f>
        <v>Ananda AFMALA INSAN QOIRUNISA  menunjukkan ketekunan di dalam mengerjakan pekerjaan, baik di sekolah maupun di  rumah.</v>
      </c>
      <c r="N9" s="53"/>
      <c r="O9" s="53"/>
      <c r="P9" s="53"/>
      <c r="Q9" s="53" t="str">
        <f xml:space="preserve"> "Ananda " &amp; C9 &amp; " " &amp; IF(N9="",IF(O9="",IF(P9="","","Sering"),"Pernah"),"Tidak Pernah") &amp; " menunjukkan ketekunan di dalam mengerjakan pekerjaan, baik di sekolah maupun di rumah."</f>
        <v>Ananda AFMALA INSAN QOIRUNISA  menunjukkan ketekunan di dalam mengerjakan pekerjaan, baik di sekolah maupun di rumah.</v>
      </c>
      <c r="R9" s="53"/>
      <c r="S9" s="53"/>
      <c r="T9" s="53"/>
      <c r="U9" s="53" t="str">
        <f xml:space="preserve"> "Ananda " &amp; C9 &amp; " " &amp; IF(R9="",IF(S9="",IF(T9="","","Sering"),"Pernah"),"Tidak Pernah") &amp; " menunjukkan ketekunan di dalam mengerjakan pekerjaan, baik di sekolah maupun di rumah."</f>
        <v>Ananda AFMALA INSAN QOIRUNISA  menunjukkan ketekunan di dalam mengerjakan pekerjaan, baik di sekolah maupun di rumah.</v>
      </c>
      <c r="V9" s="53"/>
      <c r="W9" s="53"/>
      <c r="X9" s="53"/>
      <c r="Y9" s="53" t="str">
        <f xml:space="preserve"> "Ananda " &amp; C9 &amp; " " &amp; IF(V9="",IF(W9="",IF(X9="","","Sering"),"Pernah"),"Tidak Pernah") &amp; " menunjukkan ketekunan di dalam mengerjakan pekerjaan, baik di sekolah maupun di rumah."</f>
        <v>Ananda AFMALA INSAN QOIRUNISA  menunjukkan ketekunan di dalam mengerjakan pekerjaan, baik di sekolah maupun di rumah.</v>
      </c>
      <c r="Z9" s="86"/>
      <c r="AA9" s="53"/>
      <c r="AB9" s="53"/>
      <c r="AC9" s="53"/>
      <c r="AD9" s="53"/>
      <c r="AE9" s="53"/>
      <c r="AF9" s="53"/>
      <c r="AG9" s="53"/>
      <c r="AH9" s="53"/>
      <c r="AI9" s="53"/>
      <c r="AJ9" s="53"/>
      <c r="AK9" s="53"/>
      <c r="AL9" s="53"/>
      <c r="AM9" s="53"/>
      <c r="AN9" s="53"/>
      <c r="AO9" s="53"/>
      <c r="AP9" s="53"/>
      <c r="AQ9" s="53"/>
      <c r="AR9" s="53"/>
      <c r="AS9" s="53" t="s">
        <v>136</v>
      </c>
      <c r="AT9" s="53" t="s">
        <v>231</v>
      </c>
      <c r="AU9" s="53"/>
      <c r="AV9" s="53"/>
      <c r="AW9" s="53"/>
      <c r="AX9" s="53"/>
      <c r="AY9" s="86"/>
      <c r="AZ9" s="53"/>
      <c r="BA9" s="53"/>
      <c r="BB9" s="53"/>
      <c r="BC9" s="53"/>
      <c r="BD9" s="86"/>
      <c r="BE9" s="53">
        <v>0</v>
      </c>
      <c r="BF9" s="53">
        <v>1</v>
      </c>
      <c r="BG9" s="53">
        <v>0</v>
      </c>
      <c r="BH9" s="86"/>
      <c r="BI9" s="53"/>
      <c r="BJ9" s="53"/>
      <c r="BK9" s="53"/>
      <c r="BL9" s="53"/>
      <c r="BM9" s="53"/>
      <c r="BN9" s="67"/>
      <c r="BO9" s="68"/>
    </row>
    <row r="10" spans="2:67" ht="15.75" x14ac:dyDescent="0.25">
      <c r="B10" s="63">
        <v>2</v>
      </c>
      <c r="C10" s="64" t="str">
        <f>NOMINATIF!C7</f>
        <v>Bella Febriyan</v>
      </c>
      <c r="D10" s="65">
        <f>NOMINATIF!D7</f>
        <v>4044</v>
      </c>
      <c r="E10" s="65" t="str">
        <f>NOMINATIF!E7</f>
        <v>0063121607</v>
      </c>
      <c r="F10" s="53"/>
      <c r="G10" s="53"/>
      <c r="H10" s="53"/>
      <c r="I10" s="53" t="str">
        <f t="shared" ref="I10:I43" si="0" xml:space="preserve"> "Ananda " &amp; C10 &amp; " " &amp; IF(F10="",IF(G10="",IF(H10="","","Sering"),"Pernah"),"Tidak Pernah") &amp; " menunjukkan ketekunan di dalam mengerjakan pekerjaan, baik di sekolah maupun di rumah."</f>
        <v>Ananda Bella Febriyan  menunjukkan ketekunan di dalam mengerjakan pekerjaan, baik di sekolah maupun di rumah.</v>
      </c>
      <c r="J10" s="53"/>
      <c r="K10" s="53"/>
      <c r="L10" s="53"/>
      <c r="M10" s="53" t="str">
        <f t="shared" ref="M10:M43" si="1" xml:space="preserve"> "Ananda " &amp; C10 &amp; " " &amp; IF(J10="",IF(K10="",IF(L10="","","Sering"),"Pernah"),"Tidak Pernah") &amp; " menunjukkan ketekunan di dalam mengerjakan pekerjaan, baik di sekolah maupun di  rumah."</f>
        <v>Ananda Bella Febriyan  menunjukkan ketekunan di dalam mengerjakan pekerjaan, baik di sekolah maupun di  rumah.</v>
      </c>
      <c r="N10" s="53"/>
      <c r="O10" s="53"/>
      <c r="P10" s="53"/>
      <c r="Q10" s="53" t="str">
        <f t="shared" ref="Q10:Q43" si="2" xml:space="preserve"> "Ananda " &amp; C10 &amp; " " &amp; IF(N10="",IF(O10="",IF(P10="","","Sering"),"Pernah"),"Tidak Pernah") &amp; " menunjukkan ketekunan di dalam mengerjakan pekerjaan, baik di sekolah maupun di rumah."</f>
        <v>Ananda Bella Febriyan  menunjukkan ketekunan di dalam mengerjakan pekerjaan, baik di sekolah maupun di rumah.</v>
      </c>
      <c r="R10" s="53"/>
      <c r="S10" s="53"/>
      <c r="T10" s="53"/>
      <c r="U10" s="53" t="str">
        <f t="shared" ref="U10:U43" si="3" xml:space="preserve"> "Ananda " &amp; C10 &amp; " " &amp; IF(R10="",IF(S10="",IF(T10="","","Sering"),"Pernah"),"Tidak Pernah") &amp; " menunjukkan ketekunan di dalam mengerjakan pekerjaan, baik di sekolah maupun di rumah."</f>
        <v>Ananda Bella Febriyan  menunjukkan ketekunan di dalam mengerjakan pekerjaan, baik di sekolah maupun di rumah.</v>
      </c>
      <c r="V10" s="53"/>
      <c r="W10" s="53"/>
      <c r="X10" s="53"/>
      <c r="Y10" s="53" t="str">
        <f t="shared" ref="Y10:Y43" si="4" xml:space="preserve"> "Ananda " &amp; C10 &amp; " " &amp; IF(V10="",IF(W10="",IF(X10="","","Sering"),"Pernah"),"Tidak Pernah") &amp; " menunjukkan ketekunan di dalam mengerjakan pekerjaan, baik di sekolah maupun di rumah."</f>
        <v>Ananda Bella Febriyan  menunjukkan ketekunan di dalam mengerjakan pekerjaan, baik di sekolah maupun di rumah.</v>
      </c>
      <c r="Z10" s="86"/>
      <c r="AA10" s="53"/>
      <c r="AB10" s="53"/>
      <c r="AC10" s="53"/>
      <c r="AD10" s="53"/>
      <c r="AE10" s="53"/>
      <c r="AF10" s="53"/>
      <c r="AG10" s="53"/>
      <c r="AH10" s="53"/>
      <c r="AI10" s="53"/>
      <c r="AJ10" s="53"/>
      <c r="AK10" s="53"/>
      <c r="AL10" s="53"/>
      <c r="AM10" s="53"/>
      <c r="AN10" s="53"/>
      <c r="AO10" s="53"/>
      <c r="AP10" s="53"/>
      <c r="AQ10" s="53"/>
      <c r="AR10" s="53"/>
      <c r="AS10" s="53"/>
      <c r="AT10" s="53"/>
      <c r="AU10" s="53"/>
      <c r="AV10" s="53"/>
      <c r="AW10" s="53"/>
      <c r="AX10" s="53"/>
      <c r="AY10" s="86"/>
      <c r="AZ10" s="53"/>
      <c r="BA10" s="53"/>
      <c r="BB10" s="53"/>
      <c r="BC10" s="53"/>
      <c r="BD10" s="86"/>
      <c r="BE10" s="53">
        <v>2</v>
      </c>
      <c r="BF10" s="53">
        <v>2</v>
      </c>
      <c r="BG10" s="53">
        <v>0</v>
      </c>
      <c r="BH10" s="86"/>
      <c r="BI10" s="53"/>
      <c r="BJ10" s="53"/>
      <c r="BK10" s="53"/>
      <c r="BL10" s="53"/>
      <c r="BM10" s="53"/>
      <c r="BN10" s="67"/>
      <c r="BO10" s="68"/>
    </row>
    <row r="11" spans="2:67" ht="58.5" customHeight="1" x14ac:dyDescent="0.25">
      <c r="B11" s="63">
        <v>3</v>
      </c>
      <c r="C11" s="64" t="str">
        <f>NOMINATIF!C8</f>
        <v>CHINTIA WIDYA PUTRI</v>
      </c>
      <c r="D11" s="65">
        <f>NOMINATIF!D8</f>
        <v>4024</v>
      </c>
      <c r="E11" s="65" t="str">
        <f>NOMINATIF!E8</f>
        <v>0064862293</v>
      </c>
      <c r="F11" s="53"/>
      <c r="G11" s="53"/>
      <c r="H11" s="53"/>
      <c r="I11" s="53" t="s">
        <v>221</v>
      </c>
      <c r="J11" s="53"/>
      <c r="K11" s="53"/>
      <c r="L11" s="53"/>
      <c r="M11" s="53" t="str">
        <f t="shared" si="1"/>
        <v>Ananda CHINTIA WIDYA PUTRI  menunjukkan ketekunan di dalam mengerjakan pekerjaan, baik di sekolah maupun di  rumah.</v>
      </c>
      <c r="N11" s="53"/>
      <c r="O11" s="53"/>
      <c r="P11" s="53"/>
      <c r="Q11" s="53" t="str">
        <f t="shared" si="2"/>
        <v>Ananda CHINTIA WIDYA PUTRI  menunjukkan ketekunan di dalam mengerjakan pekerjaan, baik di sekolah maupun di rumah.</v>
      </c>
      <c r="R11" s="53"/>
      <c r="S11" s="53"/>
      <c r="T11" s="53"/>
      <c r="U11" s="53" t="str">
        <f t="shared" si="3"/>
        <v>Ananda CHINTIA WIDYA PUTRI  menunjukkan ketekunan di dalam mengerjakan pekerjaan, baik di sekolah maupun di rumah.</v>
      </c>
      <c r="V11" s="53"/>
      <c r="W11" s="53"/>
      <c r="X11" s="53"/>
      <c r="Y11" s="53" t="str">
        <f t="shared" si="4"/>
        <v>Ananda CHINTIA WIDYA PUTRI  menunjukkan ketekunan di dalam mengerjakan pekerjaan, baik di sekolah maupun di rumah.</v>
      </c>
      <c r="Z11" s="86"/>
      <c r="AA11" s="53"/>
      <c r="AB11" s="53"/>
      <c r="AC11" s="53"/>
      <c r="AD11" s="53"/>
      <c r="AE11" s="53"/>
      <c r="AF11" s="53"/>
      <c r="AG11" s="53"/>
      <c r="AH11" s="53"/>
      <c r="AI11" s="53"/>
      <c r="AJ11" s="53"/>
      <c r="AK11" s="53"/>
      <c r="AL11" s="53"/>
      <c r="AM11" s="53"/>
      <c r="AN11" s="53"/>
      <c r="AO11" s="53"/>
      <c r="AP11" s="53"/>
      <c r="AQ11" s="53"/>
      <c r="AR11" s="53"/>
      <c r="AS11" s="53" t="s">
        <v>136</v>
      </c>
      <c r="AT11" s="53" t="s">
        <v>232</v>
      </c>
      <c r="AU11" s="53"/>
      <c r="AV11" s="53"/>
      <c r="AW11" s="53"/>
      <c r="AX11" s="53"/>
      <c r="AY11" s="86"/>
      <c r="AZ11" s="53"/>
      <c r="BA11" s="53"/>
      <c r="BB11" s="53"/>
      <c r="BC11" s="53"/>
      <c r="BD11" s="86"/>
      <c r="BE11" s="53">
        <v>1</v>
      </c>
      <c r="BF11" s="53">
        <v>1</v>
      </c>
      <c r="BG11" s="53">
        <v>0</v>
      </c>
      <c r="BH11" s="86"/>
      <c r="BI11" s="53"/>
      <c r="BJ11" s="53"/>
      <c r="BK11" s="53"/>
      <c r="BL11" s="53"/>
      <c r="BM11" s="53"/>
      <c r="BN11" s="67"/>
      <c r="BO11" s="68"/>
    </row>
    <row r="12" spans="2:67" ht="60.75" customHeight="1" x14ac:dyDescent="0.25">
      <c r="B12" s="63">
        <v>4</v>
      </c>
      <c r="C12" s="64" t="str">
        <f>NOMINATIF!C9</f>
        <v>DAVINA AZAHRA</v>
      </c>
      <c r="D12" s="65">
        <f>NOMINATIF!D9</f>
        <v>4048</v>
      </c>
      <c r="E12" s="65" t="str">
        <f>NOMINATIF!E9</f>
        <v>0063299654</v>
      </c>
      <c r="F12" s="53"/>
      <c r="G12" s="53"/>
      <c r="H12" s="53"/>
      <c r="I12" s="53" t="str">
        <f t="shared" si="0"/>
        <v>Ananda DAVINA AZAHRA  menunjukkan ketekunan di dalam mengerjakan pekerjaan, baik di sekolah maupun di rumah.</v>
      </c>
      <c r="J12" s="53"/>
      <c r="K12" s="53"/>
      <c r="L12" s="53"/>
      <c r="M12" s="53" t="str">
        <f t="shared" si="1"/>
        <v>Ananda DAVINA AZAHRA  menunjukkan ketekunan di dalam mengerjakan pekerjaan, baik di sekolah maupun di  rumah.</v>
      </c>
      <c r="N12" s="53"/>
      <c r="O12" s="53"/>
      <c r="P12" s="53"/>
      <c r="Q12" s="53" t="str">
        <f t="shared" si="2"/>
        <v>Ananda DAVINA AZAHRA  menunjukkan ketekunan di dalam mengerjakan pekerjaan, baik di sekolah maupun di rumah.</v>
      </c>
      <c r="R12" s="53"/>
      <c r="S12" s="53"/>
      <c r="T12" s="53"/>
      <c r="U12" s="53" t="str">
        <f t="shared" si="3"/>
        <v>Ananda DAVINA AZAHRA  menunjukkan ketekunan di dalam mengerjakan pekerjaan, baik di sekolah maupun di rumah.</v>
      </c>
      <c r="V12" s="53"/>
      <c r="W12" s="53"/>
      <c r="X12" s="53"/>
      <c r="Y12" s="53" t="str">
        <f t="shared" si="4"/>
        <v>Ananda DAVINA AZAHRA  menunjukkan ketekunan di dalam mengerjakan pekerjaan, baik di sekolah maupun di rumah.</v>
      </c>
      <c r="Z12" s="86"/>
      <c r="AA12" s="53"/>
      <c r="AB12" s="53"/>
      <c r="AC12" s="53"/>
      <c r="AD12" s="53"/>
      <c r="AE12" s="53"/>
      <c r="AF12" s="53"/>
      <c r="AG12" s="53"/>
      <c r="AH12" s="53"/>
      <c r="AI12" s="53"/>
      <c r="AJ12" s="53"/>
      <c r="AK12" s="53"/>
      <c r="AL12" s="53"/>
      <c r="AM12" s="53"/>
      <c r="AN12" s="53"/>
      <c r="AO12" s="53"/>
      <c r="AP12" s="53"/>
      <c r="AQ12" s="53"/>
      <c r="AR12" s="53"/>
      <c r="AS12" s="53" t="s">
        <v>136</v>
      </c>
      <c r="AT12" s="53" t="s">
        <v>227</v>
      </c>
      <c r="AU12" s="53"/>
      <c r="AV12" s="53"/>
      <c r="AW12" s="53"/>
      <c r="AX12" s="53"/>
      <c r="AY12" s="86"/>
      <c r="AZ12" s="53"/>
      <c r="BA12" s="53"/>
      <c r="BB12" s="53"/>
      <c r="BC12" s="53"/>
      <c r="BD12" s="86"/>
      <c r="BE12" s="53">
        <v>5</v>
      </c>
      <c r="BF12" s="53">
        <v>0</v>
      </c>
      <c r="BG12" s="53">
        <v>0</v>
      </c>
      <c r="BH12" s="86"/>
      <c r="BI12" s="53"/>
      <c r="BJ12" s="53"/>
      <c r="BK12" s="53"/>
      <c r="BL12" s="53"/>
      <c r="BM12" s="53"/>
      <c r="BN12" s="67"/>
      <c r="BO12" s="68"/>
    </row>
    <row r="13" spans="2:67" ht="47.25" x14ac:dyDescent="0.25">
      <c r="B13" s="63">
        <v>5</v>
      </c>
      <c r="C13" s="64" t="str">
        <f>NOMINATIF!C10</f>
        <v>DELIA TRI ASTUTI</v>
      </c>
      <c r="D13" s="65">
        <f>NOMINATIF!D10</f>
        <v>4049</v>
      </c>
      <c r="E13" s="65" t="str">
        <f>NOMINATIF!E10</f>
        <v>0051684703</v>
      </c>
      <c r="F13" s="53"/>
      <c r="G13" s="53"/>
      <c r="H13" s="53"/>
      <c r="I13" s="53" t="str">
        <f t="shared" si="0"/>
        <v>Ananda DELIA TRI ASTUTI  menunjukkan ketekunan di dalam mengerjakan pekerjaan, baik di sekolah maupun di rumah.</v>
      </c>
      <c r="J13" s="53"/>
      <c r="K13" s="53"/>
      <c r="L13" s="53"/>
      <c r="M13" s="53" t="str">
        <f t="shared" si="1"/>
        <v>Ananda DELIA TRI ASTUTI  menunjukkan ketekunan di dalam mengerjakan pekerjaan, baik di sekolah maupun di  rumah.</v>
      </c>
      <c r="N13" s="53"/>
      <c r="O13" s="53"/>
      <c r="P13" s="53"/>
      <c r="Q13" s="53" t="str">
        <f t="shared" si="2"/>
        <v>Ananda DELIA TRI ASTUTI  menunjukkan ketekunan di dalam mengerjakan pekerjaan, baik di sekolah maupun di rumah.</v>
      </c>
      <c r="R13" s="53"/>
      <c r="S13" s="53"/>
      <c r="T13" s="53"/>
      <c r="U13" s="53" t="str">
        <f t="shared" si="3"/>
        <v>Ananda DELIA TRI ASTUTI  menunjukkan ketekunan di dalam mengerjakan pekerjaan, baik di sekolah maupun di rumah.</v>
      </c>
      <c r="V13" s="53"/>
      <c r="W13" s="53"/>
      <c r="X13" s="53"/>
      <c r="Y13" s="53" t="str">
        <f t="shared" si="4"/>
        <v>Ananda DELIA TRI ASTUTI  menunjukkan ketekunan di dalam mengerjakan pekerjaan, baik di sekolah maupun di rumah.</v>
      </c>
      <c r="Z13" s="86"/>
      <c r="AA13" s="53"/>
      <c r="AB13" s="53"/>
      <c r="AC13" s="53"/>
      <c r="AD13" s="53"/>
      <c r="AE13" s="53"/>
      <c r="AF13" s="53"/>
      <c r="AG13" s="53"/>
      <c r="AH13" s="53"/>
      <c r="AI13" s="53"/>
      <c r="AJ13" s="53"/>
      <c r="AK13" s="53"/>
      <c r="AL13" s="53"/>
      <c r="AM13" s="53" t="s">
        <v>134</v>
      </c>
      <c r="AN13" s="53" t="s">
        <v>225</v>
      </c>
      <c r="AO13" s="53"/>
      <c r="AP13" s="53"/>
      <c r="AQ13" s="53"/>
      <c r="AR13" s="53"/>
      <c r="AS13" s="53"/>
      <c r="AT13" s="53"/>
      <c r="AU13" s="53"/>
      <c r="AV13" s="53"/>
      <c r="AW13" s="53"/>
      <c r="AX13" s="53"/>
      <c r="AY13" s="86"/>
      <c r="AZ13" s="53"/>
      <c r="BA13" s="53"/>
      <c r="BB13" s="53"/>
      <c r="BC13" s="53"/>
      <c r="BD13" s="86"/>
      <c r="BE13" s="53"/>
      <c r="BF13" s="53"/>
      <c r="BG13" s="53"/>
      <c r="BH13" s="86"/>
      <c r="BI13" s="53"/>
      <c r="BJ13" s="53"/>
      <c r="BK13" s="53"/>
      <c r="BL13" s="53"/>
      <c r="BM13" s="53"/>
      <c r="BN13" s="67"/>
      <c r="BO13" s="68"/>
    </row>
    <row r="14" spans="2:67" ht="15.75" x14ac:dyDescent="0.25">
      <c r="B14" s="63">
        <v>6</v>
      </c>
      <c r="C14" s="64" t="str">
        <f>NOMINATIF!C11</f>
        <v>ELVA AYU SAPUTRI</v>
      </c>
      <c r="D14" s="65">
        <f>NOMINATIF!D11</f>
        <v>4027</v>
      </c>
      <c r="E14" s="65" t="str">
        <f>NOMINATIF!E11</f>
        <v>0067175983</v>
      </c>
      <c r="F14" s="53"/>
      <c r="G14" s="53"/>
      <c r="H14" s="53"/>
      <c r="I14" s="53" t="str">
        <f t="shared" si="0"/>
        <v>Ananda ELVA AYU SAPUTRI  menunjukkan ketekunan di dalam mengerjakan pekerjaan, baik di sekolah maupun di rumah.</v>
      </c>
      <c r="J14" s="53"/>
      <c r="K14" s="53"/>
      <c r="L14" s="53"/>
      <c r="M14" s="53" t="str">
        <f t="shared" si="1"/>
        <v>Ananda ELVA AYU SAPUTRI  menunjukkan ketekunan di dalam mengerjakan pekerjaan, baik di sekolah maupun di  rumah.</v>
      </c>
      <c r="N14" s="53"/>
      <c r="O14" s="53"/>
      <c r="P14" s="53"/>
      <c r="Q14" s="53" t="str">
        <f t="shared" si="2"/>
        <v>Ananda ELVA AYU SAPUTRI  menunjukkan ketekunan di dalam mengerjakan pekerjaan, baik di sekolah maupun di rumah.</v>
      </c>
      <c r="R14" s="53"/>
      <c r="S14" s="53"/>
      <c r="T14" s="53"/>
      <c r="U14" s="53" t="str">
        <f t="shared" si="3"/>
        <v>Ananda ELVA AYU SAPUTRI  menunjukkan ketekunan di dalam mengerjakan pekerjaan, baik di sekolah maupun di rumah.</v>
      </c>
      <c r="V14" s="53"/>
      <c r="W14" s="53"/>
      <c r="X14" s="53"/>
      <c r="Y14" s="53" t="str">
        <f t="shared" si="4"/>
        <v>Ananda ELVA AYU SAPUTRI  menunjukkan ketekunan di dalam mengerjakan pekerjaan, baik di sekolah maupun di rumah.</v>
      </c>
      <c r="Z14" s="86"/>
      <c r="AA14" s="53"/>
      <c r="AB14" s="53"/>
      <c r="AC14" s="53"/>
      <c r="AD14" s="53"/>
      <c r="AE14" s="53"/>
      <c r="AF14" s="53"/>
      <c r="AG14" s="53"/>
      <c r="AH14" s="53"/>
      <c r="AI14" s="53"/>
      <c r="AJ14" s="53"/>
      <c r="AK14" s="53"/>
      <c r="AL14" s="53"/>
      <c r="AM14" s="53"/>
      <c r="AN14" s="53"/>
      <c r="AO14" s="53"/>
      <c r="AP14" s="53"/>
      <c r="AQ14" s="53"/>
      <c r="AR14" s="53"/>
      <c r="AS14" s="53"/>
      <c r="AT14" s="53"/>
      <c r="AU14" s="53"/>
      <c r="AV14" s="53"/>
      <c r="AW14" s="53"/>
      <c r="AX14" s="53"/>
      <c r="AY14" s="86"/>
      <c r="AZ14" s="53"/>
      <c r="BA14" s="53"/>
      <c r="BB14" s="53"/>
      <c r="BC14" s="53"/>
      <c r="BD14" s="86"/>
      <c r="BE14" s="53">
        <v>3</v>
      </c>
      <c r="BF14" s="53">
        <v>0</v>
      </c>
      <c r="BG14" s="53">
        <v>0</v>
      </c>
      <c r="BH14" s="86"/>
      <c r="BI14" s="53"/>
      <c r="BJ14" s="53"/>
      <c r="BK14" s="53"/>
      <c r="BL14" s="53"/>
      <c r="BM14" s="53"/>
      <c r="BN14" s="67"/>
      <c r="BO14" s="68"/>
    </row>
    <row r="15" spans="2:67" ht="47.25" x14ac:dyDescent="0.25">
      <c r="B15" s="63">
        <v>7</v>
      </c>
      <c r="C15" s="64" t="str">
        <f>NOMINATIF!C12</f>
        <v>Irlyn May Ardhiyana</v>
      </c>
      <c r="D15" s="65">
        <f>NOMINATIF!D12</f>
        <v>4030</v>
      </c>
      <c r="E15" s="65" t="str">
        <f>NOMINATIF!E12</f>
        <v>0068161646</v>
      </c>
      <c r="F15" s="53"/>
      <c r="G15" s="53"/>
      <c r="H15" s="53"/>
      <c r="I15" s="53" t="str">
        <f t="shared" si="0"/>
        <v>Ananda Irlyn May Ardhiyana  menunjukkan ketekunan di dalam mengerjakan pekerjaan, baik di sekolah maupun di rumah.</v>
      </c>
      <c r="J15" s="53"/>
      <c r="K15" s="53"/>
      <c r="L15" s="53"/>
      <c r="M15" s="53" t="str">
        <f t="shared" si="1"/>
        <v>Ananda Irlyn May Ardhiyana  menunjukkan ketekunan di dalam mengerjakan pekerjaan, baik di sekolah maupun di  rumah.</v>
      </c>
      <c r="N15" s="53"/>
      <c r="O15" s="53"/>
      <c r="P15" s="53"/>
      <c r="Q15" s="53" t="str">
        <f t="shared" si="2"/>
        <v>Ananda Irlyn May Ardhiyana  menunjukkan ketekunan di dalam mengerjakan pekerjaan, baik di sekolah maupun di rumah.</v>
      </c>
      <c r="R15" s="53"/>
      <c r="S15" s="53"/>
      <c r="T15" s="53"/>
      <c r="U15" s="53" t="str">
        <f t="shared" si="3"/>
        <v>Ananda Irlyn May Ardhiyana  menunjukkan ketekunan di dalam mengerjakan pekerjaan, baik di sekolah maupun di rumah.</v>
      </c>
      <c r="V15" s="53"/>
      <c r="W15" s="53"/>
      <c r="X15" s="53"/>
      <c r="Y15" s="53" t="str">
        <f t="shared" si="4"/>
        <v>Ananda Irlyn May Ardhiyana  menunjukkan ketekunan di dalam mengerjakan pekerjaan, baik di sekolah maupun di rumah.</v>
      </c>
      <c r="Z15" s="86"/>
      <c r="AA15" s="53"/>
      <c r="AB15" s="53"/>
      <c r="AC15" s="53"/>
      <c r="AD15" s="53"/>
      <c r="AE15" s="53"/>
      <c r="AF15" s="53"/>
      <c r="AG15" s="53"/>
      <c r="AH15" s="53"/>
      <c r="AI15" s="53"/>
      <c r="AJ15" s="53"/>
      <c r="AK15" s="53"/>
      <c r="AL15" s="53"/>
      <c r="AM15" s="53"/>
      <c r="AN15" s="53"/>
      <c r="AO15" s="53"/>
      <c r="AP15" s="53"/>
      <c r="AQ15" s="53"/>
      <c r="AR15" s="53"/>
      <c r="AS15" s="53" t="s">
        <v>136</v>
      </c>
      <c r="AT15" s="53" t="s">
        <v>233</v>
      </c>
      <c r="AU15" s="53"/>
      <c r="AV15" s="53"/>
      <c r="AW15" s="53"/>
      <c r="AX15" s="53"/>
      <c r="AY15" s="86"/>
      <c r="AZ15" s="53"/>
      <c r="BA15" s="53"/>
      <c r="BB15" s="53"/>
      <c r="BC15" s="53"/>
      <c r="BD15" s="86"/>
      <c r="BE15" s="53">
        <v>0</v>
      </c>
      <c r="BF15" s="53">
        <v>0</v>
      </c>
      <c r="BG15" s="53">
        <v>0</v>
      </c>
      <c r="BH15" s="86"/>
      <c r="BI15" s="53"/>
      <c r="BJ15" s="53"/>
      <c r="BK15" s="53"/>
      <c r="BL15" s="53"/>
      <c r="BM15" s="53"/>
      <c r="BN15" s="67"/>
      <c r="BO15" s="68"/>
    </row>
    <row r="16" spans="2:67" ht="31.5" x14ac:dyDescent="0.25">
      <c r="B16" s="63">
        <v>8</v>
      </c>
      <c r="C16" s="64" t="str">
        <f>NOMINATIF!C13</f>
        <v>Milla Safira</v>
      </c>
      <c r="D16" s="65">
        <f>NOMINATIF!D13</f>
        <v>4053</v>
      </c>
      <c r="E16" s="65" t="str">
        <f>NOMINATIF!E13</f>
        <v>0057801643</v>
      </c>
      <c r="F16" s="53"/>
      <c r="G16" s="53"/>
      <c r="H16" s="53"/>
      <c r="I16" s="53" t="str">
        <f t="shared" si="0"/>
        <v>Ananda Milla Safira  menunjukkan ketekunan di dalam mengerjakan pekerjaan, baik di sekolah maupun di rumah.</v>
      </c>
      <c r="J16" s="53"/>
      <c r="K16" s="53"/>
      <c r="L16" s="53"/>
      <c r="M16" s="53" t="str">
        <f t="shared" si="1"/>
        <v>Ananda Milla Safira  menunjukkan ketekunan di dalam mengerjakan pekerjaan, baik di sekolah maupun di  rumah.</v>
      </c>
      <c r="N16" s="53"/>
      <c r="O16" s="53"/>
      <c r="P16" s="53"/>
      <c r="Q16" s="53" t="str">
        <f t="shared" si="2"/>
        <v>Ananda Milla Safira  menunjukkan ketekunan di dalam mengerjakan pekerjaan, baik di sekolah maupun di rumah.</v>
      </c>
      <c r="R16" s="53"/>
      <c r="S16" s="53"/>
      <c r="T16" s="53"/>
      <c r="U16" s="53" t="str">
        <f t="shared" si="3"/>
        <v>Ananda Milla Safira  menunjukkan ketekunan di dalam mengerjakan pekerjaan, baik di sekolah maupun di rumah.</v>
      </c>
      <c r="V16" s="53"/>
      <c r="W16" s="53"/>
      <c r="X16" s="53"/>
      <c r="Y16" s="53" t="str">
        <f t="shared" si="4"/>
        <v>Ananda Milla Safira  menunjukkan ketekunan di dalam mengerjakan pekerjaan, baik di sekolah maupun di rumah.</v>
      </c>
      <c r="Z16" s="86"/>
      <c r="AA16" s="53"/>
      <c r="AB16" s="53"/>
      <c r="AC16" s="53"/>
      <c r="AD16" s="53"/>
      <c r="AE16" s="53"/>
      <c r="AF16" s="53"/>
      <c r="AG16" s="53"/>
      <c r="AH16" s="53"/>
      <c r="AI16" s="53"/>
      <c r="AJ16" s="53" t="s">
        <v>136</v>
      </c>
      <c r="AK16" s="53" t="s">
        <v>222</v>
      </c>
      <c r="AL16" s="53"/>
      <c r="AM16" s="53"/>
      <c r="AN16" s="53"/>
      <c r="AO16" s="53"/>
      <c r="AP16" s="53"/>
      <c r="AQ16" s="53"/>
      <c r="AR16" s="53"/>
      <c r="AS16" s="53"/>
      <c r="AT16" s="53"/>
      <c r="AU16" s="53"/>
      <c r="AV16" s="53"/>
      <c r="AW16" s="53"/>
      <c r="AX16" s="53"/>
      <c r="AY16" s="86"/>
      <c r="AZ16" s="53"/>
      <c r="BA16" s="53"/>
      <c r="BB16" s="53"/>
      <c r="BC16" s="53"/>
      <c r="BD16" s="86"/>
      <c r="BE16" s="53">
        <v>0</v>
      </c>
      <c r="BF16" s="53">
        <v>1</v>
      </c>
      <c r="BG16" s="53">
        <v>1</v>
      </c>
      <c r="BH16" s="86"/>
      <c r="BI16" s="53"/>
      <c r="BJ16" s="53"/>
      <c r="BK16" s="53"/>
      <c r="BL16" s="53"/>
      <c r="BM16" s="53"/>
      <c r="BN16" s="67"/>
      <c r="BO16" s="68"/>
    </row>
    <row r="17" spans="2:67" ht="15.75" x14ac:dyDescent="0.25">
      <c r="B17" s="63">
        <v>9</v>
      </c>
      <c r="C17" s="64" t="str">
        <f>NOMINATIF!C14</f>
        <v>NATASYA EVI ARIFAH</v>
      </c>
      <c r="D17" s="65">
        <f>NOMINATIF!D14</f>
        <v>4033</v>
      </c>
      <c r="E17" s="65" t="str">
        <f>NOMINATIF!E14</f>
        <v>0066680260</v>
      </c>
      <c r="F17" s="53"/>
      <c r="G17" s="53"/>
      <c r="H17" s="53"/>
      <c r="I17" s="53" t="str">
        <f t="shared" si="0"/>
        <v>Ananda NATASYA EVI ARIFAH  menunjukkan ketekunan di dalam mengerjakan pekerjaan, baik di sekolah maupun di rumah.</v>
      </c>
      <c r="J17" s="53"/>
      <c r="K17" s="53"/>
      <c r="L17" s="53"/>
      <c r="M17" s="53" t="str">
        <f t="shared" si="1"/>
        <v>Ananda NATASYA EVI ARIFAH  menunjukkan ketekunan di dalam mengerjakan pekerjaan, baik di sekolah maupun di  rumah.</v>
      </c>
      <c r="N17" s="53"/>
      <c r="O17" s="53"/>
      <c r="P17" s="53"/>
      <c r="Q17" s="53" t="str">
        <f t="shared" si="2"/>
        <v>Ananda NATASYA EVI ARIFAH  menunjukkan ketekunan di dalam mengerjakan pekerjaan, baik di sekolah maupun di rumah.</v>
      </c>
      <c r="R17" s="53"/>
      <c r="S17" s="53"/>
      <c r="T17" s="53"/>
      <c r="U17" s="53" t="str">
        <f t="shared" si="3"/>
        <v>Ananda NATASYA EVI ARIFAH  menunjukkan ketekunan di dalam mengerjakan pekerjaan, baik di sekolah maupun di rumah.</v>
      </c>
      <c r="V17" s="53"/>
      <c r="W17" s="53"/>
      <c r="X17" s="53"/>
      <c r="Y17" s="53" t="str">
        <f t="shared" si="4"/>
        <v>Ananda NATASYA EVI ARIFAH  menunjukkan ketekunan di dalam mengerjakan pekerjaan, baik di sekolah maupun di rumah.</v>
      </c>
      <c r="Z17" s="86"/>
      <c r="AA17" s="53"/>
      <c r="AB17" s="53"/>
      <c r="AC17" s="53"/>
      <c r="AD17" s="53"/>
      <c r="AE17" s="53"/>
      <c r="AF17" s="53"/>
      <c r="AG17" s="53"/>
      <c r="AH17" s="53"/>
      <c r="AI17" s="53"/>
      <c r="AJ17" s="53"/>
      <c r="AK17" s="53"/>
      <c r="AL17" s="53"/>
      <c r="AM17" s="53"/>
      <c r="AN17" s="53"/>
      <c r="AO17" s="53"/>
      <c r="AP17" s="53"/>
      <c r="AQ17" s="53"/>
      <c r="AR17" s="53"/>
      <c r="AS17" s="53"/>
      <c r="AT17" s="53"/>
      <c r="AU17" s="53"/>
      <c r="AV17" s="53"/>
      <c r="AW17" s="53"/>
      <c r="AX17" s="53"/>
      <c r="AY17" s="86"/>
      <c r="AZ17" s="53"/>
      <c r="BA17" s="53"/>
      <c r="BB17" s="53"/>
      <c r="BC17" s="53"/>
      <c r="BD17" s="86"/>
      <c r="BE17" s="53">
        <v>0</v>
      </c>
      <c r="BF17" s="53">
        <v>0</v>
      </c>
      <c r="BG17" s="53">
        <v>0</v>
      </c>
      <c r="BH17" s="86"/>
      <c r="BI17" s="53"/>
      <c r="BJ17" s="53"/>
      <c r="BK17" s="53"/>
      <c r="BL17" s="53"/>
      <c r="BM17" s="53"/>
      <c r="BN17" s="67"/>
      <c r="BO17" s="68"/>
    </row>
    <row r="18" spans="2:67" ht="31.5" x14ac:dyDescent="0.25">
      <c r="B18" s="63">
        <v>10</v>
      </c>
      <c r="C18" s="64" t="str">
        <f>NOMINATIF!C15</f>
        <v>Nensyih Widyawati Maharani</v>
      </c>
      <c r="D18" s="65">
        <f>NOMINATIF!D15</f>
        <v>4054</v>
      </c>
      <c r="E18" s="65" t="str">
        <f>NOMINATIF!E15</f>
        <v>0064476649</v>
      </c>
      <c r="F18" s="53"/>
      <c r="G18" s="53"/>
      <c r="H18" s="53"/>
      <c r="I18" s="53" t="str">
        <f t="shared" si="0"/>
        <v>Ananda Nensyih Widyawati Maharani  menunjukkan ketekunan di dalam mengerjakan pekerjaan, baik di sekolah maupun di rumah.</v>
      </c>
      <c r="J18" s="53"/>
      <c r="K18" s="53"/>
      <c r="L18" s="53"/>
      <c r="M18" s="53" t="str">
        <f t="shared" si="1"/>
        <v>Ananda Nensyih Widyawati Maharani  menunjukkan ketekunan di dalam mengerjakan pekerjaan, baik di sekolah maupun di  rumah.</v>
      </c>
      <c r="N18" s="53"/>
      <c r="O18" s="53"/>
      <c r="P18" s="53"/>
      <c r="Q18" s="53" t="str">
        <f t="shared" si="2"/>
        <v>Ananda Nensyih Widyawati Maharani  menunjukkan ketekunan di dalam mengerjakan pekerjaan, baik di sekolah maupun di rumah.</v>
      </c>
      <c r="R18" s="53"/>
      <c r="S18" s="53"/>
      <c r="T18" s="53"/>
      <c r="U18" s="53" t="str">
        <f t="shared" si="3"/>
        <v>Ananda Nensyih Widyawati Maharani  menunjukkan ketekunan di dalam mengerjakan pekerjaan, baik di sekolah maupun di rumah.</v>
      </c>
      <c r="V18" s="53"/>
      <c r="W18" s="53"/>
      <c r="X18" s="53"/>
      <c r="Y18" s="53" t="str">
        <f t="shared" si="4"/>
        <v>Ananda Nensyih Widyawati Maharani  menunjukkan ketekunan di dalam mengerjakan pekerjaan, baik di sekolah maupun di rumah.</v>
      </c>
      <c r="Z18" s="86"/>
      <c r="AA18" s="53"/>
      <c r="AB18" s="53"/>
      <c r="AC18" s="53"/>
      <c r="AD18" s="53"/>
      <c r="AE18" s="53"/>
      <c r="AF18" s="53"/>
      <c r="AG18" s="53"/>
      <c r="AH18" s="53"/>
      <c r="AI18" s="53"/>
      <c r="AJ18" s="53" t="s">
        <v>223</v>
      </c>
      <c r="AK18" s="53" t="s">
        <v>224</v>
      </c>
      <c r="AL18" s="53"/>
      <c r="AM18" s="53"/>
      <c r="AN18" s="53"/>
      <c r="AO18" s="53"/>
      <c r="AP18" s="53"/>
      <c r="AQ18" s="53"/>
      <c r="AR18" s="53"/>
      <c r="AS18" s="53"/>
      <c r="AT18" s="53"/>
      <c r="AU18" s="53"/>
      <c r="AV18" s="53"/>
      <c r="AW18" s="53"/>
      <c r="AX18" s="53"/>
      <c r="AY18" s="86"/>
      <c r="AZ18" s="53"/>
      <c r="BA18" s="53"/>
      <c r="BB18" s="53"/>
      <c r="BC18" s="53"/>
      <c r="BD18" s="86"/>
      <c r="BE18" s="53">
        <v>0</v>
      </c>
      <c r="BF18" s="53">
        <v>0</v>
      </c>
      <c r="BG18" s="53">
        <v>0</v>
      </c>
      <c r="BH18" s="86"/>
      <c r="BI18" s="53"/>
      <c r="BJ18" s="53"/>
      <c r="BK18" s="53"/>
      <c r="BL18" s="53"/>
      <c r="BM18" s="53"/>
      <c r="BN18" s="67"/>
      <c r="BO18" s="68"/>
    </row>
    <row r="19" spans="2:67" ht="31.5" x14ac:dyDescent="0.25">
      <c r="B19" s="63">
        <v>11</v>
      </c>
      <c r="C19" s="64" t="str">
        <f>NOMINATIF!C16</f>
        <v>Olifah Hiasianjeng Prehatin</v>
      </c>
      <c r="D19" s="65">
        <f>NOMINATIF!D16</f>
        <v>4056</v>
      </c>
      <c r="E19" s="65" t="str">
        <f>NOMINATIF!E16</f>
        <v>0056102322</v>
      </c>
      <c r="F19" s="53"/>
      <c r="G19" s="53"/>
      <c r="H19" s="53"/>
      <c r="I19" s="53" t="str">
        <f t="shared" si="0"/>
        <v>Ananda Olifah Hiasianjeng Prehatin  menunjukkan ketekunan di dalam mengerjakan pekerjaan, baik di sekolah maupun di rumah.</v>
      </c>
      <c r="J19" s="53"/>
      <c r="K19" s="53"/>
      <c r="L19" s="53"/>
      <c r="M19" s="53" t="str">
        <f t="shared" si="1"/>
        <v>Ananda Olifah Hiasianjeng Prehatin  menunjukkan ketekunan di dalam mengerjakan pekerjaan, baik di sekolah maupun di  rumah.</v>
      </c>
      <c r="N19" s="53"/>
      <c r="O19" s="53"/>
      <c r="P19" s="53"/>
      <c r="Q19" s="53" t="str">
        <f t="shared" si="2"/>
        <v>Ananda Olifah Hiasianjeng Prehatin  menunjukkan ketekunan di dalam mengerjakan pekerjaan, baik di sekolah maupun di rumah.</v>
      </c>
      <c r="R19" s="53"/>
      <c r="S19" s="53"/>
      <c r="T19" s="53"/>
      <c r="U19" s="53" t="str">
        <f t="shared" si="3"/>
        <v>Ananda Olifah Hiasianjeng Prehatin  menunjukkan ketekunan di dalam mengerjakan pekerjaan, baik di sekolah maupun di rumah.</v>
      </c>
      <c r="V19" s="53"/>
      <c r="W19" s="53"/>
      <c r="X19" s="53"/>
      <c r="Y19" s="53" t="str">
        <f t="shared" si="4"/>
        <v>Ananda Olifah Hiasianjeng Prehatin  menunjukkan ketekunan di dalam mengerjakan pekerjaan, baik di sekolah maupun di rumah.</v>
      </c>
      <c r="Z19" s="86"/>
      <c r="AA19" s="53"/>
      <c r="AB19" s="53"/>
      <c r="AC19" s="53"/>
      <c r="AD19" s="53"/>
      <c r="AE19" s="53"/>
      <c r="AF19" s="53"/>
      <c r="AG19" s="53"/>
      <c r="AH19" s="53"/>
      <c r="AI19" s="53"/>
      <c r="AJ19" s="53" t="s">
        <v>223</v>
      </c>
      <c r="AK19" s="53" t="s">
        <v>224</v>
      </c>
      <c r="AL19" s="53"/>
      <c r="AM19" s="53"/>
      <c r="AN19" s="53"/>
      <c r="AO19" s="53"/>
      <c r="AP19" s="53"/>
      <c r="AQ19" s="53"/>
      <c r="AR19" s="53"/>
      <c r="AS19" s="53"/>
      <c r="AT19" s="53"/>
      <c r="AU19" s="53"/>
      <c r="AV19" s="53"/>
      <c r="AW19" s="53"/>
      <c r="AX19" s="53"/>
      <c r="AY19" s="86"/>
      <c r="AZ19" s="53"/>
      <c r="BA19" s="53"/>
      <c r="BB19" s="53"/>
      <c r="BC19" s="53"/>
      <c r="BD19" s="86"/>
      <c r="BE19" s="53">
        <v>0</v>
      </c>
      <c r="BF19" s="53">
        <v>0</v>
      </c>
      <c r="BG19" s="53">
        <v>0</v>
      </c>
      <c r="BH19" s="86"/>
      <c r="BI19" s="53"/>
      <c r="BJ19" s="53"/>
      <c r="BK19" s="53"/>
      <c r="BL19" s="53"/>
      <c r="BM19" s="53"/>
      <c r="BN19" s="67"/>
      <c r="BO19" s="68"/>
    </row>
    <row r="20" spans="2:67" ht="47.25" x14ac:dyDescent="0.25">
      <c r="B20" s="63">
        <v>12</v>
      </c>
      <c r="C20" s="64" t="str">
        <f>NOMINATIF!C17</f>
        <v>Putri Wijayanti</v>
      </c>
      <c r="D20" s="65">
        <f>NOMINATIF!D17</f>
        <v>4057</v>
      </c>
      <c r="E20" s="65" t="str">
        <f>NOMINATIF!E17</f>
        <v>0065546535</v>
      </c>
      <c r="F20" s="53"/>
      <c r="G20" s="53"/>
      <c r="H20" s="53"/>
      <c r="I20" s="53" t="str">
        <f t="shared" si="0"/>
        <v>Ananda Putri Wijayanti  menunjukkan ketekunan di dalam mengerjakan pekerjaan, baik di sekolah maupun di rumah.</v>
      </c>
      <c r="J20" s="53"/>
      <c r="K20" s="53"/>
      <c r="L20" s="53"/>
      <c r="M20" s="53" t="str">
        <f t="shared" si="1"/>
        <v>Ananda Putri Wijayanti  menunjukkan ketekunan di dalam mengerjakan pekerjaan, baik di sekolah maupun di  rumah.</v>
      </c>
      <c r="N20" s="53"/>
      <c r="O20" s="53"/>
      <c r="P20" s="53"/>
      <c r="Q20" s="53" t="str">
        <f t="shared" si="2"/>
        <v>Ananda Putri Wijayanti  menunjukkan ketekunan di dalam mengerjakan pekerjaan, baik di sekolah maupun di rumah.</v>
      </c>
      <c r="R20" s="53"/>
      <c r="S20" s="53"/>
      <c r="T20" s="53"/>
      <c r="U20" s="53" t="str">
        <f t="shared" si="3"/>
        <v>Ananda Putri Wijayanti  menunjukkan ketekunan di dalam mengerjakan pekerjaan, baik di sekolah maupun di rumah.</v>
      </c>
      <c r="V20" s="53"/>
      <c r="W20" s="53"/>
      <c r="X20" s="53"/>
      <c r="Y20" s="53" t="str">
        <f t="shared" si="4"/>
        <v>Ananda Putri Wijayanti  menunjukkan ketekunan di dalam mengerjakan pekerjaan, baik di sekolah maupun di rumah.</v>
      </c>
      <c r="Z20" s="86"/>
      <c r="AA20" s="53" t="s">
        <v>136</v>
      </c>
      <c r="AB20" s="53" t="s">
        <v>228</v>
      </c>
      <c r="AC20" s="53"/>
      <c r="AD20" s="53"/>
      <c r="AE20" s="53"/>
      <c r="AF20" s="53"/>
      <c r="AG20" s="53"/>
      <c r="AH20"/>
      <c r="AI20"/>
      <c r="AJ20" s="53"/>
      <c r="AK20" s="53"/>
      <c r="AL20" s="53"/>
      <c r="AM20" s="53" t="s">
        <v>134</v>
      </c>
      <c r="AN20" s="53" t="s">
        <v>225</v>
      </c>
      <c r="AO20" s="53"/>
      <c r="AP20" s="53"/>
      <c r="AQ20" s="53"/>
      <c r="AR20" s="53"/>
      <c r="AS20" s="53"/>
      <c r="AT20" s="53"/>
      <c r="AU20" s="53"/>
      <c r="AV20" s="53"/>
      <c r="AW20" s="53"/>
      <c r="AX20" s="53"/>
      <c r="AY20" s="86"/>
      <c r="AZ20" s="53"/>
      <c r="BA20" s="53"/>
      <c r="BB20" s="53"/>
      <c r="BC20" s="53"/>
      <c r="BD20" s="86"/>
      <c r="BE20" s="53"/>
      <c r="BF20" s="53"/>
      <c r="BG20" s="53"/>
      <c r="BH20" s="86"/>
      <c r="BI20" s="53"/>
      <c r="BJ20" s="53"/>
      <c r="BK20" s="53"/>
      <c r="BL20" s="53"/>
      <c r="BM20" s="53"/>
      <c r="BN20" s="67"/>
      <c r="BO20" s="68"/>
    </row>
    <row r="21" spans="2:67" ht="47.25" x14ac:dyDescent="0.25">
      <c r="B21" s="63">
        <v>13</v>
      </c>
      <c r="C21" s="64" t="str">
        <f>NOMINATIF!C18</f>
        <v>Rafli Ramadani</v>
      </c>
      <c r="D21" s="65">
        <f>NOMINATIF!D18</f>
        <v>4058</v>
      </c>
      <c r="E21" s="65" t="str">
        <f>NOMINATIF!E18</f>
        <v>0055462823</v>
      </c>
      <c r="F21" s="53"/>
      <c r="G21" s="53"/>
      <c r="H21" s="53"/>
      <c r="I21" s="53" t="str">
        <f t="shared" si="0"/>
        <v>Ananda Rafli Ramadani  menunjukkan ketekunan di dalam mengerjakan pekerjaan, baik di sekolah maupun di rumah.</v>
      </c>
      <c r="J21" s="53"/>
      <c r="K21" s="53"/>
      <c r="L21" s="53"/>
      <c r="M21" s="53" t="str">
        <f t="shared" si="1"/>
        <v>Ananda Rafli Ramadani  menunjukkan ketekunan di dalam mengerjakan pekerjaan, baik di sekolah maupun di  rumah.</v>
      </c>
      <c r="N21" s="53"/>
      <c r="O21" s="53"/>
      <c r="P21" s="53"/>
      <c r="Q21" s="53" t="str">
        <f t="shared" si="2"/>
        <v>Ananda Rafli Ramadani  menunjukkan ketekunan di dalam mengerjakan pekerjaan, baik di sekolah maupun di rumah.</v>
      </c>
      <c r="R21" s="53"/>
      <c r="S21" s="53"/>
      <c r="T21" s="53"/>
      <c r="U21" s="53" t="str">
        <f t="shared" si="3"/>
        <v>Ananda Rafli Ramadani  menunjukkan ketekunan di dalam mengerjakan pekerjaan, baik di sekolah maupun di rumah.</v>
      </c>
      <c r="V21" s="53"/>
      <c r="W21" s="53"/>
      <c r="X21" s="53"/>
      <c r="Y21" s="53" t="str">
        <f t="shared" si="4"/>
        <v>Ananda Rafli Ramadani  menunjukkan ketekunan di dalam mengerjakan pekerjaan, baik di sekolah maupun di rumah.</v>
      </c>
      <c r="Z21" s="86"/>
      <c r="AA21" s="53" t="s">
        <v>136</v>
      </c>
      <c r="AB21" s="53" t="s">
        <v>228</v>
      </c>
      <c r="AC21" s="53"/>
      <c r="AD21" s="53"/>
      <c r="AE21" s="53"/>
      <c r="AF21" s="53"/>
      <c r="AG21" s="53"/>
      <c r="AH21" s="53"/>
      <c r="AI21" s="53"/>
      <c r="AJ21" s="53"/>
      <c r="AK21" s="53"/>
      <c r="AL21" s="53"/>
      <c r="AM21" s="53"/>
      <c r="AN21" s="53"/>
      <c r="AO21" s="53"/>
      <c r="AP21" s="53"/>
      <c r="AQ21" s="53"/>
      <c r="AR21" s="53"/>
      <c r="AS21" s="53"/>
      <c r="AT21" s="53"/>
      <c r="AU21" s="53"/>
      <c r="AV21" s="53"/>
      <c r="AW21" s="53"/>
      <c r="AX21" s="53"/>
      <c r="AY21" s="86"/>
      <c r="AZ21" s="53"/>
      <c r="BA21" s="53"/>
      <c r="BB21" s="53"/>
      <c r="BC21" s="53"/>
      <c r="BD21" s="86"/>
      <c r="BE21" s="53">
        <v>2</v>
      </c>
      <c r="BF21" s="53">
        <v>0</v>
      </c>
      <c r="BG21" s="53">
        <v>0</v>
      </c>
      <c r="BH21" s="86"/>
      <c r="BI21" s="53"/>
      <c r="BJ21" s="53"/>
      <c r="BK21" s="53"/>
      <c r="BL21" s="53"/>
      <c r="BM21" s="53"/>
      <c r="BN21" s="67"/>
      <c r="BO21" s="68"/>
    </row>
    <row r="22" spans="2:67" ht="47.25" x14ac:dyDescent="0.25">
      <c r="B22" s="63">
        <v>14</v>
      </c>
      <c r="C22" s="64" t="str">
        <f>NOMINATIF!C19</f>
        <v>Rheiva Elfa Rossidah</v>
      </c>
      <c r="D22" s="65">
        <f>NOMINATIF!D19</f>
        <v>4036</v>
      </c>
      <c r="E22" s="65" t="str">
        <f>NOMINATIF!E19</f>
        <v>0072838616</v>
      </c>
      <c r="F22" s="53"/>
      <c r="G22" s="53"/>
      <c r="H22" s="53"/>
      <c r="I22" s="53" t="str">
        <f t="shared" si="0"/>
        <v>Ananda Rheiva Elfa Rossidah  menunjukkan ketekunan di dalam mengerjakan pekerjaan, baik di sekolah maupun di rumah.</v>
      </c>
      <c r="J22" s="53"/>
      <c r="K22" s="53"/>
      <c r="L22" s="53"/>
      <c r="M22" s="53" t="str">
        <f t="shared" si="1"/>
        <v>Ananda Rheiva Elfa Rossidah  menunjukkan ketekunan di dalam mengerjakan pekerjaan, baik di sekolah maupun di  rumah.</v>
      </c>
      <c r="N22" s="53"/>
      <c r="O22" s="53"/>
      <c r="P22" s="53"/>
      <c r="Q22" s="53" t="str">
        <f t="shared" si="2"/>
        <v>Ananda Rheiva Elfa Rossidah  menunjukkan ketekunan di dalam mengerjakan pekerjaan, baik di sekolah maupun di rumah.</v>
      </c>
      <c r="R22" s="53"/>
      <c r="S22" s="53"/>
      <c r="T22" s="53"/>
      <c r="U22" s="53" t="str">
        <f t="shared" si="3"/>
        <v>Ananda Rheiva Elfa Rossidah  menunjukkan ketekunan di dalam mengerjakan pekerjaan, baik di sekolah maupun di rumah.</v>
      </c>
      <c r="V22" s="53"/>
      <c r="W22" s="53"/>
      <c r="X22" s="53"/>
      <c r="Y22" s="53" t="str">
        <f t="shared" si="4"/>
        <v>Ananda Rheiva Elfa Rossidah  menunjukkan ketekunan di dalam mengerjakan pekerjaan, baik di sekolah maupun di rumah.</v>
      </c>
      <c r="Z22" s="86"/>
      <c r="AA22" s="53"/>
      <c r="AB22" s="53"/>
      <c r="AC22" s="53"/>
      <c r="AD22" s="53"/>
      <c r="AE22" s="53"/>
      <c r="AF22" s="53"/>
      <c r="AG22" s="53"/>
      <c r="AH22" s="53"/>
      <c r="AI22" s="53"/>
      <c r="AJ22" s="53"/>
      <c r="AK22" s="53"/>
      <c r="AL22" s="53"/>
      <c r="AM22" s="53"/>
      <c r="AN22" s="53"/>
      <c r="AO22" s="53"/>
      <c r="AP22" s="53"/>
      <c r="AQ22" s="53"/>
      <c r="AR22" s="53"/>
      <c r="AS22" s="53" t="s">
        <v>118</v>
      </c>
      <c r="AT22" s="53" t="s">
        <v>234</v>
      </c>
      <c r="AU22" s="53"/>
      <c r="AV22" s="53"/>
      <c r="AW22" s="53"/>
      <c r="AX22" s="53"/>
      <c r="AY22" s="86"/>
      <c r="AZ22" s="53"/>
      <c r="BA22" s="53"/>
      <c r="BB22" s="53"/>
      <c r="BC22" s="53"/>
      <c r="BD22" s="86"/>
      <c r="BE22" s="53">
        <v>0</v>
      </c>
      <c r="BF22" s="53">
        <v>0</v>
      </c>
      <c r="BG22" s="53">
        <v>0</v>
      </c>
      <c r="BH22" s="86"/>
      <c r="BI22" s="53"/>
      <c r="BJ22" s="53"/>
      <c r="BK22" s="53"/>
      <c r="BL22" s="53"/>
      <c r="BM22" s="53"/>
      <c r="BN22" s="67"/>
      <c r="BO22" s="68"/>
    </row>
    <row r="23" spans="2:67" ht="47.25" x14ac:dyDescent="0.25">
      <c r="B23" s="63">
        <v>15</v>
      </c>
      <c r="C23" s="64" t="str">
        <f>NOMINATIF!C20</f>
        <v>Selvia Indah Fitriani</v>
      </c>
      <c r="D23" s="65">
        <f>NOMINATIF!D20</f>
        <v>4037</v>
      </c>
      <c r="E23" s="65" t="str">
        <f>NOMINATIF!E20</f>
        <v>0052393386</v>
      </c>
      <c r="F23" s="53"/>
      <c r="G23" s="53"/>
      <c r="H23" s="53"/>
      <c r="I23" s="53" t="str">
        <f t="shared" si="0"/>
        <v>Ananda Selvia Indah Fitriani  menunjukkan ketekunan di dalam mengerjakan pekerjaan, baik di sekolah maupun di rumah.</v>
      </c>
      <c r="J23" s="53"/>
      <c r="K23" s="53"/>
      <c r="L23" s="53"/>
      <c r="M23" s="53" t="str">
        <f t="shared" si="1"/>
        <v>Ananda Selvia Indah Fitriani  menunjukkan ketekunan di dalam mengerjakan pekerjaan, baik di sekolah maupun di  rumah.</v>
      </c>
      <c r="N23" s="53"/>
      <c r="O23" s="53"/>
      <c r="P23" s="53"/>
      <c r="Q23" s="53" t="str">
        <f t="shared" si="2"/>
        <v>Ananda Selvia Indah Fitriani  menunjukkan ketekunan di dalam mengerjakan pekerjaan, baik di sekolah maupun di rumah.</v>
      </c>
      <c r="R23" s="53"/>
      <c r="S23" s="53"/>
      <c r="T23" s="53"/>
      <c r="U23" s="53" t="str">
        <f t="shared" si="3"/>
        <v>Ananda Selvia Indah Fitriani  menunjukkan ketekunan di dalam mengerjakan pekerjaan, baik di sekolah maupun di rumah.</v>
      </c>
      <c r="V23" s="53"/>
      <c r="W23" s="53"/>
      <c r="X23" s="53"/>
      <c r="Y23" s="53" t="str">
        <f t="shared" si="4"/>
        <v>Ananda Selvia Indah Fitriani  menunjukkan ketekunan di dalam mengerjakan pekerjaan, baik di sekolah maupun di rumah.</v>
      </c>
      <c r="Z23" s="86"/>
      <c r="AA23" s="53"/>
      <c r="AB23" s="53"/>
      <c r="AC23" s="53"/>
      <c r="AD23" s="53"/>
      <c r="AE23" s="53"/>
      <c r="AF23" s="53"/>
      <c r="AG23" s="53"/>
      <c r="AH23" s="53"/>
      <c r="AI23" s="53"/>
      <c r="AJ23" s="53"/>
      <c r="AK23" s="53"/>
      <c r="AL23" s="53"/>
      <c r="AM23"/>
      <c r="AN23"/>
      <c r="AO23" s="53"/>
      <c r="AP23" s="53"/>
      <c r="AQ23" s="53"/>
      <c r="AR23" s="53"/>
      <c r="AS23" s="53" t="s">
        <v>118</v>
      </c>
      <c r="AT23" s="53" t="s">
        <v>226</v>
      </c>
      <c r="AU23" s="53"/>
      <c r="AV23" s="53"/>
      <c r="AW23" s="53"/>
      <c r="AX23" s="53"/>
      <c r="AY23" s="86"/>
      <c r="AZ23" s="53"/>
      <c r="BA23" s="53"/>
      <c r="BB23" s="53"/>
      <c r="BC23" s="53"/>
      <c r="BD23" s="86"/>
      <c r="BE23" s="53">
        <v>1</v>
      </c>
      <c r="BF23" s="53">
        <v>1</v>
      </c>
      <c r="BG23" s="53">
        <v>0</v>
      </c>
      <c r="BH23" s="86"/>
      <c r="BI23" s="53"/>
      <c r="BJ23" s="53"/>
      <c r="BK23" s="53"/>
      <c r="BL23" s="53"/>
      <c r="BM23" s="53"/>
      <c r="BN23" s="67"/>
      <c r="BO23" s="68"/>
    </row>
    <row r="24" spans="2:67" ht="47.25" x14ac:dyDescent="0.25">
      <c r="B24" s="63">
        <v>16</v>
      </c>
      <c r="C24" s="64" t="str">
        <f>NOMINATIF!C21</f>
        <v>TIA APRILIA</v>
      </c>
      <c r="D24" s="65">
        <f>NOMINATIF!D21</f>
        <v>4038</v>
      </c>
      <c r="E24" s="65" t="str">
        <f>NOMINATIF!E21</f>
        <v>0066060316</v>
      </c>
      <c r="F24" s="53"/>
      <c r="G24" s="53"/>
      <c r="H24" s="53"/>
      <c r="I24" s="53" t="str">
        <f t="shared" si="0"/>
        <v>Ananda TIA APRILIA  menunjukkan ketekunan di dalam mengerjakan pekerjaan, baik di sekolah maupun di rumah.</v>
      </c>
      <c r="J24" s="53"/>
      <c r="K24" s="53"/>
      <c r="L24" s="53"/>
      <c r="M24" s="53" t="str">
        <f t="shared" si="1"/>
        <v>Ananda TIA APRILIA  menunjukkan ketekunan di dalam mengerjakan pekerjaan, baik di sekolah maupun di  rumah.</v>
      </c>
      <c r="N24" s="53"/>
      <c r="O24" s="53"/>
      <c r="P24" s="53"/>
      <c r="Q24" s="53" t="str">
        <f t="shared" si="2"/>
        <v>Ananda TIA APRILIA  menunjukkan ketekunan di dalam mengerjakan pekerjaan, baik di sekolah maupun di rumah.</v>
      </c>
      <c r="R24" s="53"/>
      <c r="S24" s="53"/>
      <c r="T24" s="53"/>
      <c r="U24" s="53" t="str">
        <f t="shared" si="3"/>
        <v>Ananda TIA APRILIA  menunjukkan ketekunan di dalam mengerjakan pekerjaan, baik di sekolah maupun di rumah.</v>
      </c>
      <c r="V24" s="53"/>
      <c r="W24" s="53"/>
      <c r="X24" s="53"/>
      <c r="Y24" s="53" t="str">
        <f t="shared" si="4"/>
        <v>Ananda TIA APRILIA  menunjukkan ketekunan di dalam mengerjakan pekerjaan, baik di sekolah maupun di rumah.</v>
      </c>
      <c r="Z24" s="86"/>
      <c r="AA24" s="53"/>
      <c r="AB24" s="53"/>
      <c r="AC24" s="53"/>
      <c r="AD24" s="53"/>
      <c r="AE24" s="53"/>
      <c r="AF24" s="53"/>
      <c r="AG24" s="53"/>
      <c r="AH24" s="53"/>
      <c r="AI24" s="53"/>
      <c r="AJ24" s="53"/>
      <c r="AK24" s="53"/>
      <c r="AL24" s="53"/>
      <c r="AM24" s="53" t="s">
        <v>134</v>
      </c>
      <c r="AN24" s="53" t="s">
        <v>225</v>
      </c>
      <c r="AO24" s="53"/>
      <c r="AP24" s="53"/>
      <c r="AQ24" s="53"/>
      <c r="AR24" s="53"/>
      <c r="AS24" s="53"/>
      <c r="AT24" s="53"/>
      <c r="AU24" s="53"/>
      <c r="AV24" s="53"/>
      <c r="AW24" s="53"/>
      <c r="AX24" s="53"/>
      <c r="AY24" s="86"/>
      <c r="AZ24" s="53"/>
      <c r="BA24" s="53"/>
      <c r="BB24" s="53"/>
      <c r="BC24" s="53"/>
      <c r="BD24" s="86"/>
      <c r="BE24" s="53"/>
      <c r="BF24" s="53"/>
      <c r="BG24" s="53"/>
      <c r="BH24" s="86"/>
      <c r="BI24" s="53"/>
      <c r="BJ24" s="53"/>
      <c r="BK24" s="53"/>
      <c r="BL24" s="53"/>
      <c r="BM24" s="53"/>
      <c r="BN24" s="67"/>
      <c r="BO24" s="68"/>
    </row>
    <row r="25" spans="2:67" ht="47.25" x14ac:dyDescent="0.25">
      <c r="B25" s="63">
        <v>17</v>
      </c>
      <c r="C25" s="64" t="str">
        <f>NOMINATIF!C22</f>
        <v>Tri Yulianti</v>
      </c>
      <c r="D25" s="65">
        <f>NOMINATIF!D22</f>
        <v>4060</v>
      </c>
      <c r="E25" s="65" t="str">
        <f>NOMINATIF!E22</f>
        <v>0068674216</v>
      </c>
      <c r="F25" s="53"/>
      <c r="G25" s="53"/>
      <c r="H25" s="53"/>
      <c r="I25" s="53" t="str">
        <f t="shared" si="0"/>
        <v>Ananda Tri Yulianti  menunjukkan ketekunan di dalam mengerjakan pekerjaan, baik di sekolah maupun di rumah.</v>
      </c>
      <c r="J25" s="53"/>
      <c r="K25" s="53"/>
      <c r="L25" s="53"/>
      <c r="M25" s="53" t="str">
        <f t="shared" si="1"/>
        <v>Ananda Tri Yulianti  menunjukkan ketekunan di dalam mengerjakan pekerjaan, baik di sekolah maupun di  rumah.</v>
      </c>
      <c r="N25" s="53"/>
      <c r="O25" s="53"/>
      <c r="P25" s="53"/>
      <c r="Q25" s="53" t="str">
        <f t="shared" si="2"/>
        <v>Ananda Tri Yulianti  menunjukkan ketekunan di dalam mengerjakan pekerjaan, baik di sekolah maupun di rumah.</v>
      </c>
      <c r="R25" s="53"/>
      <c r="S25" s="53"/>
      <c r="T25" s="53"/>
      <c r="U25" s="53" t="str">
        <f t="shared" si="3"/>
        <v>Ananda Tri Yulianti  menunjukkan ketekunan di dalam mengerjakan pekerjaan, baik di sekolah maupun di rumah.</v>
      </c>
      <c r="V25" s="53"/>
      <c r="W25" s="53"/>
      <c r="X25" s="53"/>
      <c r="Y25" s="53" t="str">
        <f t="shared" si="4"/>
        <v>Ananda Tri Yulianti  menunjukkan ketekunan di dalam mengerjakan pekerjaan, baik di sekolah maupun di rumah.</v>
      </c>
      <c r="Z25" s="86"/>
      <c r="AA25" s="53" t="s">
        <v>136</v>
      </c>
      <c r="AB25" s="53" t="s">
        <v>228</v>
      </c>
      <c r="AC25" s="53"/>
      <c r="AD25" s="53"/>
      <c r="AE25" s="53"/>
      <c r="AF25" s="53"/>
      <c r="AG25" s="53"/>
      <c r="AH25" s="53"/>
      <c r="AI25" s="53"/>
      <c r="AJ25" s="53"/>
      <c r="AK25" s="53"/>
      <c r="AL25" s="53"/>
      <c r="AM25" s="53"/>
      <c r="AN25" s="53"/>
      <c r="AO25" s="53"/>
      <c r="AP25" s="53"/>
      <c r="AQ25" s="53"/>
      <c r="AR25" s="53"/>
      <c r="AS25" s="53"/>
      <c r="AT25" s="53"/>
      <c r="AU25" s="53"/>
      <c r="AV25" s="53"/>
      <c r="AW25" s="53"/>
      <c r="AX25" s="53"/>
      <c r="AY25" s="86"/>
      <c r="AZ25" s="53"/>
      <c r="BA25" s="53"/>
      <c r="BB25" s="53"/>
      <c r="BC25" s="53"/>
      <c r="BD25" s="86"/>
      <c r="BE25" s="53">
        <v>0</v>
      </c>
      <c r="BF25" s="53">
        <v>0</v>
      </c>
      <c r="BG25" s="53">
        <v>0</v>
      </c>
      <c r="BH25" s="86"/>
      <c r="BI25" s="53"/>
      <c r="BJ25" s="53"/>
      <c r="BK25" s="53"/>
      <c r="BL25" s="53"/>
      <c r="BM25" s="53"/>
      <c r="BN25" s="67"/>
      <c r="BO25" s="68"/>
    </row>
    <row r="26" spans="2:67" ht="31.5" x14ac:dyDescent="0.25">
      <c r="B26" s="63">
        <v>18</v>
      </c>
      <c r="C26" s="64" t="str">
        <f>NOMINATIF!C23</f>
        <v>Triya Wulandari</v>
      </c>
      <c r="D26" s="65">
        <f>NOMINATIF!D23</f>
        <v>4039</v>
      </c>
      <c r="E26" s="65" t="str">
        <f>NOMINATIF!E23</f>
        <v>0051300903</v>
      </c>
      <c r="F26" s="53"/>
      <c r="G26" s="53"/>
      <c r="H26" s="53"/>
      <c r="I26" s="53" t="str">
        <f t="shared" si="0"/>
        <v>Ananda Triya Wulandari  menunjukkan ketekunan di dalam mengerjakan pekerjaan, baik di sekolah maupun di rumah.</v>
      </c>
      <c r="J26" s="53"/>
      <c r="K26" s="53"/>
      <c r="L26" s="53"/>
      <c r="M26" s="53" t="str">
        <f t="shared" si="1"/>
        <v>Ananda Triya Wulandari  menunjukkan ketekunan di dalam mengerjakan pekerjaan, baik di sekolah maupun di  rumah.</v>
      </c>
      <c r="N26" s="53"/>
      <c r="O26" s="53"/>
      <c r="P26" s="53"/>
      <c r="Q26" s="53" t="str">
        <f t="shared" si="2"/>
        <v>Ananda Triya Wulandari  menunjukkan ketekunan di dalam mengerjakan pekerjaan, baik di sekolah maupun di rumah.</v>
      </c>
      <c r="R26" s="53"/>
      <c r="S26" s="53"/>
      <c r="T26" s="53"/>
      <c r="U26" s="53" t="str">
        <f t="shared" si="3"/>
        <v>Ananda Triya Wulandari  menunjukkan ketekunan di dalam mengerjakan pekerjaan, baik di sekolah maupun di rumah.</v>
      </c>
      <c r="V26" s="53"/>
      <c r="W26" s="53"/>
      <c r="X26" s="53"/>
      <c r="Y26" s="53" t="str">
        <f t="shared" si="4"/>
        <v>Ananda Triya Wulandari  menunjukkan ketekunan di dalam mengerjakan pekerjaan, baik di sekolah maupun di rumah.</v>
      </c>
      <c r="Z26" s="86"/>
      <c r="AA26" s="53"/>
      <c r="AB26" s="53"/>
      <c r="AC26" s="53"/>
      <c r="AD26" s="53"/>
      <c r="AE26" s="53"/>
      <c r="AF26" s="53"/>
      <c r="AG26" s="53"/>
      <c r="AH26" s="53"/>
      <c r="AI26" s="53"/>
      <c r="AJ26" s="53" t="s">
        <v>223</v>
      </c>
      <c r="AK26" s="53" t="s">
        <v>224</v>
      </c>
      <c r="AL26" s="53"/>
      <c r="AM26" s="53"/>
      <c r="AN26" s="53"/>
      <c r="AO26" s="53"/>
      <c r="AP26" s="53"/>
      <c r="AQ26" s="53"/>
      <c r="AR26" s="53"/>
      <c r="AS26" s="53"/>
      <c r="AT26" s="53"/>
      <c r="AU26" s="53"/>
      <c r="AV26" s="53"/>
      <c r="AW26" s="53"/>
      <c r="AX26" s="53"/>
      <c r="AY26" s="86"/>
      <c r="AZ26" s="53"/>
      <c r="BA26" s="53"/>
      <c r="BB26" s="53"/>
      <c r="BC26" s="53"/>
      <c r="BD26" s="86"/>
      <c r="BE26" s="53">
        <v>0</v>
      </c>
      <c r="BF26" s="53">
        <v>0</v>
      </c>
      <c r="BG26" s="53">
        <v>0</v>
      </c>
      <c r="BH26" s="86"/>
      <c r="BI26" s="53"/>
      <c r="BJ26" s="53"/>
      <c r="BK26" s="53"/>
      <c r="BL26" s="53"/>
      <c r="BM26" s="53"/>
      <c r="BN26" s="67"/>
      <c r="BO26" s="68"/>
    </row>
    <row r="27" spans="2:67" ht="15.75" x14ac:dyDescent="0.25">
      <c r="B27" s="63">
        <v>19</v>
      </c>
      <c r="C27" s="64" t="str">
        <f>NOMINATIF!C24</f>
        <v>VANESZA PUTRI PATRECIA</v>
      </c>
      <c r="D27" s="65">
        <f>NOMINATIF!D24</f>
        <v>4040</v>
      </c>
      <c r="E27" s="65" t="str">
        <f>NOMINATIF!E24</f>
        <v>0064416027</v>
      </c>
      <c r="F27" s="53"/>
      <c r="G27" s="53"/>
      <c r="H27" s="53"/>
      <c r="I27" s="53" t="str">
        <f t="shared" si="0"/>
        <v>Ananda VANESZA PUTRI PATRECIA  menunjukkan ketekunan di dalam mengerjakan pekerjaan, baik di sekolah maupun di rumah.</v>
      </c>
      <c r="J27" s="53"/>
      <c r="K27" s="53"/>
      <c r="L27" s="53"/>
      <c r="M27" s="53" t="str">
        <f t="shared" si="1"/>
        <v>Ananda VANESZA PUTRI PATRECIA  menunjukkan ketekunan di dalam mengerjakan pekerjaan, baik di sekolah maupun di  rumah.</v>
      </c>
      <c r="N27" s="53"/>
      <c r="O27" s="53"/>
      <c r="P27" s="53"/>
      <c r="Q27" s="53" t="str">
        <f t="shared" si="2"/>
        <v>Ananda VANESZA PUTRI PATRECIA  menunjukkan ketekunan di dalam mengerjakan pekerjaan, baik di sekolah maupun di rumah.</v>
      </c>
      <c r="R27" s="53"/>
      <c r="S27" s="53"/>
      <c r="T27" s="53"/>
      <c r="U27" s="53" t="str">
        <f t="shared" si="3"/>
        <v>Ananda VANESZA PUTRI PATRECIA  menunjukkan ketekunan di dalam mengerjakan pekerjaan, baik di sekolah maupun di rumah.</v>
      </c>
      <c r="V27" s="53"/>
      <c r="W27" s="53"/>
      <c r="X27" s="53"/>
      <c r="Y27" s="53" t="str">
        <f t="shared" si="4"/>
        <v>Ananda VANESZA PUTRI PATRECIA  menunjukkan ketekunan di dalam mengerjakan pekerjaan, baik di sekolah maupun di rumah.</v>
      </c>
      <c r="Z27" s="86"/>
      <c r="AA27" s="53"/>
      <c r="AB27" s="53"/>
      <c r="AC27" s="53"/>
      <c r="AD27" s="53"/>
      <c r="AE27" s="53"/>
      <c r="AF27" s="53"/>
      <c r="AG27" s="53"/>
      <c r="AH27" s="53"/>
      <c r="AI27" s="53"/>
      <c r="AJ27" s="53"/>
      <c r="AK27" s="53"/>
      <c r="AL27" s="53"/>
      <c r="AM27" s="53"/>
      <c r="AN27" s="53"/>
      <c r="AO27" s="53"/>
      <c r="AP27" s="53"/>
      <c r="AQ27" s="53"/>
      <c r="AR27" s="53"/>
      <c r="AS27" s="53"/>
      <c r="AT27" s="53"/>
      <c r="AU27" s="53"/>
      <c r="AV27" s="53"/>
      <c r="AW27" s="53"/>
      <c r="AX27" s="53"/>
      <c r="AY27" s="86"/>
      <c r="AZ27" s="53"/>
      <c r="BA27" s="53"/>
      <c r="BB27" s="53"/>
      <c r="BC27" s="53"/>
      <c r="BD27" s="86"/>
      <c r="BE27" s="53">
        <v>0</v>
      </c>
      <c r="BF27" s="53">
        <v>0</v>
      </c>
      <c r="BG27" s="53">
        <v>0</v>
      </c>
      <c r="BH27" s="86"/>
      <c r="BI27" s="53"/>
      <c r="BJ27" s="53"/>
      <c r="BK27" s="53"/>
      <c r="BL27" s="53"/>
      <c r="BM27" s="53"/>
      <c r="BN27" s="67"/>
      <c r="BO27" s="68"/>
    </row>
    <row r="28" spans="2:67" ht="15.75" x14ac:dyDescent="0.25">
      <c r="B28" s="63">
        <v>20</v>
      </c>
      <c r="C28" s="64" t="str">
        <f>NOMINATIF!C25</f>
        <v>Yanuar Diah Lestari</v>
      </c>
      <c r="D28" s="65">
        <f>NOMINATIF!D25</f>
        <v>4061</v>
      </c>
      <c r="E28" s="65" t="str">
        <f>NOMINATIF!E25</f>
        <v>0052554227</v>
      </c>
      <c r="F28" s="53"/>
      <c r="G28" s="53"/>
      <c r="H28" s="53"/>
      <c r="I28" s="53" t="str">
        <f t="shared" si="0"/>
        <v>Ananda Yanuar Diah Lestari  menunjukkan ketekunan di dalam mengerjakan pekerjaan, baik di sekolah maupun di rumah.</v>
      </c>
      <c r="J28" s="53"/>
      <c r="K28" s="53"/>
      <c r="L28" s="53"/>
      <c r="M28" s="53" t="str">
        <f t="shared" si="1"/>
        <v>Ananda Yanuar Diah Lestari  menunjukkan ketekunan di dalam mengerjakan pekerjaan, baik di sekolah maupun di  rumah.</v>
      </c>
      <c r="N28" s="53"/>
      <c r="O28" s="53"/>
      <c r="P28" s="53"/>
      <c r="Q28" s="53" t="str">
        <f t="shared" si="2"/>
        <v>Ananda Yanuar Diah Lestari  menunjukkan ketekunan di dalam mengerjakan pekerjaan, baik di sekolah maupun di rumah.</v>
      </c>
      <c r="R28" s="53"/>
      <c r="S28" s="53"/>
      <c r="T28" s="53"/>
      <c r="U28" s="53" t="str">
        <f t="shared" si="3"/>
        <v>Ananda Yanuar Diah Lestari  menunjukkan ketekunan di dalam mengerjakan pekerjaan, baik di sekolah maupun di rumah.</v>
      </c>
      <c r="V28" s="53"/>
      <c r="W28" s="53"/>
      <c r="X28" s="53"/>
      <c r="Y28" s="53" t="str">
        <f t="shared" si="4"/>
        <v>Ananda Yanuar Diah Lestari  menunjukkan ketekunan di dalam mengerjakan pekerjaan, baik di sekolah maupun di rumah.</v>
      </c>
      <c r="Z28" s="86"/>
      <c r="AA28" s="53"/>
      <c r="AB28" s="53"/>
      <c r="AC28" s="53"/>
      <c r="AD28" s="53"/>
      <c r="AE28" s="53"/>
      <c r="AF28" s="53"/>
      <c r="AG28" s="53"/>
      <c r="AH28" s="53"/>
      <c r="AI28" s="53"/>
      <c r="AJ28" s="53"/>
      <c r="AK28" s="53"/>
      <c r="AL28" s="53"/>
      <c r="AM28" s="53"/>
      <c r="AN28" s="53"/>
      <c r="AO28" s="53"/>
      <c r="AP28" s="53"/>
      <c r="AQ28" s="53"/>
      <c r="AR28" s="53"/>
      <c r="AS28" s="53"/>
      <c r="AT28" s="53"/>
      <c r="AU28" s="53"/>
      <c r="AV28" s="53"/>
      <c r="AW28" s="53"/>
      <c r="AX28" s="53"/>
      <c r="AY28" s="86"/>
      <c r="AZ28" s="53"/>
      <c r="BA28" s="53"/>
      <c r="BB28" s="53"/>
      <c r="BC28" s="53"/>
      <c r="BD28" s="86"/>
      <c r="BE28" s="53">
        <v>2</v>
      </c>
      <c r="BF28" s="53">
        <v>1</v>
      </c>
      <c r="BG28" s="53">
        <v>0</v>
      </c>
      <c r="BH28" s="86"/>
      <c r="BI28" s="53"/>
      <c r="BJ28" s="53"/>
      <c r="BK28" s="53"/>
      <c r="BL28" s="53"/>
      <c r="BM28" s="53"/>
      <c r="BN28" s="67"/>
      <c r="BO28" s="68"/>
    </row>
    <row r="29" spans="2:67" ht="15.75" x14ac:dyDescent="0.25">
      <c r="B29" s="63">
        <v>21</v>
      </c>
      <c r="C29" s="64">
        <f>NOMINATIF!C26</f>
        <v>0</v>
      </c>
      <c r="D29" s="65">
        <f>NOMINATIF!D26</f>
        <v>0</v>
      </c>
      <c r="E29" s="65">
        <f>NOMINATIF!E26</f>
        <v>0</v>
      </c>
      <c r="F29" s="53"/>
      <c r="G29" s="53"/>
      <c r="H29" s="53"/>
      <c r="I29" s="53" t="str">
        <f t="shared" si="0"/>
        <v>Ananda 0  menunjukkan ketekunan di dalam mengerjakan pekerjaan, baik di sekolah maupun di rumah.</v>
      </c>
      <c r="J29" s="53"/>
      <c r="K29" s="53"/>
      <c r="L29" s="53"/>
      <c r="M29" s="53" t="str">
        <f t="shared" si="1"/>
        <v>Ananda 0  menunjukkan ketekunan di dalam mengerjakan pekerjaan, baik di sekolah maupun di  rumah.</v>
      </c>
      <c r="N29" s="53"/>
      <c r="O29" s="53"/>
      <c r="P29" s="53"/>
      <c r="Q29" s="53" t="str">
        <f t="shared" si="2"/>
        <v>Ananda 0  menunjukkan ketekunan di dalam mengerjakan pekerjaan, baik di sekolah maupun di rumah.</v>
      </c>
      <c r="R29" s="53"/>
      <c r="S29" s="53"/>
      <c r="T29" s="53"/>
      <c r="U29" s="53" t="str">
        <f t="shared" si="3"/>
        <v>Ananda 0  menunjukkan ketekunan di dalam mengerjakan pekerjaan, baik di sekolah maupun di rumah.</v>
      </c>
      <c r="V29" s="53"/>
      <c r="W29" s="53"/>
      <c r="X29" s="53"/>
      <c r="Y29" s="53" t="str">
        <f t="shared" si="4"/>
        <v>Ananda 0  menunjukkan ketekunan di dalam mengerjakan pekerjaan, baik di sekolah maupun di rumah.</v>
      </c>
      <c r="Z29" s="86"/>
      <c r="AA29" s="53"/>
      <c r="AB29" s="53"/>
      <c r="AC29" s="53"/>
      <c r="AD29" s="53"/>
      <c r="AE29" s="53"/>
      <c r="AF29" s="53"/>
      <c r="AG29" s="53"/>
      <c r="AH29" s="53"/>
      <c r="AI29" s="53"/>
      <c r="AJ29" s="53"/>
      <c r="AK29" s="53"/>
      <c r="AL29" s="53"/>
      <c r="AM29" s="53"/>
      <c r="AN29" s="53"/>
      <c r="AO29" s="53"/>
      <c r="AP29" s="53"/>
      <c r="AQ29" s="53"/>
      <c r="AR29" s="53"/>
      <c r="AS29" s="53"/>
      <c r="AT29" s="53"/>
      <c r="AU29" s="53"/>
      <c r="AV29" s="53"/>
      <c r="AW29" s="53"/>
      <c r="AX29" s="53"/>
      <c r="AY29" s="86"/>
      <c r="AZ29" s="53"/>
      <c r="BA29" s="53"/>
      <c r="BB29" s="53"/>
      <c r="BC29" s="53"/>
      <c r="BD29" s="86"/>
      <c r="BE29" s="53"/>
      <c r="BF29" s="53"/>
      <c r="BG29" s="53"/>
      <c r="BH29" s="86"/>
      <c r="BI29" s="53"/>
      <c r="BJ29" s="53"/>
      <c r="BK29" s="53"/>
      <c r="BL29" s="53"/>
      <c r="BM29" s="53"/>
      <c r="BN29" s="67"/>
      <c r="BO29" s="68"/>
    </row>
    <row r="30" spans="2:67" ht="15.75" x14ac:dyDescent="0.25">
      <c r="B30" s="63">
        <v>22</v>
      </c>
      <c r="C30" s="64">
        <f>NOMINATIF!C27</f>
        <v>0</v>
      </c>
      <c r="D30" s="65">
        <f>NOMINATIF!D27</f>
        <v>0</v>
      </c>
      <c r="E30" s="65">
        <f>NOMINATIF!E27</f>
        <v>0</v>
      </c>
      <c r="F30" s="53"/>
      <c r="G30" s="53"/>
      <c r="H30" s="53"/>
      <c r="I30" s="53" t="str">
        <f t="shared" si="0"/>
        <v>Ananda 0  menunjukkan ketekunan di dalam mengerjakan pekerjaan, baik di sekolah maupun di rumah.</v>
      </c>
      <c r="J30" s="53"/>
      <c r="K30" s="53"/>
      <c r="L30" s="53"/>
      <c r="M30" s="53" t="str">
        <f t="shared" si="1"/>
        <v>Ananda 0  menunjukkan ketekunan di dalam mengerjakan pekerjaan, baik di sekolah maupun di  rumah.</v>
      </c>
      <c r="N30" s="53"/>
      <c r="O30" s="53"/>
      <c r="P30" s="53"/>
      <c r="Q30" s="53" t="str">
        <f t="shared" si="2"/>
        <v>Ananda 0  menunjukkan ketekunan di dalam mengerjakan pekerjaan, baik di sekolah maupun di rumah.</v>
      </c>
      <c r="R30" s="53"/>
      <c r="S30" s="53"/>
      <c r="T30" s="53"/>
      <c r="U30" s="53" t="str">
        <f t="shared" si="3"/>
        <v>Ananda 0  menunjukkan ketekunan di dalam mengerjakan pekerjaan, baik di sekolah maupun di rumah.</v>
      </c>
      <c r="V30" s="53"/>
      <c r="W30" s="53"/>
      <c r="X30" s="53"/>
      <c r="Y30" s="53" t="str">
        <f t="shared" si="4"/>
        <v>Ananda 0  menunjukkan ketekunan di dalam mengerjakan pekerjaan, baik di sekolah maupun di rumah.</v>
      </c>
      <c r="Z30" s="86"/>
      <c r="AA30" s="53"/>
      <c r="AB30" s="53"/>
      <c r="AC30" s="53"/>
      <c r="AD30" s="53"/>
      <c r="AE30" s="53"/>
      <c r="AF30" s="53"/>
      <c r="AG30" s="53"/>
      <c r="AH30" s="53"/>
      <c r="AI30" s="53"/>
      <c r="AJ30" s="53"/>
      <c r="AK30" s="53"/>
      <c r="AL30" s="53"/>
      <c r="AM30" s="53"/>
      <c r="AN30" s="53"/>
      <c r="AO30" s="53"/>
      <c r="AP30" s="53"/>
      <c r="AQ30" s="53"/>
      <c r="AR30" s="53"/>
      <c r="AS30" s="53"/>
      <c r="AT30" s="53"/>
      <c r="AU30" s="53"/>
      <c r="AV30" s="53"/>
      <c r="AW30" s="53"/>
      <c r="AX30" s="53"/>
      <c r="AY30" s="86"/>
      <c r="AZ30" s="53"/>
      <c r="BA30" s="53"/>
      <c r="BB30" s="53"/>
      <c r="BC30" s="53"/>
      <c r="BD30" s="86"/>
      <c r="BE30" s="53"/>
      <c r="BF30" s="53"/>
      <c r="BG30" s="53"/>
      <c r="BH30" s="86"/>
      <c r="BI30" s="53"/>
      <c r="BJ30" s="53"/>
      <c r="BK30" s="53"/>
      <c r="BL30" s="53"/>
      <c r="BM30" s="53"/>
      <c r="BN30" s="67"/>
      <c r="BO30" s="68"/>
    </row>
    <row r="31" spans="2:67" ht="15.75" x14ac:dyDescent="0.25">
      <c r="B31" s="63">
        <v>23</v>
      </c>
      <c r="C31" s="64">
        <f>NOMINATIF!C28</f>
        <v>0</v>
      </c>
      <c r="D31" s="65">
        <f>NOMINATIF!D28</f>
        <v>0</v>
      </c>
      <c r="E31" s="65">
        <f>NOMINATIF!E28</f>
        <v>0</v>
      </c>
      <c r="F31" s="53"/>
      <c r="G31" s="53"/>
      <c r="H31" s="53"/>
      <c r="I31" s="53" t="str">
        <f t="shared" si="0"/>
        <v>Ananda 0  menunjukkan ketekunan di dalam mengerjakan pekerjaan, baik di sekolah maupun di rumah.</v>
      </c>
      <c r="J31" s="53"/>
      <c r="K31" s="53"/>
      <c r="L31" s="53"/>
      <c r="M31" s="53" t="str">
        <f t="shared" si="1"/>
        <v>Ananda 0  menunjukkan ketekunan di dalam mengerjakan pekerjaan, baik di sekolah maupun di  rumah.</v>
      </c>
      <c r="N31" s="53"/>
      <c r="O31" s="53"/>
      <c r="P31" s="53"/>
      <c r="Q31" s="53" t="str">
        <f t="shared" si="2"/>
        <v>Ananda 0  menunjukkan ketekunan di dalam mengerjakan pekerjaan, baik di sekolah maupun di rumah.</v>
      </c>
      <c r="R31" s="53"/>
      <c r="S31" s="53"/>
      <c r="T31" s="53"/>
      <c r="U31" s="53" t="str">
        <f t="shared" si="3"/>
        <v>Ananda 0  menunjukkan ketekunan di dalam mengerjakan pekerjaan, baik di sekolah maupun di rumah.</v>
      </c>
      <c r="V31" s="53"/>
      <c r="W31" s="53"/>
      <c r="X31" s="53"/>
      <c r="Y31" s="53" t="str">
        <f t="shared" si="4"/>
        <v>Ananda 0  menunjukkan ketekunan di dalam mengerjakan pekerjaan, baik di sekolah maupun di rumah.</v>
      </c>
      <c r="Z31" s="86"/>
      <c r="AA31" s="53"/>
      <c r="AB31" s="53"/>
      <c r="AC31" s="53"/>
      <c r="AD31" s="53"/>
      <c r="AE31" s="53"/>
      <c r="AF31" s="53"/>
      <c r="AG31" s="53"/>
      <c r="AH31" s="53"/>
      <c r="AI31" s="53"/>
      <c r="AJ31" s="53"/>
      <c r="AK31" s="53"/>
      <c r="AL31" s="53"/>
      <c r="AM31" s="53"/>
      <c r="AN31" s="53"/>
      <c r="AO31" s="53"/>
      <c r="AP31" s="53"/>
      <c r="AQ31" s="53"/>
      <c r="AR31" s="53"/>
      <c r="AS31" s="53"/>
      <c r="AT31" s="53"/>
      <c r="AU31" s="53"/>
      <c r="AV31" s="53"/>
      <c r="AW31" s="53"/>
      <c r="AX31" s="53"/>
      <c r="AY31" s="86"/>
      <c r="AZ31" s="53"/>
      <c r="BA31" s="53"/>
      <c r="BB31" s="53"/>
      <c r="BC31" s="53"/>
      <c r="BD31" s="86"/>
      <c r="BE31" s="53"/>
      <c r="BF31" s="53"/>
      <c r="BG31" s="53"/>
      <c r="BH31" s="86"/>
      <c r="BI31" s="53"/>
      <c r="BJ31" s="53"/>
      <c r="BK31" s="53"/>
      <c r="BL31" s="53"/>
      <c r="BM31" s="53"/>
      <c r="BN31" s="67"/>
      <c r="BO31" s="68"/>
    </row>
    <row r="32" spans="2:67" ht="15.75" x14ac:dyDescent="0.25">
      <c r="B32" s="63">
        <v>24</v>
      </c>
      <c r="C32" s="64">
        <f>NOMINATIF!C29</f>
        <v>0</v>
      </c>
      <c r="D32" s="65">
        <f>NOMINATIF!D29</f>
        <v>0</v>
      </c>
      <c r="E32" s="65">
        <f>NOMINATIF!E29</f>
        <v>0</v>
      </c>
      <c r="F32" s="53"/>
      <c r="G32" s="53"/>
      <c r="H32" s="53"/>
      <c r="I32" s="53" t="str">
        <f t="shared" si="0"/>
        <v>Ananda 0  menunjukkan ketekunan di dalam mengerjakan pekerjaan, baik di sekolah maupun di rumah.</v>
      </c>
      <c r="J32" s="53"/>
      <c r="K32" s="53"/>
      <c r="L32" s="53"/>
      <c r="M32" s="53" t="str">
        <f t="shared" si="1"/>
        <v>Ananda 0  menunjukkan ketekunan di dalam mengerjakan pekerjaan, baik di sekolah maupun di  rumah.</v>
      </c>
      <c r="N32" s="53"/>
      <c r="O32" s="53"/>
      <c r="P32" s="53"/>
      <c r="Q32" s="53" t="str">
        <f t="shared" si="2"/>
        <v>Ananda 0  menunjukkan ketekunan di dalam mengerjakan pekerjaan, baik di sekolah maupun di rumah.</v>
      </c>
      <c r="R32" s="53"/>
      <c r="S32" s="53"/>
      <c r="T32" s="53"/>
      <c r="U32" s="53" t="str">
        <f t="shared" si="3"/>
        <v>Ananda 0  menunjukkan ketekunan di dalam mengerjakan pekerjaan, baik di sekolah maupun di rumah.</v>
      </c>
      <c r="V32" s="53"/>
      <c r="W32" s="53"/>
      <c r="X32" s="53"/>
      <c r="Y32" s="53" t="str">
        <f t="shared" si="4"/>
        <v>Ananda 0  menunjukkan ketekunan di dalam mengerjakan pekerjaan, baik di sekolah maupun di rumah.</v>
      </c>
      <c r="Z32" s="86"/>
      <c r="AA32" s="53"/>
      <c r="AB32" s="53"/>
      <c r="AC32" s="53"/>
      <c r="AD32" s="53"/>
      <c r="AE32" s="53"/>
      <c r="AF32" s="53"/>
      <c r="AG32" s="53"/>
      <c r="AH32" s="53"/>
      <c r="AI32" s="53"/>
      <c r="AJ32" s="53"/>
      <c r="AK32" s="53"/>
      <c r="AL32" s="53"/>
      <c r="AM32" s="53"/>
      <c r="AN32" s="53"/>
      <c r="AO32" s="53"/>
      <c r="AP32" s="53"/>
      <c r="AQ32" s="53"/>
      <c r="AR32" s="53"/>
      <c r="AS32" s="53"/>
      <c r="AT32" s="53"/>
      <c r="AU32" s="53"/>
      <c r="AV32" s="53"/>
      <c r="AW32" s="53"/>
      <c r="AX32" s="53"/>
      <c r="AY32" s="86"/>
      <c r="AZ32" s="53"/>
      <c r="BA32" s="53"/>
      <c r="BB32" s="53"/>
      <c r="BC32" s="53"/>
      <c r="BD32" s="86"/>
      <c r="BE32" s="53"/>
      <c r="BF32" s="53"/>
      <c r="BG32" s="53"/>
      <c r="BH32" s="86"/>
      <c r="BI32" s="53"/>
      <c r="BJ32" s="53"/>
      <c r="BK32" s="53"/>
      <c r="BL32" s="53"/>
      <c r="BM32" s="53"/>
      <c r="BN32" s="67"/>
      <c r="BO32" s="68"/>
    </row>
    <row r="33" spans="2:67" ht="15.75" x14ac:dyDescent="0.25">
      <c r="B33" s="63">
        <v>25</v>
      </c>
      <c r="C33" s="64">
        <f>NOMINATIF!C30</f>
        <v>0</v>
      </c>
      <c r="D33" s="65">
        <f>NOMINATIF!D30</f>
        <v>0</v>
      </c>
      <c r="E33" s="65">
        <f>NOMINATIF!E30</f>
        <v>0</v>
      </c>
      <c r="F33" s="53"/>
      <c r="G33" s="53"/>
      <c r="H33" s="53"/>
      <c r="I33" s="53" t="str">
        <f t="shared" si="0"/>
        <v>Ananda 0  menunjukkan ketekunan di dalam mengerjakan pekerjaan, baik di sekolah maupun di rumah.</v>
      </c>
      <c r="J33" s="53"/>
      <c r="K33" s="53"/>
      <c r="L33" s="53"/>
      <c r="M33" s="53" t="str">
        <f t="shared" si="1"/>
        <v>Ananda 0  menunjukkan ketekunan di dalam mengerjakan pekerjaan, baik di sekolah maupun di  rumah.</v>
      </c>
      <c r="N33" s="53"/>
      <c r="O33" s="53"/>
      <c r="P33" s="53"/>
      <c r="Q33" s="53" t="str">
        <f t="shared" si="2"/>
        <v>Ananda 0  menunjukkan ketekunan di dalam mengerjakan pekerjaan, baik di sekolah maupun di rumah.</v>
      </c>
      <c r="R33" s="53"/>
      <c r="S33" s="53"/>
      <c r="T33" s="53"/>
      <c r="U33" s="53" t="str">
        <f t="shared" si="3"/>
        <v>Ananda 0  menunjukkan ketekunan di dalam mengerjakan pekerjaan, baik di sekolah maupun di rumah.</v>
      </c>
      <c r="V33" s="53"/>
      <c r="W33" s="53"/>
      <c r="X33" s="53"/>
      <c r="Y33" s="53" t="str">
        <f t="shared" si="4"/>
        <v>Ananda 0  menunjukkan ketekunan di dalam mengerjakan pekerjaan, baik di sekolah maupun di rumah.</v>
      </c>
      <c r="Z33" s="86"/>
      <c r="AA33" s="53"/>
      <c r="AB33" s="53"/>
      <c r="AC33" s="53"/>
      <c r="AD33" s="53"/>
      <c r="AE33" s="53"/>
      <c r="AF33" s="53"/>
      <c r="AG33" s="53"/>
      <c r="AH33" s="53"/>
      <c r="AI33" s="53"/>
      <c r="AJ33" s="53"/>
      <c r="AK33" s="53"/>
      <c r="AL33" s="53"/>
      <c r="AM33" s="53"/>
      <c r="AN33" s="53"/>
      <c r="AO33" s="53"/>
      <c r="AP33" s="53"/>
      <c r="AQ33" s="53"/>
      <c r="AR33" s="53"/>
      <c r="AS33" s="53"/>
      <c r="AT33" s="53"/>
      <c r="AU33" s="53"/>
      <c r="AV33" s="53"/>
      <c r="AW33" s="53"/>
      <c r="AX33" s="53"/>
      <c r="AY33" s="86"/>
      <c r="AZ33" s="53"/>
      <c r="BA33" s="53"/>
      <c r="BB33" s="53"/>
      <c r="BC33" s="53"/>
      <c r="BD33" s="86"/>
      <c r="BE33" s="53"/>
      <c r="BF33" s="53"/>
      <c r="BG33" s="53"/>
      <c r="BH33" s="86"/>
      <c r="BI33" s="53"/>
      <c r="BJ33" s="53"/>
      <c r="BK33" s="53"/>
      <c r="BL33" s="53"/>
      <c r="BM33" s="53"/>
      <c r="BN33" s="67"/>
      <c r="BO33" s="68"/>
    </row>
    <row r="34" spans="2:67" ht="15.75" x14ac:dyDescent="0.25">
      <c r="B34" s="63">
        <v>26</v>
      </c>
      <c r="C34" s="64">
        <f>NOMINATIF!C31</f>
        <v>0</v>
      </c>
      <c r="D34" s="65">
        <f>NOMINATIF!D31</f>
        <v>0</v>
      </c>
      <c r="E34" s="65">
        <f>NOMINATIF!E31</f>
        <v>0</v>
      </c>
      <c r="F34" s="53"/>
      <c r="G34" s="53"/>
      <c r="H34" s="53"/>
      <c r="I34" s="53" t="str">
        <f t="shared" si="0"/>
        <v>Ananda 0  menunjukkan ketekunan di dalam mengerjakan pekerjaan, baik di sekolah maupun di rumah.</v>
      </c>
      <c r="J34" s="53"/>
      <c r="K34" s="53"/>
      <c r="L34" s="53"/>
      <c r="M34" s="53" t="str">
        <f t="shared" si="1"/>
        <v>Ananda 0  menunjukkan ketekunan di dalam mengerjakan pekerjaan, baik di sekolah maupun di  rumah.</v>
      </c>
      <c r="N34" s="53"/>
      <c r="O34" s="53"/>
      <c r="P34" s="53"/>
      <c r="Q34" s="53" t="str">
        <f t="shared" si="2"/>
        <v>Ananda 0  menunjukkan ketekunan di dalam mengerjakan pekerjaan, baik di sekolah maupun di rumah.</v>
      </c>
      <c r="R34" s="53"/>
      <c r="S34" s="53"/>
      <c r="T34" s="53"/>
      <c r="U34" s="53" t="str">
        <f t="shared" si="3"/>
        <v>Ananda 0  menunjukkan ketekunan di dalam mengerjakan pekerjaan, baik di sekolah maupun di rumah.</v>
      </c>
      <c r="V34" s="53"/>
      <c r="W34" s="53"/>
      <c r="X34" s="53"/>
      <c r="Y34" s="53" t="str">
        <f t="shared" si="4"/>
        <v>Ananda 0  menunjukkan ketekunan di dalam mengerjakan pekerjaan, baik di sekolah maupun di rumah.</v>
      </c>
      <c r="Z34" s="86"/>
      <c r="AA34" s="53"/>
      <c r="AB34" s="53"/>
      <c r="AC34" s="53"/>
      <c r="AD34" s="53"/>
      <c r="AE34" s="53"/>
      <c r="AF34" s="53"/>
      <c r="AG34" s="53"/>
      <c r="AH34" s="53"/>
      <c r="AI34" s="53"/>
      <c r="AJ34" s="53"/>
      <c r="AK34" s="53"/>
      <c r="AL34" s="53"/>
      <c r="AM34" s="53"/>
      <c r="AN34" s="53"/>
      <c r="AO34" s="53"/>
      <c r="AP34" s="53"/>
      <c r="AQ34" s="53"/>
      <c r="AR34" s="53"/>
      <c r="AS34" s="53"/>
      <c r="AT34" s="53"/>
      <c r="AU34" s="53"/>
      <c r="AV34" s="53"/>
      <c r="AW34" s="53"/>
      <c r="AX34" s="53"/>
      <c r="AY34" s="86"/>
      <c r="AZ34" s="53"/>
      <c r="BA34" s="53"/>
      <c r="BB34" s="53"/>
      <c r="BC34" s="53"/>
      <c r="BD34" s="86"/>
      <c r="BE34" s="53"/>
      <c r="BF34" s="53"/>
      <c r="BG34" s="53"/>
      <c r="BH34" s="86"/>
      <c r="BI34" s="53"/>
      <c r="BJ34" s="53"/>
      <c r="BK34" s="53"/>
      <c r="BL34" s="53"/>
      <c r="BM34" s="53"/>
      <c r="BN34" s="67"/>
      <c r="BO34" s="68"/>
    </row>
    <row r="35" spans="2:67" ht="15.75" x14ac:dyDescent="0.25">
      <c r="B35" s="63">
        <v>27</v>
      </c>
      <c r="C35" s="64">
        <f>NOMINATIF!C32</f>
        <v>0</v>
      </c>
      <c r="D35" s="65">
        <f>NOMINATIF!D32</f>
        <v>0</v>
      </c>
      <c r="E35" s="65">
        <f>NOMINATIF!E32</f>
        <v>0</v>
      </c>
      <c r="F35" s="53"/>
      <c r="G35" s="53"/>
      <c r="H35" s="53"/>
      <c r="I35" s="53" t="str">
        <f t="shared" si="0"/>
        <v>Ananda 0  menunjukkan ketekunan di dalam mengerjakan pekerjaan, baik di sekolah maupun di rumah.</v>
      </c>
      <c r="J35" s="53"/>
      <c r="K35" s="53"/>
      <c r="L35" s="53"/>
      <c r="M35" s="53" t="str">
        <f t="shared" si="1"/>
        <v>Ananda 0  menunjukkan ketekunan di dalam mengerjakan pekerjaan, baik di sekolah maupun di  rumah.</v>
      </c>
      <c r="N35" s="53"/>
      <c r="O35" s="53"/>
      <c r="P35" s="53"/>
      <c r="Q35" s="53" t="str">
        <f t="shared" si="2"/>
        <v>Ananda 0  menunjukkan ketekunan di dalam mengerjakan pekerjaan, baik di sekolah maupun di rumah.</v>
      </c>
      <c r="R35" s="53"/>
      <c r="S35" s="53"/>
      <c r="T35" s="53"/>
      <c r="U35" s="53" t="str">
        <f t="shared" si="3"/>
        <v>Ananda 0  menunjukkan ketekunan di dalam mengerjakan pekerjaan, baik di sekolah maupun di rumah.</v>
      </c>
      <c r="V35" s="53"/>
      <c r="W35" s="53"/>
      <c r="X35" s="53"/>
      <c r="Y35" s="53" t="str">
        <f t="shared" si="4"/>
        <v>Ananda 0  menunjukkan ketekunan di dalam mengerjakan pekerjaan, baik di sekolah maupun di rumah.</v>
      </c>
      <c r="Z35" s="86"/>
      <c r="AA35" s="53"/>
      <c r="AB35" s="53"/>
      <c r="AC35" s="53"/>
      <c r="AD35" s="53"/>
      <c r="AE35" s="53"/>
      <c r="AF35" s="53"/>
      <c r="AG35" s="53"/>
      <c r="AH35" s="53"/>
      <c r="AI35" s="53"/>
      <c r="AJ35" s="53"/>
      <c r="AK35" s="53"/>
      <c r="AL35" s="53"/>
      <c r="AM35" s="53"/>
      <c r="AN35" s="53"/>
      <c r="AO35" s="53"/>
      <c r="AP35" s="53"/>
      <c r="AQ35" s="53"/>
      <c r="AR35" s="53"/>
      <c r="AS35" s="53"/>
      <c r="AT35" s="53"/>
      <c r="AU35" s="53"/>
      <c r="AV35" s="53"/>
      <c r="AW35" s="53"/>
      <c r="AX35" s="53"/>
      <c r="AY35" s="86"/>
      <c r="AZ35" s="53"/>
      <c r="BA35" s="53"/>
      <c r="BB35" s="53"/>
      <c r="BC35" s="53"/>
      <c r="BD35" s="86"/>
      <c r="BE35" s="53"/>
      <c r="BF35" s="53"/>
      <c r="BG35" s="53"/>
      <c r="BH35" s="86"/>
      <c r="BI35" s="53"/>
      <c r="BJ35" s="53"/>
      <c r="BK35" s="53"/>
      <c r="BL35" s="53"/>
      <c r="BM35" s="53"/>
      <c r="BN35" s="67"/>
      <c r="BO35" s="68"/>
    </row>
    <row r="36" spans="2:67" ht="15.75" x14ac:dyDescent="0.25">
      <c r="B36" s="63">
        <v>28</v>
      </c>
      <c r="C36" s="64">
        <f>NOMINATIF!C33</f>
        <v>0</v>
      </c>
      <c r="D36" s="65">
        <f>NOMINATIF!D33</f>
        <v>0</v>
      </c>
      <c r="E36" s="65">
        <f>NOMINATIF!E33</f>
        <v>0</v>
      </c>
      <c r="F36" s="53"/>
      <c r="G36" s="53"/>
      <c r="H36" s="53"/>
      <c r="I36" s="53" t="str">
        <f t="shared" si="0"/>
        <v>Ananda 0  menunjukkan ketekunan di dalam mengerjakan pekerjaan, baik di sekolah maupun di rumah.</v>
      </c>
      <c r="J36" s="53"/>
      <c r="K36" s="53"/>
      <c r="L36" s="53"/>
      <c r="M36" s="53" t="str">
        <f t="shared" si="1"/>
        <v>Ananda 0  menunjukkan ketekunan di dalam mengerjakan pekerjaan, baik di sekolah maupun di  rumah.</v>
      </c>
      <c r="N36" s="53"/>
      <c r="O36" s="53"/>
      <c r="P36" s="53"/>
      <c r="Q36" s="53" t="str">
        <f t="shared" si="2"/>
        <v>Ananda 0  menunjukkan ketekunan di dalam mengerjakan pekerjaan, baik di sekolah maupun di rumah.</v>
      </c>
      <c r="R36" s="53"/>
      <c r="S36" s="53"/>
      <c r="T36" s="53"/>
      <c r="U36" s="53" t="str">
        <f t="shared" si="3"/>
        <v>Ananda 0  menunjukkan ketekunan di dalam mengerjakan pekerjaan, baik di sekolah maupun di rumah.</v>
      </c>
      <c r="V36" s="53"/>
      <c r="W36" s="53"/>
      <c r="X36" s="53"/>
      <c r="Y36" s="53" t="str">
        <f t="shared" si="4"/>
        <v>Ananda 0  menunjukkan ketekunan di dalam mengerjakan pekerjaan, baik di sekolah maupun di rumah.</v>
      </c>
      <c r="Z36" s="86"/>
      <c r="AA36" s="53"/>
      <c r="AB36" s="53"/>
      <c r="AC36" s="53"/>
      <c r="AD36" s="53"/>
      <c r="AE36" s="53"/>
      <c r="AF36" s="53"/>
      <c r="AG36" s="53"/>
      <c r="AH36" s="53"/>
      <c r="AI36" s="53"/>
      <c r="AJ36" s="53"/>
      <c r="AK36" s="53"/>
      <c r="AL36" s="53"/>
      <c r="AM36" s="53"/>
      <c r="AN36" s="53"/>
      <c r="AO36" s="53"/>
      <c r="AP36" s="53"/>
      <c r="AQ36" s="53"/>
      <c r="AR36" s="53"/>
      <c r="AS36" s="53"/>
      <c r="AT36" s="53"/>
      <c r="AU36" s="53"/>
      <c r="AV36" s="53"/>
      <c r="AW36" s="53"/>
      <c r="AX36" s="53"/>
      <c r="AY36" s="86"/>
      <c r="AZ36" s="53"/>
      <c r="BA36" s="53"/>
      <c r="BB36" s="53"/>
      <c r="BC36" s="53"/>
      <c r="BD36" s="86"/>
      <c r="BE36" s="53"/>
      <c r="BF36" s="53"/>
      <c r="BG36" s="53"/>
      <c r="BH36" s="86"/>
      <c r="BI36" s="53"/>
      <c r="BJ36" s="53"/>
      <c r="BK36" s="53"/>
      <c r="BL36" s="53"/>
      <c r="BM36" s="53"/>
      <c r="BN36" s="67"/>
      <c r="BO36" s="68"/>
    </row>
    <row r="37" spans="2:67" ht="15.75" x14ac:dyDescent="0.25">
      <c r="B37" s="63">
        <v>29</v>
      </c>
      <c r="C37" s="64">
        <f>NOMINATIF!C34</f>
        <v>0</v>
      </c>
      <c r="D37" s="65">
        <f>NOMINATIF!D34</f>
        <v>0</v>
      </c>
      <c r="E37" s="65">
        <f>NOMINATIF!E34</f>
        <v>0</v>
      </c>
      <c r="F37" s="53"/>
      <c r="G37" s="53"/>
      <c r="H37" s="53"/>
      <c r="I37" s="53" t="str">
        <f t="shared" si="0"/>
        <v>Ananda 0  menunjukkan ketekunan di dalam mengerjakan pekerjaan, baik di sekolah maupun di rumah.</v>
      </c>
      <c r="J37" s="53"/>
      <c r="K37" s="53"/>
      <c r="L37" s="53"/>
      <c r="M37" s="53" t="str">
        <f t="shared" si="1"/>
        <v>Ananda 0  menunjukkan ketekunan di dalam mengerjakan pekerjaan, baik di sekolah maupun di  rumah.</v>
      </c>
      <c r="N37" s="53"/>
      <c r="O37" s="53"/>
      <c r="P37" s="53"/>
      <c r="Q37" s="53" t="str">
        <f t="shared" si="2"/>
        <v>Ananda 0  menunjukkan ketekunan di dalam mengerjakan pekerjaan, baik di sekolah maupun di rumah.</v>
      </c>
      <c r="R37" s="53"/>
      <c r="S37" s="53"/>
      <c r="T37" s="53"/>
      <c r="U37" s="53" t="str">
        <f t="shared" si="3"/>
        <v>Ananda 0  menunjukkan ketekunan di dalam mengerjakan pekerjaan, baik di sekolah maupun di rumah.</v>
      </c>
      <c r="V37" s="53"/>
      <c r="W37" s="53"/>
      <c r="X37" s="53"/>
      <c r="Y37" s="53" t="str">
        <f t="shared" si="4"/>
        <v>Ananda 0  menunjukkan ketekunan di dalam mengerjakan pekerjaan, baik di sekolah maupun di rumah.</v>
      </c>
      <c r="Z37" s="86"/>
      <c r="AA37" s="53"/>
      <c r="AB37" s="53"/>
      <c r="AC37" s="53"/>
      <c r="AD37" s="53"/>
      <c r="AE37" s="53"/>
      <c r="AF37" s="53"/>
      <c r="AG37" s="53"/>
      <c r="AH37" s="53"/>
      <c r="AI37" s="53"/>
      <c r="AJ37" s="53"/>
      <c r="AK37" s="53"/>
      <c r="AL37" s="53"/>
      <c r="AM37" s="53"/>
      <c r="AN37" s="53"/>
      <c r="AO37" s="53"/>
      <c r="AP37" s="53"/>
      <c r="AQ37" s="53"/>
      <c r="AR37" s="53"/>
      <c r="AS37" s="53"/>
      <c r="AT37" s="53"/>
      <c r="AU37" s="53"/>
      <c r="AV37" s="53"/>
      <c r="AW37" s="53"/>
      <c r="AX37" s="53"/>
      <c r="AY37" s="86"/>
      <c r="AZ37" s="53"/>
      <c r="BA37" s="53"/>
      <c r="BB37" s="53"/>
      <c r="BC37" s="53"/>
      <c r="BD37" s="86"/>
      <c r="BE37" s="53"/>
      <c r="BF37" s="53"/>
      <c r="BG37" s="53"/>
      <c r="BH37" s="86"/>
      <c r="BI37" s="53"/>
      <c r="BJ37" s="53"/>
      <c r="BK37" s="53"/>
      <c r="BL37" s="53"/>
      <c r="BM37" s="53"/>
      <c r="BN37" s="67"/>
      <c r="BO37" s="68"/>
    </row>
    <row r="38" spans="2:67" ht="15.75" x14ac:dyDescent="0.25">
      <c r="B38" s="63">
        <v>30</v>
      </c>
      <c r="C38" s="64">
        <f>NOMINATIF!C35</f>
        <v>0</v>
      </c>
      <c r="D38" s="65">
        <f>NOMINATIF!D35</f>
        <v>0</v>
      </c>
      <c r="E38" s="65">
        <f>NOMINATIF!E35</f>
        <v>0</v>
      </c>
      <c r="F38" s="53"/>
      <c r="G38" s="53"/>
      <c r="H38" s="53"/>
      <c r="I38" s="53" t="str">
        <f t="shared" si="0"/>
        <v>Ananda 0  menunjukkan ketekunan di dalam mengerjakan pekerjaan, baik di sekolah maupun di rumah.</v>
      </c>
      <c r="J38" s="53"/>
      <c r="K38" s="53"/>
      <c r="L38" s="53"/>
      <c r="M38" s="53" t="str">
        <f t="shared" si="1"/>
        <v>Ananda 0  menunjukkan ketekunan di dalam mengerjakan pekerjaan, baik di sekolah maupun di  rumah.</v>
      </c>
      <c r="N38" s="53"/>
      <c r="O38" s="53"/>
      <c r="P38" s="53"/>
      <c r="Q38" s="53" t="str">
        <f t="shared" si="2"/>
        <v>Ananda 0  menunjukkan ketekunan di dalam mengerjakan pekerjaan, baik di sekolah maupun di rumah.</v>
      </c>
      <c r="R38" s="53"/>
      <c r="S38" s="53"/>
      <c r="T38" s="53"/>
      <c r="U38" s="53" t="str">
        <f t="shared" si="3"/>
        <v>Ananda 0  menunjukkan ketekunan di dalam mengerjakan pekerjaan, baik di sekolah maupun di rumah.</v>
      </c>
      <c r="V38" s="53"/>
      <c r="W38" s="53"/>
      <c r="X38" s="53"/>
      <c r="Y38" s="53" t="str">
        <f t="shared" si="4"/>
        <v>Ananda 0  menunjukkan ketekunan di dalam mengerjakan pekerjaan, baik di sekolah maupun di rumah.</v>
      </c>
      <c r="Z38" s="86"/>
      <c r="AA38" s="53"/>
      <c r="AB38" s="53"/>
      <c r="AC38" s="53"/>
      <c r="AD38" s="53"/>
      <c r="AE38" s="53"/>
      <c r="AF38" s="53"/>
      <c r="AG38" s="53"/>
      <c r="AH38" s="53"/>
      <c r="AI38" s="53"/>
      <c r="AJ38" s="53"/>
      <c r="AK38" s="53"/>
      <c r="AL38" s="53"/>
      <c r="AM38" s="53"/>
      <c r="AN38" s="53"/>
      <c r="AO38" s="53"/>
      <c r="AP38" s="53"/>
      <c r="AQ38" s="53"/>
      <c r="AR38" s="53"/>
      <c r="AS38" s="53"/>
      <c r="AT38" s="53"/>
      <c r="AU38" s="53"/>
      <c r="AV38" s="53"/>
      <c r="AW38" s="53"/>
      <c r="AX38" s="53"/>
      <c r="AY38" s="86"/>
      <c r="AZ38" s="53"/>
      <c r="BA38" s="53"/>
      <c r="BB38" s="53"/>
      <c r="BC38" s="53"/>
      <c r="BD38" s="86"/>
      <c r="BE38" s="53"/>
      <c r="BF38" s="53"/>
      <c r="BG38" s="53"/>
      <c r="BH38" s="86"/>
      <c r="BI38" s="53"/>
      <c r="BJ38" s="53"/>
      <c r="BK38" s="53"/>
      <c r="BL38" s="53"/>
      <c r="BM38" s="53"/>
      <c r="BN38" s="67"/>
      <c r="BO38" s="68"/>
    </row>
    <row r="39" spans="2:67" ht="15.75" x14ac:dyDescent="0.25">
      <c r="B39" s="63">
        <v>31</v>
      </c>
      <c r="C39" s="64">
        <f>NOMINATIF!C36</f>
        <v>0</v>
      </c>
      <c r="D39" s="65">
        <f>NOMINATIF!D36</f>
        <v>0</v>
      </c>
      <c r="E39" s="65">
        <f>NOMINATIF!E36</f>
        <v>0</v>
      </c>
      <c r="F39" s="53"/>
      <c r="G39" s="53"/>
      <c r="H39" s="53"/>
      <c r="I39" s="53" t="str">
        <f t="shared" si="0"/>
        <v>Ananda 0  menunjukkan ketekunan di dalam mengerjakan pekerjaan, baik di sekolah maupun di rumah.</v>
      </c>
      <c r="J39" s="53"/>
      <c r="K39" s="53"/>
      <c r="L39" s="53"/>
      <c r="M39" s="53" t="str">
        <f t="shared" si="1"/>
        <v>Ananda 0  menunjukkan ketekunan di dalam mengerjakan pekerjaan, baik di sekolah maupun di  rumah.</v>
      </c>
      <c r="N39" s="53"/>
      <c r="O39" s="53"/>
      <c r="P39" s="53"/>
      <c r="Q39" s="53" t="str">
        <f t="shared" si="2"/>
        <v>Ananda 0  menunjukkan ketekunan di dalam mengerjakan pekerjaan, baik di sekolah maupun di rumah.</v>
      </c>
      <c r="R39" s="53"/>
      <c r="S39" s="53"/>
      <c r="T39" s="53"/>
      <c r="U39" s="53" t="str">
        <f t="shared" si="3"/>
        <v>Ananda 0  menunjukkan ketekunan di dalam mengerjakan pekerjaan, baik di sekolah maupun di rumah.</v>
      </c>
      <c r="V39" s="53"/>
      <c r="W39" s="53"/>
      <c r="X39" s="53"/>
      <c r="Y39" s="53" t="str">
        <f t="shared" si="4"/>
        <v>Ananda 0  menunjukkan ketekunan di dalam mengerjakan pekerjaan, baik di sekolah maupun di rumah.</v>
      </c>
      <c r="Z39" s="86"/>
      <c r="AA39" s="53"/>
      <c r="AB39" s="53"/>
      <c r="AC39" s="53"/>
      <c r="AD39" s="53"/>
      <c r="AE39" s="53"/>
      <c r="AF39" s="53"/>
      <c r="AG39" s="53"/>
      <c r="AH39" s="53"/>
      <c r="AI39" s="53"/>
      <c r="AJ39" s="53"/>
      <c r="AK39" s="53"/>
      <c r="AL39" s="53"/>
      <c r="AM39" s="53"/>
      <c r="AN39" s="53"/>
      <c r="AO39" s="53"/>
      <c r="AP39" s="53"/>
      <c r="AQ39" s="53"/>
      <c r="AR39" s="53"/>
      <c r="AS39" s="53"/>
      <c r="AT39" s="53"/>
      <c r="AU39" s="53"/>
      <c r="AV39" s="53"/>
      <c r="AW39" s="53"/>
      <c r="AX39" s="53"/>
      <c r="AY39" s="86"/>
      <c r="AZ39" s="53"/>
      <c r="BA39" s="53"/>
      <c r="BB39" s="53"/>
      <c r="BC39" s="53"/>
      <c r="BD39" s="86"/>
      <c r="BE39" s="53"/>
      <c r="BF39" s="53"/>
      <c r="BG39" s="53"/>
      <c r="BH39" s="86"/>
      <c r="BI39" s="53"/>
      <c r="BJ39" s="53"/>
      <c r="BK39" s="53"/>
      <c r="BL39" s="53"/>
      <c r="BM39" s="53"/>
      <c r="BN39" s="67"/>
      <c r="BO39" s="68"/>
    </row>
    <row r="40" spans="2:67" ht="15.75" x14ac:dyDescent="0.25">
      <c r="B40" s="63">
        <v>32</v>
      </c>
      <c r="C40" s="64">
        <f>NOMINATIF!C37</f>
        <v>0</v>
      </c>
      <c r="D40" s="65">
        <f>NOMINATIF!D37</f>
        <v>0</v>
      </c>
      <c r="E40" s="65">
        <f>NOMINATIF!E37</f>
        <v>0</v>
      </c>
      <c r="F40" s="53"/>
      <c r="G40" s="53"/>
      <c r="H40" s="53"/>
      <c r="I40" s="53" t="str">
        <f t="shared" si="0"/>
        <v>Ananda 0  menunjukkan ketekunan di dalam mengerjakan pekerjaan, baik di sekolah maupun di rumah.</v>
      </c>
      <c r="J40" s="53"/>
      <c r="K40" s="53"/>
      <c r="L40" s="53"/>
      <c r="M40" s="53" t="str">
        <f t="shared" si="1"/>
        <v>Ananda 0  menunjukkan ketekunan di dalam mengerjakan pekerjaan, baik di sekolah maupun di  rumah.</v>
      </c>
      <c r="N40" s="53"/>
      <c r="O40" s="53"/>
      <c r="P40" s="53"/>
      <c r="Q40" s="53" t="str">
        <f t="shared" si="2"/>
        <v>Ananda 0  menunjukkan ketekunan di dalam mengerjakan pekerjaan, baik di sekolah maupun di rumah.</v>
      </c>
      <c r="R40" s="53"/>
      <c r="S40" s="53"/>
      <c r="T40" s="53"/>
      <c r="U40" s="53" t="str">
        <f t="shared" si="3"/>
        <v>Ananda 0  menunjukkan ketekunan di dalam mengerjakan pekerjaan, baik di sekolah maupun di rumah.</v>
      </c>
      <c r="V40" s="53"/>
      <c r="W40" s="53"/>
      <c r="X40" s="53"/>
      <c r="Y40" s="53" t="str">
        <f t="shared" si="4"/>
        <v>Ananda 0  menunjukkan ketekunan di dalam mengerjakan pekerjaan, baik di sekolah maupun di rumah.</v>
      </c>
      <c r="Z40" s="86"/>
      <c r="AA40" s="53"/>
      <c r="AB40" s="53"/>
      <c r="AC40" s="53"/>
      <c r="AD40" s="53"/>
      <c r="AE40" s="53"/>
      <c r="AF40" s="53"/>
      <c r="AG40" s="53"/>
      <c r="AH40" s="53"/>
      <c r="AI40" s="53"/>
      <c r="AJ40" s="53"/>
      <c r="AK40" s="53"/>
      <c r="AL40" s="53"/>
      <c r="AM40" s="53"/>
      <c r="AN40" s="53"/>
      <c r="AO40" s="53"/>
      <c r="AP40" s="53"/>
      <c r="AQ40" s="53"/>
      <c r="AR40" s="53"/>
      <c r="AS40" s="53"/>
      <c r="AT40" s="53"/>
      <c r="AU40" s="53"/>
      <c r="AV40" s="53"/>
      <c r="AW40" s="53"/>
      <c r="AX40" s="53"/>
      <c r="AY40" s="86"/>
      <c r="AZ40" s="53"/>
      <c r="BA40" s="53"/>
      <c r="BB40" s="53"/>
      <c r="BC40" s="53"/>
      <c r="BD40" s="86"/>
      <c r="BE40" s="53"/>
      <c r="BF40" s="53"/>
      <c r="BG40" s="53"/>
      <c r="BH40" s="86"/>
      <c r="BI40" s="53"/>
      <c r="BJ40" s="53"/>
      <c r="BK40" s="53"/>
      <c r="BL40" s="53"/>
      <c r="BM40" s="53"/>
      <c r="BN40" s="67"/>
      <c r="BO40" s="68"/>
    </row>
    <row r="41" spans="2:67" ht="15.75" x14ac:dyDescent="0.25">
      <c r="B41" s="63">
        <v>33</v>
      </c>
      <c r="C41" s="64">
        <f>NOMINATIF!C38</f>
        <v>0</v>
      </c>
      <c r="D41" s="65">
        <f>NOMINATIF!D38</f>
        <v>0</v>
      </c>
      <c r="E41" s="65">
        <f>NOMINATIF!E38</f>
        <v>0</v>
      </c>
      <c r="F41" s="53"/>
      <c r="G41" s="53"/>
      <c r="H41" s="53"/>
      <c r="I41" s="53" t="str">
        <f t="shared" si="0"/>
        <v>Ananda 0  menunjukkan ketekunan di dalam mengerjakan pekerjaan, baik di sekolah maupun di rumah.</v>
      </c>
      <c r="J41" s="53"/>
      <c r="K41" s="53"/>
      <c r="L41" s="53"/>
      <c r="M41" s="53" t="str">
        <f t="shared" si="1"/>
        <v>Ananda 0  menunjukkan ketekunan di dalam mengerjakan pekerjaan, baik di sekolah maupun di  rumah.</v>
      </c>
      <c r="N41" s="53"/>
      <c r="O41" s="53"/>
      <c r="P41" s="53"/>
      <c r="Q41" s="53" t="str">
        <f t="shared" si="2"/>
        <v>Ananda 0  menunjukkan ketekunan di dalam mengerjakan pekerjaan, baik di sekolah maupun di rumah.</v>
      </c>
      <c r="R41" s="53"/>
      <c r="S41" s="53"/>
      <c r="T41" s="53"/>
      <c r="U41" s="53" t="str">
        <f t="shared" si="3"/>
        <v>Ananda 0  menunjukkan ketekunan di dalam mengerjakan pekerjaan, baik di sekolah maupun di rumah.</v>
      </c>
      <c r="V41" s="53"/>
      <c r="W41" s="53"/>
      <c r="X41" s="53"/>
      <c r="Y41" s="53" t="str">
        <f t="shared" si="4"/>
        <v>Ananda 0  menunjukkan ketekunan di dalam mengerjakan pekerjaan, baik di sekolah maupun di rumah.</v>
      </c>
      <c r="Z41" s="86"/>
      <c r="AA41" s="53"/>
      <c r="AB41" s="53"/>
      <c r="AC41" s="53"/>
      <c r="AD41" s="53"/>
      <c r="AE41" s="53"/>
      <c r="AF41" s="53"/>
      <c r="AG41" s="53"/>
      <c r="AH41" s="53"/>
      <c r="AI41" s="53"/>
      <c r="AJ41" s="53"/>
      <c r="AK41" s="53"/>
      <c r="AL41" s="53"/>
      <c r="AM41" s="53"/>
      <c r="AN41" s="53"/>
      <c r="AO41" s="53"/>
      <c r="AP41" s="53"/>
      <c r="AQ41" s="53"/>
      <c r="AR41" s="53"/>
      <c r="AS41" s="53"/>
      <c r="AT41" s="53"/>
      <c r="AU41" s="53"/>
      <c r="AV41" s="53"/>
      <c r="AW41" s="53"/>
      <c r="AX41" s="53"/>
      <c r="AY41" s="86"/>
      <c r="AZ41" s="53"/>
      <c r="BA41" s="53"/>
      <c r="BB41" s="53"/>
      <c r="BC41" s="53"/>
      <c r="BD41" s="86"/>
      <c r="BE41" s="53"/>
      <c r="BF41" s="53"/>
      <c r="BG41" s="53"/>
      <c r="BH41" s="86"/>
      <c r="BI41" s="53"/>
      <c r="BJ41" s="53"/>
      <c r="BK41" s="53"/>
      <c r="BL41" s="53"/>
      <c r="BM41" s="53"/>
      <c r="BN41" s="67"/>
      <c r="BO41" s="68"/>
    </row>
    <row r="42" spans="2:67" ht="15.75" x14ac:dyDescent="0.25">
      <c r="B42" s="63">
        <v>34</v>
      </c>
      <c r="C42" s="64">
        <f>NOMINATIF!C39</f>
        <v>0</v>
      </c>
      <c r="D42" s="65">
        <f>NOMINATIF!D39</f>
        <v>0</v>
      </c>
      <c r="E42" s="65">
        <f>NOMINATIF!E39</f>
        <v>0</v>
      </c>
      <c r="F42" s="53"/>
      <c r="G42" s="53"/>
      <c r="H42" s="53"/>
      <c r="I42" s="53" t="str">
        <f t="shared" si="0"/>
        <v>Ananda 0  menunjukkan ketekunan di dalam mengerjakan pekerjaan, baik di sekolah maupun di rumah.</v>
      </c>
      <c r="J42" s="53"/>
      <c r="K42" s="53"/>
      <c r="L42" s="53"/>
      <c r="M42" s="53" t="str">
        <f t="shared" si="1"/>
        <v>Ananda 0  menunjukkan ketekunan di dalam mengerjakan pekerjaan, baik di sekolah maupun di  rumah.</v>
      </c>
      <c r="N42" s="53"/>
      <c r="O42" s="53"/>
      <c r="P42" s="53"/>
      <c r="Q42" s="53" t="str">
        <f t="shared" si="2"/>
        <v>Ananda 0  menunjukkan ketekunan di dalam mengerjakan pekerjaan, baik di sekolah maupun di rumah.</v>
      </c>
      <c r="R42" s="53"/>
      <c r="S42" s="53"/>
      <c r="T42" s="53"/>
      <c r="U42" s="53" t="str">
        <f t="shared" si="3"/>
        <v>Ananda 0  menunjukkan ketekunan di dalam mengerjakan pekerjaan, baik di sekolah maupun di rumah.</v>
      </c>
      <c r="V42" s="53"/>
      <c r="W42" s="53"/>
      <c r="X42" s="53"/>
      <c r="Y42" s="53" t="str">
        <f t="shared" si="4"/>
        <v>Ananda 0  menunjukkan ketekunan di dalam mengerjakan pekerjaan, baik di sekolah maupun di rumah.</v>
      </c>
      <c r="Z42" s="86"/>
      <c r="AA42" s="53"/>
      <c r="AB42" s="53"/>
      <c r="AC42" s="53"/>
      <c r="AD42" s="53"/>
      <c r="AE42" s="53"/>
      <c r="AF42" s="53"/>
      <c r="AG42" s="53"/>
      <c r="AH42" s="53"/>
      <c r="AI42" s="53"/>
      <c r="AJ42" s="53"/>
      <c r="AK42" s="53"/>
      <c r="AL42" s="53"/>
      <c r="AM42" s="53"/>
      <c r="AN42" s="53"/>
      <c r="AO42" s="53"/>
      <c r="AP42" s="53"/>
      <c r="AQ42" s="53"/>
      <c r="AR42" s="53"/>
      <c r="AS42" s="53"/>
      <c r="AT42" s="53"/>
      <c r="AU42" s="53"/>
      <c r="AV42" s="53"/>
      <c r="AW42" s="53"/>
      <c r="AX42" s="53"/>
      <c r="AY42" s="86"/>
      <c r="AZ42" s="53"/>
      <c r="BA42" s="53"/>
      <c r="BB42" s="53"/>
      <c r="BC42" s="53"/>
      <c r="BD42" s="86"/>
      <c r="BE42" s="53"/>
      <c r="BF42" s="53"/>
      <c r="BG42" s="53"/>
      <c r="BH42" s="86"/>
      <c r="BI42" s="53"/>
      <c r="BJ42" s="53"/>
      <c r="BK42" s="53"/>
      <c r="BL42" s="53"/>
      <c r="BM42" s="53"/>
      <c r="BN42" s="67"/>
      <c r="BO42" s="68"/>
    </row>
    <row r="43" spans="2:67" ht="15.75" x14ac:dyDescent="0.25">
      <c r="B43" s="63">
        <v>35</v>
      </c>
      <c r="C43" s="64">
        <f>NOMINATIF!C40</f>
        <v>0</v>
      </c>
      <c r="D43" s="65">
        <f>NOMINATIF!D40</f>
        <v>0</v>
      </c>
      <c r="E43" s="65">
        <f>NOMINATIF!E40</f>
        <v>0</v>
      </c>
      <c r="F43" s="53"/>
      <c r="G43" s="53"/>
      <c r="H43" s="53"/>
      <c r="I43" s="53" t="str">
        <f t="shared" si="0"/>
        <v>Ananda 0  menunjukkan ketekunan di dalam mengerjakan pekerjaan, baik di sekolah maupun di rumah.</v>
      </c>
      <c r="J43" s="53"/>
      <c r="K43" s="53"/>
      <c r="L43" s="53"/>
      <c r="M43" s="53" t="str">
        <f t="shared" si="1"/>
        <v>Ananda 0  menunjukkan ketekunan di dalam mengerjakan pekerjaan, baik di sekolah maupun di  rumah.</v>
      </c>
      <c r="N43" s="53"/>
      <c r="O43" s="53"/>
      <c r="P43" s="53"/>
      <c r="Q43" s="53" t="str">
        <f t="shared" si="2"/>
        <v>Ananda 0  menunjukkan ketekunan di dalam mengerjakan pekerjaan, baik di sekolah maupun di rumah.</v>
      </c>
      <c r="R43" s="53"/>
      <c r="S43" s="53"/>
      <c r="T43" s="53"/>
      <c r="U43" s="53" t="str">
        <f t="shared" si="3"/>
        <v>Ananda 0  menunjukkan ketekunan di dalam mengerjakan pekerjaan, baik di sekolah maupun di rumah.</v>
      </c>
      <c r="V43" s="53"/>
      <c r="W43" s="53"/>
      <c r="X43" s="53"/>
      <c r="Y43" s="53" t="str">
        <f t="shared" si="4"/>
        <v>Ananda 0  menunjukkan ketekunan di dalam mengerjakan pekerjaan, baik di sekolah maupun di rumah.</v>
      </c>
      <c r="Z43" s="86"/>
      <c r="AA43" s="53"/>
      <c r="AB43" s="53"/>
      <c r="AC43" s="53"/>
      <c r="AD43" s="53"/>
      <c r="AE43" s="53"/>
      <c r="AF43" s="53"/>
      <c r="AG43" s="53"/>
      <c r="AH43" s="53"/>
      <c r="AI43" s="53"/>
      <c r="AJ43" s="53"/>
      <c r="AK43" s="53"/>
      <c r="AL43" s="53"/>
      <c r="AM43" s="53"/>
      <c r="AN43" s="53"/>
      <c r="AO43" s="53"/>
      <c r="AP43" s="53"/>
      <c r="AQ43" s="53"/>
      <c r="AR43" s="53"/>
      <c r="AS43" s="53"/>
      <c r="AT43" s="53"/>
      <c r="AU43" s="53"/>
      <c r="AV43" s="53"/>
      <c r="AW43" s="53"/>
      <c r="AX43" s="53"/>
      <c r="AY43" s="86"/>
      <c r="AZ43" s="53"/>
      <c r="BA43" s="53"/>
      <c r="BB43" s="53"/>
      <c r="BC43" s="53"/>
      <c r="BD43" s="86"/>
      <c r="BE43" s="53"/>
      <c r="BF43" s="53"/>
      <c r="BG43" s="53"/>
      <c r="BH43" s="86"/>
      <c r="BI43" s="53"/>
      <c r="BJ43" s="53"/>
      <c r="BK43" s="53"/>
      <c r="BL43" s="53"/>
      <c r="BM43" s="53"/>
      <c r="BN43" s="67"/>
      <c r="BO43" s="68"/>
    </row>
    <row r="44" spans="2:67" ht="15.75" x14ac:dyDescent="0.25"/>
    <row r="45" spans="2:67" ht="15.75" x14ac:dyDescent="0.25"/>
    <row r="46" spans="2:67" ht="15.75" x14ac:dyDescent="0.25"/>
  </sheetData>
  <sheetProtection selectLockedCells="1"/>
  <mergeCells count="24">
    <mergeCell ref="AZ5:BC5"/>
    <mergeCell ref="AP6:AR6"/>
    <mergeCell ref="AS6:AU6"/>
    <mergeCell ref="AD6:AF6"/>
    <mergeCell ref="AG6:AI6"/>
    <mergeCell ref="AJ6:AL6"/>
    <mergeCell ref="AM6:AO6"/>
    <mergeCell ref="AV6:AX6"/>
    <mergeCell ref="B3:BO3"/>
    <mergeCell ref="B5:B7"/>
    <mergeCell ref="C5:C7"/>
    <mergeCell ref="D5:D7"/>
    <mergeCell ref="E5:E7"/>
    <mergeCell ref="BN5:BN6"/>
    <mergeCell ref="BO5:BO6"/>
    <mergeCell ref="F5:Y5"/>
    <mergeCell ref="F6:I6"/>
    <mergeCell ref="J6:M6"/>
    <mergeCell ref="N6:Q6"/>
    <mergeCell ref="R6:U6"/>
    <mergeCell ref="V6:Y6"/>
    <mergeCell ref="AA6:AC6"/>
    <mergeCell ref="BE5:BG5"/>
    <mergeCell ref="AA5:AX5"/>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tabColor theme="5" tint="0.39997558519241921"/>
  </sheetPr>
  <dimension ref="A1:L31"/>
  <sheetViews>
    <sheetView zoomScale="85" zoomScaleNormal="85" workbookViewId="0">
      <selection activeCell="G14" sqref="G14"/>
    </sheetView>
  </sheetViews>
  <sheetFormatPr defaultColWidth="0" defaultRowHeight="15.75" zeroHeight="1" x14ac:dyDescent="0.25"/>
  <cols>
    <col min="1" max="1" width="1.5703125" style="74" customWidth="1"/>
    <col min="2" max="2" width="0.85546875" style="54" customWidth="1"/>
    <col min="3" max="3" width="4.85546875" style="54" customWidth="1"/>
    <col min="4" max="5" width="9.140625" style="54" customWidth="1"/>
    <col min="6" max="6" width="37.5703125" style="54" customWidth="1"/>
    <col min="7" max="7" width="14.5703125" style="54" customWidth="1"/>
    <col min="8" max="8" width="1" style="54" customWidth="1"/>
    <col min="9" max="9" width="1.42578125" style="74" customWidth="1"/>
    <col min="10" max="12" width="0" style="54" hidden="1" customWidth="1"/>
    <col min="13" max="16384" width="9.140625" style="54" hidden="1"/>
  </cols>
  <sheetData>
    <row r="1" spans="3:9" s="74" customFormat="1" ht="8.25" customHeight="1" x14ac:dyDescent="0.25"/>
    <row r="2" spans="3:9" ht="68.25" customHeight="1" thickBot="1" x14ac:dyDescent="0.3">
      <c r="C2" s="129"/>
      <c r="D2" s="129"/>
      <c r="E2" s="129"/>
      <c r="F2" s="129"/>
      <c r="G2" s="129"/>
    </row>
    <row r="3" spans="3:9" ht="15.75" customHeight="1" thickBot="1" x14ac:dyDescent="0.35">
      <c r="C3" s="184" t="s">
        <v>72</v>
      </c>
      <c r="D3" s="185"/>
      <c r="E3" s="185"/>
      <c r="F3" s="185"/>
      <c r="G3" s="186"/>
    </row>
    <row r="4" spans="3:9" ht="6" customHeight="1" x14ac:dyDescent="0.25"/>
    <row r="5" spans="3:9" x14ac:dyDescent="0.25">
      <c r="C5" s="15" t="s">
        <v>32</v>
      </c>
      <c r="D5" s="190" t="s">
        <v>33</v>
      </c>
      <c r="E5" s="190"/>
      <c r="F5" s="190"/>
      <c r="G5" s="15" t="s">
        <v>34</v>
      </c>
    </row>
    <row r="6" spans="3:9" x14ac:dyDescent="0.25">
      <c r="C6" s="188" t="s">
        <v>37</v>
      </c>
      <c r="D6" s="188"/>
      <c r="E6" s="188"/>
      <c r="F6" s="188"/>
      <c r="G6" s="188"/>
    </row>
    <row r="7" spans="3:9" x14ac:dyDescent="0.25">
      <c r="C7" s="11">
        <v>1</v>
      </c>
      <c r="D7" s="189" t="s">
        <v>38</v>
      </c>
      <c r="E7" s="189"/>
      <c r="F7" s="189"/>
      <c r="G7" s="76">
        <v>60</v>
      </c>
      <c r="I7" s="75"/>
    </row>
    <row r="8" spans="3:9" x14ac:dyDescent="0.25">
      <c r="C8" s="11">
        <v>2</v>
      </c>
      <c r="D8" s="189" t="s">
        <v>39</v>
      </c>
      <c r="E8" s="189"/>
      <c r="F8" s="189"/>
      <c r="G8" s="76">
        <v>60</v>
      </c>
    </row>
    <row r="9" spans="3:9" x14ac:dyDescent="0.25">
      <c r="C9" s="11">
        <v>3</v>
      </c>
      <c r="D9" s="189" t="s">
        <v>40</v>
      </c>
      <c r="E9" s="189"/>
      <c r="F9" s="189"/>
      <c r="G9" s="76">
        <v>60</v>
      </c>
    </row>
    <row r="10" spans="3:9" x14ac:dyDescent="0.25">
      <c r="C10" s="11">
        <v>4</v>
      </c>
      <c r="D10" s="187" t="s">
        <v>41</v>
      </c>
      <c r="E10" s="187"/>
      <c r="F10" s="187"/>
      <c r="G10" s="76">
        <v>60</v>
      </c>
    </row>
    <row r="11" spans="3:9" x14ac:dyDescent="0.25">
      <c r="C11" s="11">
        <v>5</v>
      </c>
      <c r="D11" s="187" t="s">
        <v>42</v>
      </c>
      <c r="E11" s="187"/>
      <c r="F11" s="187"/>
      <c r="G11" s="76">
        <v>60</v>
      </c>
    </row>
    <row r="12" spans="3:9" x14ac:dyDescent="0.25">
      <c r="C12" s="11">
        <v>6</v>
      </c>
      <c r="D12" s="187" t="s">
        <v>43</v>
      </c>
      <c r="E12" s="187"/>
      <c r="F12" s="187"/>
      <c r="G12" s="76">
        <v>60</v>
      </c>
    </row>
    <row r="13" spans="3:9" x14ac:dyDescent="0.25">
      <c r="C13" s="188" t="s">
        <v>44</v>
      </c>
      <c r="D13" s="188"/>
      <c r="E13" s="188"/>
      <c r="F13" s="188"/>
      <c r="G13" s="188"/>
    </row>
    <row r="14" spans="3:9" x14ac:dyDescent="0.25">
      <c r="C14" s="13">
        <v>1</v>
      </c>
      <c r="D14" s="187" t="s">
        <v>45</v>
      </c>
      <c r="E14" s="187"/>
      <c r="F14" s="187"/>
      <c r="G14" s="76">
        <v>70</v>
      </c>
    </row>
    <row r="15" spans="3:9" x14ac:dyDescent="0.25">
      <c r="C15" s="13">
        <v>2</v>
      </c>
      <c r="D15" s="187" t="s">
        <v>46</v>
      </c>
      <c r="E15" s="187"/>
      <c r="F15" s="187"/>
      <c r="G15" s="76">
        <v>60</v>
      </c>
    </row>
    <row r="16" spans="3:9" x14ac:dyDescent="0.25">
      <c r="C16" s="13">
        <v>3</v>
      </c>
      <c r="D16" s="187" t="s">
        <v>47</v>
      </c>
      <c r="E16" s="187"/>
      <c r="F16" s="187"/>
      <c r="G16" s="76">
        <v>60</v>
      </c>
    </row>
    <row r="17" spans="3:7" x14ac:dyDescent="0.25">
      <c r="C17" s="13">
        <v>4</v>
      </c>
      <c r="D17" s="187" t="s">
        <v>48</v>
      </c>
      <c r="E17" s="187"/>
      <c r="F17" s="187"/>
      <c r="G17" s="76">
        <v>60</v>
      </c>
    </row>
    <row r="18" spans="3:7" x14ac:dyDescent="0.25">
      <c r="C18" s="188" t="s">
        <v>49</v>
      </c>
      <c r="D18" s="188"/>
      <c r="E18" s="188"/>
      <c r="F18" s="188"/>
      <c r="G18" s="188"/>
    </row>
    <row r="19" spans="3:7" x14ac:dyDescent="0.25">
      <c r="C19" s="188" t="s">
        <v>50</v>
      </c>
      <c r="D19" s="188"/>
      <c r="E19" s="188"/>
      <c r="F19" s="188"/>
      <c r="G19" s="188"/>
    </row>
    <row r="20" spans="3:7" x14ac:dyDescent="0.25">
      <c r="C20" s="13">
        <v>1</v>
      </c>
      <c r="D20" s="187" t="s">
        <v>51</v>
      </c>
      <c r="E20" s="187"/>
      <c r="F20" s="187"/>
      <c r="G20" s="76">
        <v>60</v>
      </c>
    </row>
    <row r="21" spans="3:7" x14ac:dyDescent="0.25">
      <c r="C21" s="13">
        <v>2</v>
      </c>
      <c r="D21" s="183" t="s">
        <v>52</v>
      </c>
      <c r="E21" s="183"/>
      <c r="F21" s="183"/>
      <c r="G21" s="76">
        <v>60</v>
      </c>
    </row>
    <row r="22" spans="3:7" x14ac:dyDescent="0.25">
      <c r="C22" s="13">
        <v>3</v>
      </c>
      <c r="D22" s="183" t="s">
        <v>53</v>
      </c>
      <c r="E22" s="183"/>
      <c r="F22" s="183"/>
      <c r="G22" s="76">
        <v>60</v>
      </c>
    </row>
    <row r="23" spans="3:7" x14ac:dyDescent="0.25">
      <c r="C23" s="13">
        <v>4</v>
      </c>
      <c r="D23" s="187" t="s">
        <v>54</v>
      </c>
      <c r="E23" s="187"/>
      <c r="F23" s="187"/>
      <c r="G23" s="76">
        <v>60</v>
      </c>
    </row>
    <row r="24" spans="3:7" x14ac:dyDescent="0.25">
      <c r="C24" s="188" t="s">
        <v>55</v>
      </c>
      <c r="D24" s="188"/>
      <c r="E24" s="188"/>
      <c r="F24" s="188"/>
      <c r="G24" s="188"/>
    </row>
    <row r="25" spans="3:7" x14ac:dyDescent="0.25">
      <c r="C25" s="13">
        <v>1</v>
      </c>
      <c r="D25" s="183" t="s">
        <v>56</v>
      </c>
      <c r="E25" s="183"/>
      <c r="F25" s="183"/>
      <c r="G25" s="76">
        <v>70</v>
      </c>
    </row>
    <row r="26" spans="3:7" x14ac:dyDescent="0.25">
      <c r="C26" s="13">
        <v>2</v>
      </c>
      <c r="D26" s="183" t="s">
        <v>57</v>
      </c>
      <c r="E26" s="183"/>
      <c r="F26" s="183"/>
      <c r="G26" s="76">
        <v>70</v>
      </c>
    </row>
    <row r="27" spans="3:7" x14ac:dyDescent="0.25">
      <c r="C27" s="13">
        <v>3</v>
      </c>
      <c r="D27" s="183" t="s">
        <v>58</v>
      </c>
      <c r="E27" s="183"/>
      <c r="F27" s="183"/>
      <c r="G27" s="76">
        <v>70</v>
      </c>
    </row>
    <row r="28" spans="3:7" x14ac:dyDescent="0.25">
      <c r="C28" s="13">
        <v>4</v>
      </c>
      <c r="D28" s="183" t="s">
        <v>59</v>
      </c>
      <c r="E28" s="183"/>
      <c r="F28" s="183"/>
      <c r="G28" s="76">
        <v>70</v>
      </c>
    </row>
    <row r="29" spans="3:7" ht="15" customHeight="1" x14ac:dyDescent="0.25"/>
    <row r="30" spans="3:7" x14ac:dyDescent="0.25"/>
    <row r="31" spans="3:7" s="74" customFormat="1" ht="9.75" customHeight="1" x14ac:dyDescent="0.25"/>
  </sheetData>
  <sheetProtection selectLockedCells="1"/>
  <mergeCells count="26">
    <mergeCell ref="D5:F5"/>
    <mergeCell ref="C6:G6"/>
    <mergeCell ref="D7:F7"/>
    <mergeCell ref="D8:F8"/>
    <mergeCell ref="C13:G13"/>
    <mergeCell ref="D14:F14"/>
    <mergeCell ref="D15:F15"/>
    <mergeCell ref="D9:F9"/>
    <mergeCell ref="D10:F10"/>
    <mergeCell ref="D11:F11"/>
    <mergeCell ref="D27:F27"/>
    <mergeCell ref="D28:F28"/>
    <mergeCell ref="C3:G3"/>
    <mergeCell ref="C2:G2"/>
    <mergeCell ref="D23:F23"/>
    <mergeCell ref="C24:G24"/>
    <mergeCell ref="D25:F25"/>
    <mergeCell ref="D26:F26"/>
    <mergeCell ref="D20:F20"/>
    <mergeCell ref="D21:F21"/>
    <mergeCell ref="D22:F22"/>
    <mergeCell ref="D16:F16"/>
    <mergeCell ref="D17:F17"/>
    <mergeCell ref="C18:G18"/>
    <mergeCell ref="C19:G19"/>
    <mergeCell ref="D12:F12"/>
  </mergeCell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theme="4" tint="-0.249977111117893"/>
  </sheetPr>
  <dimension ref="A1:BJ46"/>
  <sheetViews>
    <sheetView topLeftCell="A4" zoomScale="55" zoomScaleNormal="55" workbookViewId="0">
      <selection activeCell="F10" sqref="F10"/>
    </sheetView>
  </sheetViews>
  <sheetFormatPr defaultColWidth="0" defaultRowHeight="15.75" customHeight="1" zeroHeight="1" x14ac:dyDescent="0.25"/>
  <cols>
    <col min="1" max="1" width="1.42578125" style="54" customWidth="1"/>
    <col min="2" max="2" width="6.42578125" style="54" customWidth="1"/>
    <col min="3" max="3" width="27.28515625" style="54" customWidth="1"/>
    <col min="4" max="4" width="5.5703125" style="54" bestFit="1" customWidth="1"/>
    <col min="5" max="5" width="13.85546875" style="54" bestFit="1" customWidth="1"/>
    <col min="6" max="59" width="4.7109375" style="55" customWidth="1"/>
    <col min="60" max="61" width="9.28515625" style="54" bestFit="1" customWidth="1"/>
    <col min="62" max="62" width="9.140625" style="54" customWidth="1"/>
    <col min="63" max="16384" width="9.140625" style="54" hidden="1"/>
  </cols>
  <sheetData>
    <row r="1" spans="2:61" ht="7.5" customHeight="1" x14ac:dyDescent="0.25"/>
    <row r="2" spans="2:61" ht="78.75" customHeight="1" thickBot="1" x14ac:dyDescent="0.3"/>
    <row r="3" spans="2:61" ht="24" thickBot="1" x14ac:dyDescent="0.4">
      <c r="B3" s="197" t="s">
        <v>95</v>
      </c>
      <c r="C3" s="198"/>
      <c r="D3" s="198"/>
      <c r="E3" s="198"/>
      <c r="F3" s="198"/>
      <c r="G3" s="198"/>
      <c r="H3" s="198"/>
      <c r="I3" s="198"/>
      <c r="J3" s="198"/>
      <c r="K3" s="198"/>
      <c r="L3" s="198"/>
      <c r="M3" s="198"/>
      <c r="N3" s="198"/>
      <c r="O3" s="198"/>
      <c r="P3" s="198"/>
      <c r="Q3" s="198"/>
      <c r="R3" s="198"/>
      <c r="S3" s="198"/>
      <c r="T3" s="198"/>
      <c r="U3" s="198"/>
      <c r="V3" s="198"/>
      <c r="W3" s="198"/>
      <c r="X3" s="198"/>
      <c r="Y3" s="198"/>
      <c r="Z3" s="198"/>
      <c r="AA3" s="198"/>
      <c r="AB3" s="198"/>
      <c r="AC3" s="198"/>
      <c r="AD3" s="198"/>
      <c r="AE3" s="198"/>
      <c r="AF3" s="198"/>
      <c r="AG3" s="198"/>
      <c r="AH3" s="198"/>
      <c r="AI3" s="198"/>
      <c r="AJ3" s="198"/>
      <c r="AK3" s="198"/>
      <c r="AL3" s="198"/>
      <c r="AM3" s="198"/>
      <c r="AN3" s="198"/>
      <c r="AO3" s="198"/>
      <c r="AP3" s="198"/>
      <c r="AQ3" s="198"/>
      <c r="AR3" s="198"/>
      <c r="AS3" s="198"/>
      <c r="AT3" s="198"/>
      <c r="AU3" s="198"/>
      <c r="AV3" s="198"/>
      <c r="AW3" s="198"/>
      <c r="AX3" s="198"/>
      <c r="AY3" s="198"/>
      <c r="AZ3" s="198"/>
      <c r="BA3" s="198"/>
      <c r="BB3" s="198"/>
      <c r="BC3" s="198"/>
      <c r="BD3" s="198"/>
      <c r="BE3" s="198"/>
      <c r="BF3" s="198"/>
      <c r="BG3" s="198"/>
      <c r="BH3" s="198"/>
      <c r="BI3" s="199"/>
    </row>
    <row r="4" spans="2:61" ht="6" customHeight="1" x14ac:dyDescent="0.25"/>
    <row r="5" spans="2:61" x14ac:dyDescent="0.25">
      <c r="B5" s="165" t="s">
        <v>27</v>
      </c>
      <c r="C5" s="165" t="s">
        <v>88</v>
      </c>
      <c r="D5" s="165" t="s">
        <v>29</v>
      </c>
      <c r="E5" s="165" t="s">
        <v>30</v>
      </c>
      <c r="F5" s="56" t="s">
        <v>89</v>
      </c>
      <c r="G5" s="57"/>
      <c r="H5" s="57"/>
      <c r="I5" s="57"/>
      <c r="J5" s="57"/>
      <c r="K5" s="57"/>
      <c r="L5" s="57"/>
      <c r="M5" s="57"/>
      <c r="N5" s="57"/>
      <c r="O5" s="57"/>
      <c r="P5" s="57"/>
      <c r="Q5" s="57"/>
      <c r="R5" s="57"/>
      <c r="S5" s="57"/>
      <c r="T5" s="57"/>
      <c r="U5" s="57"/>
      <c r="V5" s="57"/>
      <c r="W5" s="57"/>
      <c r="X5" s="57"/>
      <c r="Y5" s="57"/>
      <c r="Z5" s="57"/>
      <c r="AA5" s="57"/>
      <c r="AB5" s="57"/>
      <c r="AC5" s="57"/>
      <c r="AD5" s="57"/>
      <c r="AE5" s="57"/>
      <c r="AF5" s="57"/>
      <c r="AG5" s="57"/>
      <c r="AH5" s="57"/>
      <c r="AI5" s="57"/>
      <c r="AJ5" s="57"/>
      <c r="AK5" s="57"/>
      <c r="AL5" s="57"/>
      <c r="AM5" s="57"/>
      <c r="AN5" s="57"/>
      <c r="AO5" s="57"/>
      <c r="AP5" s="57"/>
      <c r="AQ5" s="57"/>
      <c r="AR5" s="57"/>
      <c r="AS5" s="57"/>
      <c r="AT5" s="57"/>
      <c r="AU5" s="57"/>
      <c r="AV5" s="57"/>
      <c r="AW5" s="57"/>
      <c r="AX5" s="57"/>
      <c r="AY5" s="57"/>
      <c r="AZ5" s="57"/>
      <c r="BA5" s="57"/>
      <c r="BB5" s="57"/>
      <c r="BC5" s="57"/>
      <c r="BD5" s="57"/>
      <c r="BE5" s="57"/>
      <c r="BF5" s="57"/>
      <c r="BG5" s="58"/>
      <c r="BH5" s="168" t="s">
        <v>93</v>
      </c>
      <c r="BI5" s="170" t="s">
        <v>94</v>
      </c>
    </row>
    <row r="6" spans="2:61" ht="98.25" customHeight="1" x14ac:dyDescent="0.25">
      <c r="B6" s="166"/>
      <c r="C6" s="166"/>
      <c r="D6" s="166"/>
      <c r="E6" s="166"/>
      <c r="F6" s="194" t="s">
        <v>90</v>
      </c>
      <c r="G6" s="195"/>
      <c r="H6" s="196"/>
      <c r="I6" s="194" t="s">
        <v>92</v>
      </c>
      <c r="J6" s="195"/>
      <c r="K6" s="196"/>
      <c r="L6" s="191" t="s">
        <v>99</v>
      </c>
      <c r="M6" s="192"/>
      <c r="N6" s="193"/>
      <c r="O6" s="194" t="s">
        <v>91</v>
      </c>
      <c r="P6" s="195"/>
      <c r="Q6" s="196"/>
      <c r="R6" s="200" t="s">
        <v>100</v>
      </c>
      <c r="S6" s="201"/>
      <c r="T6" s="202"/>
      <c r="U6" s="194" t="s">
        <v>101</v>
      </c>
      <c r="V6" s="195"/>
      <c r="W6" s="196"/>
      <c r="X6" s="191" t="s">
        <v>102</v>
      </c>
      <c r="Y6" s="192"/>
      <c r="Z6" s="193"/>
      <c r="AA6" s="194" t="s">
        <v>103</v>
      </c>
      <c r="AB6" s="195"/>
      <c r="AC6" s="196"/>
      <c r="AD6" s="191" t="s">
        <v>104</v>
      </c>
      <c r="AE6" s="192"/>
      <c r="AF6" s="193"/>
      <c r="AG6" s="194" t="s">
        <v>105</v>
      </c>
      <c r="AH6" s="195"/>
      <c r="AI6" s="196"/>
      <c r="AJ6" s="194" t="s">
        <v>106</v>
      </c>
      <c r="AK6" s="195"/>
      <c r="AL6" s="196"/>
      <c r="AM6" s="194" t="s">
        <v>107</v>
      </c>
      <c r="AN6" s="195"/>
      <c r="AO6" s="196"/>
      <c r="AP6" s="194" t="s">
        <v>108</v>
      </c>
      <c r="AQ6" s="195"/>
      <c r="AR6" s="196"/>
      <c r="AS6" s="200" t="s">
        <v>54</v>
      </c>
      <c r="AT6" s="201"/>
      <c r="AU6" s="202"/>
      <c r="AV6" s="194" t="s">
        <v>109</v>
      </c>
      <c r="AW6" s="195"/>
      <c r="AX6" s="196"/>
      <c r="AY6" s="191" t="s">
        <v>110</v>
      </c>
      <c r="AZ6" s="192"/>
      <c r="BA6" s="193"/>
      <c r="BB6" s="191" t="s">
        <v>111</v>
      </c>
      <c r="BC6" s="192"/>
      <c r="BD6" s="193"/>
      <c r="BE6" s="191" t="s">
        <v>112</v>
      </c>
      <c r="BF6" s="192"/>
      <c r="BG6" s="193"/>
      <c r="BH6" s="169"/>
      <c r="BI6" s="171"/>
    </row>
    <row r="7" spans="2:61" ht="24" customHeight="1" x14ac:dyDescent="0.25">
      <c r="B7" s="167"/>
      <c r="C7" s="167"/>
      <c r="D7" s="167"/>
      <c r="E7" s="167"/>
      <c r="F7" s="59" t="s">
        <v>96</v>
      </c>
      <c r="G7" s="59" t="s">
        <v>97</v>
      </c>
      <c r="H7" s="59" t="s">
        <v>98</v>
      </c>
      <c r="I7" s="59" t="s">
        <v>96</v>
      </c>
      <c r="J7" s="59" t="s">
        <v>97</v>
      </c>
      <c r="K7" s="59" t="s">
        <v>98</v>
      </c>
      <c r="L7" s="59" t="s">
        <v>96</v>
      </c>
      <c r="M7" s="59" t="s">
        <v>97</v>
      </c>
      <c r="N7" s="59" t="s">
        <v>98</v>
      </c>
      <c r="O7" s="59" t="s">
        <v>96</v>
      </c>
      <c r="P7" s="59" t="s">
        <v>97</v>
      </c>
      <c r="Q7" s="59" t="s">
        <v>98</v>
      </c>
      <c r="R7" s="59" t="s">
        <v>96</v>
      </c>
      <c r="S7" s="59" t="s">
        <v>97</v>
      </c>
      <c r="T7" s="59" t="s">
        <v>98</v>
      </c>
      <c r="U7" s="59" t="s">
        <v>96</v>
      </c>
      <c r="V7" s="59" t="s">
        <v>97</v>
      </c>
      <c r="W7" s="59" t="s">
        <v>98</v>
      </c>
      <c r="X7" s="59" t="s">
        <v>96</v>
      </c>
      <c r="Y7" s="59" t="s">
        <v>97</v>
      </c>
      <c r="Z7" s="59" t="s">
        <v>98</v>
      </c>
      <c r="AA7" s="59" t="s">
        <v>96</v>
      </c>
      <c r="AB7" s="59" t="s">
        <v>97</v>
      </c>
      <c r="AC7" s="59" t="s">
        <v>98</v>
      </c>
      <c r="AD7" s="59" t="s">
        <v>96</v>
      </c>
      <c r="AE7" s="59" t="s">
        <v>97</v>
      </c>
      <c r="AF7" s="59" t="s">
        <v>98</v>
      </c>
      <c r="AG7" s="59" t="s">
        <v>96</v>
      </c>
      <c r="AH7" s="59" t="s">
        <v>97</v>
      </c>
      <c r="AI7" s="59" t="s">
        <v>98</v>
      </c>
      <c r="AJ7" s="59" t="s">
        <v>96</v>
      </c>
      <c r="AK7" s="59" t="s">
        <v>97</v>
      </c>
      <c r="AL7" s="59" t="s">
        <v>98</v>
      </c>
      <c r="AM7" s="59" t="s">
        <v>96</v>
      </c>
      <c r="AN7" s="59" t="s">
        <v>97</v>
      </c>
      <c r="AO7" s="59" t="s">
        <v>98</v>
      </c>
      <c r="AP7" s="59" t="s">
        <v>96</v>
      </c>
      <c r="AQ7" s="59" t="s">
        <v>97</v>
      </c>
      <c r="AR7" s="59" t="s">
        <v>98</v>
      </c>
      <c r="AS7" s="59" t="s">
        <v>96</v>
      </c>
      <c r="AT7" s="59" t="s">
        <v>97</v>
      </c>
      <c r="AU7" s="59" t="s">
        <v>98</v>
      </c>
      <c r="AV7" s="59" t="s">
        <v>96</v>
      </c>
      <c r="AW7" s="59" t="s">
        <v>97</v>
      </c>
      <c r="AX7" s="59" t="s">
        <v>98</v>
      </c>
      <c r="AY7" s="59" t="s">
        <v>96</v>
      </c>
      <c r="AZ7" s="59" t="s">
        <v>97</v>
      </c>
      <c r="BA7" s="59" t="s">
        <v>98</v>
      </c>
      <c r="BB7" s="59" t="s">
        <v>96</v>
      </c>
      <c r="BC7" s="59" t="s">
        <v>97</v>
      </c>
      <c r="BD7" s="59" t="s">
        <v>98</v>
      </c>
      <c r="BE7" s="59" t="s">
        <v>96</v>
      </c>
      <c r="BF7" s="59" t="s">
        <v>97</v>
      </c>
      <c r="BG7" s="59" t="s">
        <v>98</v>
      </c>
      <c r="BH7" s="60"/>
      <c r="BI7" s="61"/>
    </row>
    <row r="8" spans="2:61" x14ac:dyDescent="0.25">
      <c r="B8" s="62">
        <v>1</v>
      </c>
      <c r="C8" s="62">
        <v>2</v>
      </c>
      <c r="D8" s="62">
        <v>3</v>
      </c>
      <c r="E8" s="62">
        <v>4</v>
      </c>
      <c r="F8" s="62">
        <v>5</v>
      </c>
      <c r="G8" s="62">
        <v>6</v>
      </c>
      <c r="H8" s="62">
        <v>7</v>
      </c>
      <c r="I8" s="62">
        <v>8</v>
      </c>
      <c r="J8" s="62">
        <v>9</v>
      </c>
      <c r="K8" s="62">
        <v>10</v>
      </c>
      <c r="L8" s="62">
        <v>11</v>
      </c>
      <c r="M8" s="62">
        <v>12</v>
      </c>
      <c r="N8" s="62">
        <v>13</v>
      </c>
      <c r="O8" s="62">
        <v>14</v>
      </c>
      <c r="P8" s="62">
        <v>15</v>
      </c>
      <c r="Q8" s="62">
        <v>16</v>
      </c>
      <c r="R8" s="62">
        <v>17</v>
      </c>
      <c r="S8" s="62">
        <v>18</v>
      </c>
      <c r="T8" s="62">
        <v>19</v>
      </c>
      <c r="U8" s="62">
        <v>20</v>
      </c>
      <c r="V8" s="62">
        <v>21</v>
      </c>
      <c r="W8" s="62">
        <v>22</v>
      </c>
      <c r="X8" s="62">
        <v>23</v>
      </c>
      <c r="Y8" s="62">
        <v>24</v>
      </c>
      <c r="Z8" s="62">
        <v>25</v>
      </c>
      <c r="AA8" s="62">
        <v>26</v>
      </c>
      <c r="AB8" s="62">
        <v>27</v>
      </c>
      <c r="AC8" s="62">
        <v>28</v>
      </c>
      <c r="AD8" s="62">
        <v>29</v>
      </c>
      <c r="AE8" s="62">
        <v>30</v>
      </c>
      <c r="AF8" s="62">
        <v>31</v>
      </c>
      <c r="AG8" s="62">
        <v>32</v>
      </c>
      <c r="AH8" s="62">
        <v>33</v>
      </c>
      <c r="AI8" s="62">
        <v>34</v>
      </c>
      <c r="AJ8" s="62">
        <v>35</v>
      </c>
      <c r="AK8" s="62">
        <v>36</v>
      </c>
      <c r="AL8" s="62">
        <v>37</v>
      </c>
      <c r="AM8" s="62">
        <v>38</v>
      </c>
      <c r="AN8" s="62">
        <v>39</v>
      </c>
      <c r="AO8" s="62">
        <v>40</v>
      </c>
      <c r="AP8" s="62">
        <v>41</v>
      </c>
      <c r="AQ8" s="62">
        <v>42</v>
      </c>
      <c r="AR8" s="62">
        <v>43</v>
      </c>
      <c r="AS8" s="62">
        <v>44</v>
      </c>
      <c r="AT8" s="62">
        <v>45</v>
      </c>
      <c r="AU8" s="62">
        <v>46</v>
      </c>
      <c r="AV8" s="62">
        <v>47</v>
      </c>
      <c r="AW8" s="62">
        <v>48</v>
      </c>
      <c r="AX8" s="62">
        <v>49</v>
      </c>
      <c r="AY8" s="62">
        <v>50</v>
      </c>
      <c r="AZ8" s="62">
        <v>51</v>
      </c>
      <c r="BA8" s="62">
        <v>52</v>
      </c>
      <c r="BB8" s="62">
        <v>53</v>
      </c>
      <c r="BC8" s="62">
        <v>54</v>
      </c>
      <c r="BD8" s="62">
        <v>55</v>
      </c>
      <c r="BE8" s="62">
        <v>56</v>
      </c>
      <c r="BF8" s="62">
        <v>57</v>
      </c>
      <c r="BG8" s="62">
        <v>58</v>
      </c>
      <c r="BH8" s="62">
        <v>59</v>
      </c>
      <c r="BI8" s="62">
        <v>60</v>
      </c>
    </row>
    <row r="9" spans="2:61" x14ac:dyDescent="0.25">
      <c r="B9" s="63">
        <v>1</v>
      </c>
      <c r="C9" s="64" t="str">
        <f>NOMINATIF!C6</f>
        <v>AFMALA INSAN QOIRUNISA</v>
      </c>
      <c r="D9" s="65">
        <f>NOMINATIF!D6</f>
        <v>4020</v>
      </c>
      <c r="E9" s="65" t="str">
        <f>NOMINATIF!E6</f>
        <v>0059023845</v>
      </c>
      <c r="F9" s="53">
        <v>0</v>
      </c>
      <c r="G9" s="53"/>
      <c r="H9" s="53"/>
      <c r="I9" s="53">
        <f>IFERROR(VLOOKUP(C9,$BO$8:$BP$101,2,0),0)</f>
        <v>0</v>
      </c>
      <c r="J9" s="53"/>
      <c r="K9" s="53"/>
      <c r="L9" s="53">
        <f>IFERROR(VLOOKUP(C9,$BQ$8:$BR$101,2,0),0)</f>
        <v>0</v>
      </c>
      <c r="M9" s="53"/>
      <c r="N9" s="53"/>
      <c r="O9" s="53">
        <f>IFERROR(VLOOKUP(C9,$BS$8:$BT$39,2,0),0)</f>
        <v>0</v>
      </c>
      <c r="P9" s="53"/>
      <c r="Q9" s="53"/>
      <c r="R9" s="53">
        <f>IFERROR(VLOOKUP(C9,$BU$8:$BV$101,2,0),0)</f>
        <v>0</v>
      </c>
      <c r="S9" s="53"/>
      <c r="T9" s="53"/>
      <c r="U9" s="53">
        <f>IFERROR(VLOOKUP(C9,$BW$8:$BX$101,2,0),0)</f>
        <v>0</v>
      </c>
      <c r="V9" s="53"/>
      <c r="W9" s="53"/>
      <c r="X9" s="53">
        <f>IFERROR(VLOOKUP(C9,$BY$8:$BZ$101,2,0),0)</f>
        <v>0</v>
      </c>
      <c r="Y9" s="53"/>
      <c r="Z9" s="53"/>
      <c r="AA9" s="53">
        <f>IFERROR(VLOOKUP(C9,$CA$8:$CB$39,2,0),0)</f>
        <v>0</v>
      </c>
      <c r="AB9" s="53"/>
      <c r="AC9" s="53"/>
      <c r="AD9" s="53">
        <f>IFERROR(VLOOKUP(C9,$CC$8:$CD$101,2,0),0)</f>
        <v>0</v>
      </c>
      <c r="AE9" s="53"/>
      <c r="AF9" s="53"/>
      <c r="AG9" s="53">
        <f>IFERROR(VLOOKUP(C9,$CE$8:$CF$101,2,0),0)</f>
        <v>0</v>
      </c>
      <c r="AH9" s="53"/>
      <c r="AI9" s="53"/>
      <c r="AJ9" s="53">
        <f>IFERROR(VLOOKUP(C9,$CG$8:$CH$101,2,0),0)</f>
        <v>0</v>
      </c>
      <c r="AK9" s="53"/>
      <c r="AL9" s="53"/>
      <c r="AM9" s="53">
        <f>IFERROR(VLOOKUP(C9,$CI$8:$CJ$39,2,0),0)</f>
        <v>0</v>
      </c>
      <c r="AN9" s="53"/>
      <c r="AO9" s="53"/>
      <c r="AP9" s="53">
        <f>IFERROR(VLOOKUP(C9,$CK$8:$CL$101,2,0),0)</f>
        <v>0</v>
      </c>
      <c r="AQ9" s="53"/>
      <c r="AR9" s="53"/>
      <c r="AS9" s="53">
        <f>IFERROR(VLOOKUP(C9,$CM$8:$CN$101,2,0),0)</f>
        <v>0</v>
      </c>
      <c r="AT9" s="53"/>
      <c r="AU9" s="53"/>
      <c r="AV9" s="53">
        <f>IFERROR(VLOOKUP(C9,$CO$8:$CP$101,2,0),0)</f>
        <v>0</v>
      </c>
      <c r="AW9" s="53"/>
      <c r="AX9" s="53"/>
      <c r="AY9" s="53">
        <f>IFERROR(VLOOKUP(C9,$CQ$8:$CR$101,2,0),0)</f>
        <v>0</v>
      </c>
      <c r="AZ9" s="53"/>
      <c r="BA9" s="53"/>
      <c r="BB9" s="53">
        <f>IFERROR(VLOOKUP(C9,$CS$8:$CT$101,2,0),0)</f>
        <v>0</v>
      </c>
      <c r="BC9" s="53"/>
      <c r="BD9" s="53"/>
      <c r="BE9" s="53">
        <v>0</v>
      </c>
      <c r="BF9" s="53"/>
      <c r="BG9" s="53"/>
      <c r="BH9" s="67">
        <f>SUM(F9:BE9)</f>
        <v>0</v>
      </c>
      <c r="BI9" s="68">
        <f>RANK(BH9,$BH$9:$BH$43)</f>
        <v>1</v>
      </c>
    </row>
    <row r="10" spans="2:61" x14ac:dyDescent="0.25">
      <c r="B10" s="63">
        <v>2</v>
      </c>
      <c r="C10" s="64" t="str">
        <f>NOMINATIF!C7</f>
        <v>Bella Febriyan</v>
      </c>
      <c r="D10" s="65">
        <f>NOMINATIF!D7</f>
        <v>4044</v>
      </c>
      <c r="E10" s="65" t="str">
        <f>NOMINATIF!E7</f>
        <v>0063121607</v>
      </c>
      <c r="F10" s="53">
        <f t="shared" ref="F10:F43" si="0">IFERROR(VLOOKUP(C10,$BM$8:$BN$101,2,0),0)</f>
        <v>0</v>
      </c>
      <c r="G10" s="53"/>
      <c r="H10" s="53"/>
      <c r="I10" s="53">
        <f t="shared" ref="I10:I43" si="1">IFERROR(VLOOKUP(C10,$BO$8:$BP$101,2,0),0)</f>
        <v>0</v>
      </c>
      <c r="J10" s="53"/>
      <c r="K10" s="53"/>
      <c r="L10" s="53">
        <f t="shared" ref="L10:L43" si="2">IFERROR(VLOOKUP(C10,$BQ$8:$BR$101,2,0),0)</f>
        <v>0</v>
      </c>
      <c r="M10" s="53"/>
      <c r="N10" s="53"/>
      <c r="O10" s="53">
        <f t="shared" ref="O10:O43" si="3">IFERROR(VLOOKUP(C10,$BS$8:$BT$39,2,0),0)</f>
        <v>0</v>
      </c>
      <c r="P10" s="53"/>
      <c r="Q10" s="53"/>
      <c r="R10" s="53">
        <f t="shared" ref="R10:R43" si="4">IFERROR(VLOOKUP(C10,$BU$8:$BV$101,2,0),0)</f>
        <v>0</v>
      </c>
      <c r="S10" s="53"/>
      <c r="T10" s="53"/>
      <c r="U10" s="53">
        <f t="shared" ref="U10:U43" si="5">IFERROR(VLOOKUP(C10,$BW$8:$BX$101,2,0),0)</f>
        <v>0</v>
      </c>
      <c r="V10" s="53"/>
      <c r="W10" s="53"/>
      <c r="X10" s="53">
        <f t="shared" ref="X10:X43" si="6">IFERROR(VLOOKUP(C10,$BY$8:$BZ$101,2,0),0)</f>
        <v>0</v>
      </c>
      <c r="Y10" s="53"/>
      <c r="Z10" s="53"/>
      <c r="AA10" s="53">
        <f t="shared" ref="AA10:AA43" si="7">IFERROR(VLOOKUP(C10,$CA$8:$CB$39,2,0),0)</f>
        <v>0</v>
      </c>
      <c r="AB10" s="53"/>
      <c r="AC10" s="53"/>
      <c r="AD10" s="53">
        <f t="shared" ref="AD10:AD43" si="8">IFERROR(VLOOKUP(C10,$CC$8:$CD$101,2,0),0)</f>
        <v>0</v>
      </c>
      <c r="AE10" s="53"/>
      <c r="AF10" s="53"/>
      <c r="AG10" s="53">
        <f t="shared" ref="AG10:AG43" si="9">IFERROR(VLOOKUP(C10,$CE$8:$CF$101,2,0),0)</f>
        <v>0</v>
      </c>
      <c r="AH10" s="53"/>
      <c r="AI10" s="53"/>
      <c r="AJ10" s="53">
        <f t="shared" ref="AJ10:AJ43" si="10">IFERROR(VLOOKUP(C10,$CG$8:$CH$101,2,0),0)</f>
        <v>0</v>
      </c>
      <c r="AK10" s="53"/>
      <c r="AL10" s="53"/>
      <c r="AM10" s="53">
        <f t="shared" ref="AM10:AM43" si="11">IFERROR(VLOOKUP(C10,$CI$8:$CJ$39,2,0),0)</f>
        <v>0</v>
      </c>
      <c r="AN10" s="53"/>
      <c r="AO10" s="53"/>
      <c r="AP10" s="53">
        <f t="shared" ref="AP10:AP43" si="12">IFERROR(VLOOKUP(C10,$CK$8:$CL$101,2,0),0)</f>
        <v>0</v>
      </c>
      <c r="AQ10" s="53"/>
      <c r="AR10" s="53"/>
      <c r="AS10" s="53">
        <f t="shared" ref="AS10:AS43" si="13">IFERROR(VLOOKUP(C10,$CM$8:$CN$101,2,0),0)</f>
        <v>0</v>
      </c>
      <c r="AT10" s="53"/>
      <c r="AU10" s="53"/>
      <c r="AV10" s="53">
        <f t="shared" ref="AV10:AV43" si="14">IFERROR(VLOOKUP(C10,$CO$8:$CP$101,2,0),0)</f>
        <v>0</v>
      </c>
      <c r="AW10" s="53"/>
      <c r="AX10" s="53"/>
      <c r="AY10" s="53">
        <f t="shared" ref="AY10:AY43" si="15">IFERROR(VLOOKUP(C10,$CQ$8:$CR$101,2,0),0)</f>
        <v>0</v>
      </c>
      <c r="AZ10" s="53"/>
      <c r="BA10" s="53"/>
      <c r="BB10" s="53">
        <f t="shared" ref="BB10:BB43" si="16">IFERROR(VLOOKUP(C10,$CS$8:$CT$101,2,0),0)</f>
        <v>0</v>
      </c>
      <c r="BC10" s="53"/>
      <c r="BD10" s="53"/>
      <c r="BE10" s="53">
        <f t="shared" ref="BE10:BE43" si="17">IFERROR(VLOOKUP(C10,$CU$8:$CV$101,2,0),0)</f>
        <v>0</v>
      </c>
      <c r="BF10" s="53"/>
      <c r="BG10" s="53"/>
      <c r="BH10" s="67">
        <f t="shared" ref="BH10:BH43" si="18">SUM(F10:BE10)</f>
        <v>0</v>
      </c>
      <c r="BI10" s="68">
        <f>RANK(BH10,$BH$9:$BH$43)</f>
        <v>1</v>
      </c>
    </row>
    <row r="11" spans="2:61" x14ac:dyDescent="0.25">
      <c r="B11" s="63">
        <v>3</v>
      </c>
      <c r="C11" s="64" t="str">
        <f>NOMINATIF!C8</f>
        <v>CHINTIA WIDYA PUTRI</v>
      </c>
      <c r="D11" s="65">
        <f>NOMINATIF!D8</f>
        <v>4024</v>
      </c>
      <c r="E11" s="65" t="str">
        <f>NOMINATIF!E8</f>
        <v>0064862293</v>
      </c>
      <c r="F11" s="53">
        <f t="shared" si="0"/>
        <v>0</v>
      </c>
      <c r="G11" s="53"/>
      <c r="H11" s="53"/>
      <c r="I11" s="53">
        <f t="shared" si="1"/>
        <v>0</v>
      </c>
      <c r="J11" s="53"/>
      <c r="K11" s="53"/>
      <c r="L11" s="53">
        <f t="shared" si="2"/>
        <v>0</v>
      </c>
      <c r="M11" s="53"/>
      <c r="N11" s="53"/>
      <c r="O11" s="53">
        <f t="shared" si="3"/>
        <v>0</v>
      </c>
      <c r="P11" s="53"/>
      <c r="Q11" s="53"/>
      <c r="R11" s="53">
        <f t="shared" si="4"/>
        <v>0</v>
      </c>
      <c r="S11" s="53"/>
      <c r="T11" s="53"/>
      <c r="U11" s="53">
        <f t="shared" si="5"/>
        <v>0</v>
      </c>
      <c r="V11" s="53"/>
      <c r="W11" s="53"/>
      <c r="X11" s="53">
        <f t="shared" si="6"/>
        <v>0</v>
      </c>
      <c r="Y11" s="53"/>
      <c r="Z11" s="53"/>
      <c r="AA11" s="53">
        <f t="shared" si="7"/>
        <v>0</v>
      </c>
      <c r="AB11" s="53"/>
      <c r="AC11" s="53"/>
      <c r="AD11" s="53">
        <f t="shared" si="8"/>
        <v>0</v>
      </c>
      <c r="AE11" s="53"/>
      <c r="AF11" s="53"/>
      <c r="AG11" s="53">
        <f t="shared" si="9"/>
        <v>0</v>
      </c>
      <c r="AH11" s="53"/>
      <c r="AI11" s="53"/>
      <c r="AJ11" s="53">
        <f t="shared" si="10"/>
        <v>0</v>
      </c>
      <c r="AK11" s="53"/>
      <c r="AL11" s="53"/>
      <c r="AM11" s="53">
        <f t="shared" si="11"/>
        <v>0</v>
      </c>
      <c r="AN11" s="53"/>
      <c r="AO11" s="53"/>
      <c r="AP11" s="53">
        <f t="shared" si="12"/>
        <v>0</v>
      </c>
      <c r="AQ11" s="53"/>
      <c r="AR11" s="53"/>
      <c r="AS11" s="53">
        <f t="shared" si="13"/>
        <v>0</v>
      </c>
      <c r="AT11" s="53"/>
      <c r="AU11" s="53"/>
      <c r="AV11" s="53">
        <f t="shared" si="14"/>
        <v>0</v>
      </c>
      <c r="AW11" s="53"/>
      <c r="AX11" s="53"/>
      <c r="AY11" s="53">
        <f t="shared" si="15"/>
        <v>0</v>
      </c>
      <c r="AZ11" s="53"/>
      <c r="BA11" s="53"/>
      <c r="BB11" s="53">
        <f t="shared" si="16"/>
        <v>0</v>
      </c>
      <c r="BC11" s="53"/>
      <c r="BD11" s="53"/>
      <c r="BE11" s="53">
        <f t="shared" si="17"/>
        <v>0</v>
      </c>
      <c r="BF11" s="53"/>
      <c r="BG11" s="53"/>
      <c r="BH11" s="67">
        <f t="shared" si="18"/>
        <v>0</v>
      </c>
      <c r="BI11" s="68">
        <f t="shared" ref="BI11:BI43" si="19">RANK(BH11,$BH$9:$BH$43)</f>
        <v>1</v>
      </c>
    </row>
    <row r="12" spans="2:61" x14ac:dyDescent="0.25">
      <c r="B12" s="63">
        <v>4</v>
      </c>
      <c r="C12" s="64" t="str">
        <f>NOMINATIF!C9</f>
        <v>DAVINA AZAHRA</v>
      </c>
      <c r="D12" s="65">
        <f>NOMINATIF!D9</f>
        <v>4048</v>
      </c>
      <c r="E12" s="65" t="str">
        <f>NOMINATIF!E9</f>
        <v>0063299654</v>
      </c>
      <c r="F12" s="53">
        <f t="shared" si="0"/>
        <v>0</v>
      </c>
      <c r="G12" s="53"/>
      <c r="H12" s="53"/>
      <c r="I12" s="53">
        <f t="shared" si="1"/>
        <v>0</v>
      </c>
      <c r="J12" s="53"/>
      <c r="K12" s="53"/>
      <c r="L12" s="53">
        <f t="shared" si="2"/>
        <v>0</v>
      </c>
      <c r="M12" s="53"/>
      <c r="N12" s="53"/>
      <c r="O12" s="53">
        <f t="shared" si="3"/>
        <v>0</v>
      </c>
      <c r="P12" s="53"/>
      <c r="Q12" s="53"/>
      <c r="R12" s="53">
        <f t="shared" si="4"/>
        <v>0</v>
      </c>
      <c r="S12" s="53"/>
      <c r="T12" s="53"/>
      <c r="U12" s="53">
        <f t="shared" si="5"/>
        <v>0</v>
      </c>
      <c r="V12" s="53"/>
      <c r="W12" s="53"/>
      <c r="X12" s="53">
        <f t="shared" si="6"/>
        <v>0</v>
      </c>
      <c r="Y12" s="53"/>
      <c r="Z12" s="53"/>
      <c r="AA12" s="53">
        <f t="shared" si="7"/>
        <v>0</v>
      </c>
      <c r="AB12" s="53"/>
      <c r="AC12" s="53"/>
      <c r="AD12" s="53">
        <f t="shared" si="8"/>
        <v>0</v>
      </c>
      <c r="AE12" s="53"/>
      <c r="AF12" s="53"/>
      <c r="AG12" s="53">
        <f t="shared" si="9"/>
        <v>0</v>
      </c>
      <c r="AH12" s="53"/>
      <c r="AI12" s="53"/>
      <c r="AJ12" s="53">
        <f t="shared" si="10"/>
        <v>0</v>
      </c>
      <c r="AK12" s="53"/>
      <c r="AL12" s="53"/>
      <c r="AM12" s="53">
        <f t="shared" si="11"/>
        <v>0</v>
      </c>
      <c r="AN12" s="53"/>
      <c r="AO12" s="53"/>
      <c r="AP12" s="53">
        <f t="shared" si="12"/>
        <v>0</v>
      </c>
      <c r="AQ12" s="53"/>
      <c r="AR12" s="53"/>
      <c r="AS12" s="53">
        <f t="shared" si="13"/>
        <v>0</v>
      </c>
      <c r="AT12" s="53"/>
      <c r="AU12" s="53"/>
      <c r="AV12" s="53">
        <f t="shared" si="14"/>
        <v>0</v>
      </c>
      <c r="AW12" s="53"/>
      <c r="AX12" s="53"/>
      <c r="AY12" s="53">
        <f t="shared" si="15"/>
        <v>0</v>
      </c>
      <c r="AZ12" s="53"/>
      <c r="BA12" s="53"/>
      <c r="BB12" s="53">
        <f t="shared" si="16"/>
        <v>0</v>
      </c>
      <c r="BC12" s="53"/>
      <c r="BD12" s="53"/>
      <c r="BE12" s="53">
        <f t="shared" si="17"/>
        <v>0</v>
      </c>
      <c r="BF12" s="53"/>
      <c r="BG12" s="53"/>
      <c r="BH12" s="67">
        <f t="shared" si="18"/>
        <v>0</v>
      </c>
      <c r="BI12" s="68">
        <f t="shared" si="19"/>
        <v>1</v>
      </c>
    </row>
    <row r="13" spans="2:61" x14ac:dyDescent="0.25">
      <c r="B13" s="63">
        <v>5</v>
      </c>
      <c r="C13" s="64" t="str">
        <f>NOMINATIF!C10</f>
        <v>DELIA TRI ASTUTI</v>
      </c>
      <c r="D13" s="65">
        <f>NOMINATIF!D10</f>
        <v>4049</v>
      </c>
      <c r="E13" s="65" t="str">
        <f>NOMINATIF!E10</f>
        <v>0051684703</v>
      </c>
      <c r="F13" s="53">
        <v>0</v>
      </c>
      <c r="G13" s="53"/>
      <c r="H13" s="53"/>
      <c r="I13" s="53">
        <f t="shared" si="1"/>
        <v>0</v>
      </c>
      <c r="J13" s="53"/>
      <c r="K13" s="53"/>
      <c r="L13" s="53">
        <f t="shared" si="2"/>
        <v>0</v>
      </c>
      <c r="M13" s="53"/>
      <c r="N13" s="53"/>
      <c r="O13" s="53">
        <f t="shared" si="3"/>
        <v>0</v>
      </c>
      <c r="P13" s="53"/>
      <c r="Q13" s="53"/>
      <c r="R13" s="53">
        <f t="shared" si="4"/>
        <v>0</v>
      </c>
      <c r="S13" s="53"/>
      <c r="T13" s="53"/>
      <c r="U13" s="53">
        <f t="shared" si="5"/>
        <v>0</v>
      </c>
      <c r="V13" s="53"/>
      <c r="W13" s="53"/>
      <c r="X13" s="53">
        <f t="shared" si="6"/>
        <v>0</v>
      </c>
      <c r="Y13" s="53"/>
      <c r="Z13" s="53"/>
      <c r="AA13" s="53">
        <f t="shared" si="7"/>
        <v>0</v>
      </c>
      <c r="AB13" s="53"/>
      <c r="AC13" s="53"/>
      <c r="AD13" s="53">
        <f t="shared" si="8"/>
        <v>0</v>
      </c>
      <c r="AE13" s="53"/>
      <c r="AF13" s="53"/>
      <c r="AG13" s="53">
        <f t="shared" si="9"/>
        <v>0</v>
      </c>
      <c r="AH13" s="53"/>
      <c r="AI13" s="53"/>
      <c r="AJ13" s="53">
        <f t="shared" si="10"/>
        <v>0</v>
      </c>
      <c r="AK13" s="53"/>
      <c r="AL13" s="53"/>
      <c r="AM13" s="53">
        <f t="shared" si="11"/>
        <v>0</v>
      </c>
      <c r="AN13" s="53"/>
      <c r="AO13" s="53"/>
      <c r="AP13" s="53">
        <f t="shared" si="12"/>
        <v>0</v>
      </c>
      <c r="AQ13" s="53"/>
      <c r="AR13" s="53"/>
      <c r="AS13" s="53">
        <f t="shared" si="13"/>
        <v>0</v>
      </c>
      <c r="AT13" s="53"/>
      <c r="AU13" s="53"/>
      <c r="AV13" s="53">
        <f t="shared" si="14"/>
        <v>0</v>
      </c>
      <c r="AW13" s="53"/>
      <c r="AX13" s="53"/>
      <c r="AY13" s="53">
        <f t="shared" si="15"/>
        <v>0</v>
      </c>
      <c r="AZ13" s="53"/>
      <c r="BA13" s="53"/>
      <c r="BB13" s="53">
        <f t="shared" si="16"/>
        <v>0</v>
      </c>
      <c r="BC13" s="53"/>
      <c r="BD13" s="53"/>
      <c r="BE13" s="53">
        <f t="shared" si="17"/>
        <v>0</v>
      </c>
      <c r="BF13" s="53"/>
      <c r="BG13" s="53"/>
      <c r="BH13" s="67">
        <f t="shared" si="18"/>
        <v>0</v>
      </c>
      <c r="BI13" s="68">
        <f t="shared" si="19"/>
        <v>1</v>
      </c>
    </row>
    <row r="14" spans="2:61" x14ac:dyDescent="0.25">
      <c r="B14" s="63">
        <v>6</v>
      </c>
      <c r="C14" s="64" t="str">
        <f>NOMINATIF!C11</f>
        <v>ELVA AYU SAPUTRI</v>
      </c>
      <c r="D14" s="65">
        <f>NOMINATIF!D11</f>
        <v>4027</v>
      </c>
      <c r="E14" s="65" t="str">
        <f>NOMINATIF!E11</f>
        <v>0067175983</v>
      </c>
      <c r="F14" s="53">
        <f t="shared" si="0"/>
        <v>0</v>
      </c>
      <c r="G14" s="53"/>
      <c r="H14" s="53"/>
      <c r="I14" s="53">
        <f t="shared" si="1"/>
        <v>0</v>
      </c>
      <c r="J14" s="53"/>
      <c r="K14" s="53"/>
      <c r="L14" s="53">
        <f t="shared" si="2"/>
        <v>0</v>
      </c>
      <c r="M14" s="53"/>
      <c r="N14" s="53"/>
      <c r="O14" s="53">
        <f t="shared" si="3"/>
        <v>0</v>
      </c>
      <c r="P14" s="53"/>
      <c r="Q14" s="53"/>
      <c r="R14" s="53">
        <f t="shared" si="4"/>
        <v>0</v>
      </c>
      <c r="S14" s="53"/>
      <c r="T14" s="53"/>
      <c r="U14" s="53">
        <f t="shared" si="5"/>
        <v>0</v>
      </c>
      <c r="V14" s="53"/>
      <c r="W14" s="53"/>
      <c r="X14" s="53">
        <f t="shared" si="6"/>
        <v>0</v>
      </c>
      <c r="Y14" s="53"/>
      <c r="Z14" s="53"/>
      <c r="AA14" s="53">
        <f t="shared" si="7"/>
        <v>0</v>
      </c>
      <c r="AB14" s="53"/>
      <c r="AC14" s="53"/>
      <c r="AD14" s="53">
        <f t="shared" si="8"/>
        <v>0</v>
      </c>
      <c r="AE14" s="53"/>
      <c r="AF14" s="53"/>
      <c r="AG14" s="53">
        <f t="shared" si="9"/>
        <v>0</v>
      </c>
      <c r="AH14" s="53"/>
      <c r="AI14" s="53"/>
      <c r="AJ14" s="53">
        <f t="shared" si="10"/>
        <v>0</v>
      </c>
      <c r="AK14" s="53"/>
      <c r="AL14" s="53"/>
      <c r="AM14" s="53">
        <f t="shared" si="11"/>
        <v>0</v>
      </c>
      <c r="AN14" s="53"/>
      <c r="AO14" s="53"/>
      <c r="AP14" s="53">
        <f t="shared" si="12"/>
        <v>0</v>
      </c>
      <c r="AQ14" s="53"/>
      <c r="AR14" s="53"/>
      <c r="AS14" s="53">
        <f t="shared" si="13"/>
        <v>0</v>
      </c>
      <c r="AT14" s="53"/>
      <c r="AU14" s="53"/>
      <c r="AV14" s="53">
        <f t="shared" si="14"/>
        <v>0</v>
      </c>
      <c r="AW14" s="53"/>
      <c r="AX14" s="53"/>
      <c r="AY14" s="53">
        <f t="shared" si="15"/>
        <v>0</v>
      </c>
      <c r="AZ14" s="53"/>
      <c r="BA14" s="53"/>
      <c r="BB14" s="53">
        <f t="shared" si="16"/>
        <v>0</v>
      </c>
      <c r="BC14" s="53"/>
      <c r="BD14" s="53"/>
      <c r="BE14" s="53">
        <f t="shared" si="17"/>
        <v>0</v>
      </c>
      <c r="BF14" s="53"/>
      <c r="BG14" s="53"/>
      <c r="BH14" s="67">
        <f t="shared" si="18"/>
        <v>0</v>
      </c>
      <c r="BI14" s="68">
        <f t="shared" si="19"/>
        <v>1</v>
      </c>
    </row>
    <row r="15" spans="2:61" x14ac:dyDescent="0.25">
      <c r="B15" s="63">
        <v>7</v>
      </c>
      <c r="C15" s="64" t="str">
        <f>NOMINATIF!C12</f>
        <v>Irlyn May Ardhiyana</v>
      </c>
      <c r="D15" s="65">
        <f>NOMINATIF!D12</f>
        <v>4030</v>
      </c>
      <c r="E15" s="65" t="str">
        <f>NOMINATIF!E12</f>
        <v>0068161646</v>
      </c>
      <c r="F15" s="53">
        <f t="shared" si="0"/>
        <v>0</v>
      </c>
      <c r="G15" s="53"/>
      <c r="H15" s="53"/>
      <c r="I15" s="53">
        <f t="shared" si="1"/>
        <v>0</v>
      </c>
      <c r="J15" s="53"/>
      <c r="K15" s="53"/>
      <c r="L15" s="53">
        <f t="shared" si="2"/>
        <v>0</v>
      </c>
      <c r="M15" s="53"/>
      <c r="N15" s="53"/>
      <c r="O15" s="53">
        <f t="shared" si="3"/>
        <v>0</v>
      </c>
      <c r="P15" s="53"/>
      <c r="Q15" s="53"/>
      <c r="R15" s="53">
        <f t="shared" si="4"/>
        <v>0</v>
      </c>
      <c r="S15" s="53"/>
      <c r="T15" s="53"/>
      <c r="U15" s="53">
        <f t="shared" si="5"/>
        <v>0</v>
      </c>
      <c r="V15" s="53"/>
      <c r="W15" s="53"/>
      <c r="X15" s="53">
        <f t="shared" si="6"/>
        <v>0</v>
      </c>
      <c r="Y15" s="53"/>
      <c r="Z15" s="53"/>
      <c r="AA15" s="53">
        <f t="shared" si="7"/>
        <v>0</v>
      </c>
      <c r="AB15" s="53"/>
      <c r="AC15" s="53"/>
      <c r="AD15" s="53">
        <f t="shared" si="8"/>
        <v>0</v>
      </c>
      <c r="AE15" s="53"/>
      <c r="AF15" s="53"/>
      <c r="AG15" s="53">
        <f t="shared" si="9"/>
        <v>0</v>
      </c>
      <c r="AH15" s="53"/>
      <c r="AI15" s="53"/>
      <c r="AJ15" s="53">
        <f t="shared" si="10"/>
        <v>0</v>
      </c>
      <c r="AK15" s="53"/>
      <c r="AL15" s="53"/>
      <c r="AM15" s="53">
        <f t="shared" si="11"/>
        <v>0</v>
      </c>
      <c r="AN15" s="53"/>
      <c r="AO15" s="53"/>
      <c r="AP15" s="53">
        <f t="shared" si="12"/>
        <v>0</v>
      </c>
      <c r="AQ15" s="53"/>
      <c r="AR15" s="53"/>
      <c r="AS15" s="53">
        <f t="shared" si="13"/>
        <v>0</v>
      </c>
      <c r="AT15" s="53"/>
      <c r="AU15" s="53"/>
      <c r="AV15" s="53">
        <f t="shared" si="14"/>
        <v>0</v>
      </c>
      <c r="AW15" s="53"/>
      <c r="AX15" s="53"/>
      <c r="AY15" s="53">
        <f t="shared" si="15"/>
        <v>0</v>
      </c>
      <c r="AZ15" s="53"/>
      <c r="BA15" s="53"/>
      <c r="BB15" s="53">
        <f t="shared" si="16"/>
        <v>0</v>
      </c>
      <c r="BC15" s="53"/>
      <c r="BD15" s="53"/>
      <c r="BE15" s="53">
        <f t="shared" si="17"/>
        <v>0</v>
      </c>
      <c r="BF15" s="53"/>
      <c r="BG15" s="53"/>
      <c r="BH15" s="67">
        <f t="shared" si="18"/>
        <v>0</v>
      </c>
      <c r="BI15" s="68">
        <f t="shared" si="19"/>
        <v>1</v>
      </c>
    </row>
    <row r="16" spans="2:61" x14ac:dyDescent="0.25">
      <c r="B16" s="63">
        <v>8</v>
      </c>
      <c r="C16" s="64" t="str">
        <f>NOMINATIF!C13</f>
        <v>Milla Safira</v>
      </c>
      <c r="D16" s="65">
        <f>NOMINATIF!D13</f>
        <v>4053</v>
      </c>
      <c r="E16" s="65" t="str">
        <f>NOMINATIF!E13</f>
        <v>0057801643</v>
      </c>
      <c r="F16" s="53">
        <f t="shared" si="0"/>
        <v>0</v>
      </c>
      <c r="G16" s="53"/>
      <c r="H16" s="53"/>
      <c r="I16" s="53">
        <f t="shared" si="1"/>
        <v>0</v>
      </c>
      <c r="J16" s="53"/>
      <c r="K16" s="53"/>
      <c r="L16" s="53">
        <f t="shared" si="2"/>
        <v>0</v>
      </c>
      <c r="M16" s="53"/>
      <c r="N16" s="53"/>
      <c r="O16" s="53">
        <f t="shared" si="3"/>
        <v>0</v>
      </c>
      <c r="P16" s="53"/>
      <c r="Q16" s="53"/>
      <c r="R16" s="53">
        <f t="shared" si="4"/>
        <v>0</v>
      </c>
      <c r="S16" s="53"/>
      <c r="T16" s="53"/>
      <c r="U16" s="53">
        <f t="shared" si="5"/>
        <v>0</v>
      </c>
      <c r="V16" s="53"/>
      <c r="W16" s="53"/>
      <c r="X16" s="53">
        <f t="shared" si="6"/>
        <v>0</v>
      </c>
      <c r="Y16" s="53"/>
      <c r="Z16" s="53"/>
      <c r="AA16" s="53">
        <f t="shared" si="7"/>
        <v>0</v>
      </c>
      <c r="AB16" s="53"/>
      <c r="AC16" s="53"/>
      <c r="AD16" s="53">
        <f t="shared" si="8"/>
        <v>0</v>
      </c>
      <c r="AE16" s="53"/>
      <c r="AF16" s="53"/>
      <c r="AG16" s="53">
        <f t="shared" si="9"/>
        <v>0</v>
      </c>
      <c r="AH16" s="53"/>
      <c r="AI16" s="53"/>
      <c r="AJ16" s="53">
        <f t="shared" si="10"/>
        <v>0</v>
      </c>
      <c r="AK16" s="53"/>
      <c r="AL16" s="53"/>
      <c r="AM16" s="53">
        <f t="shared" si="11"/>
        <v>0</v>
      </c>
      <c r="AN16" s="53"/>
      <c r="AO16" s="53"/>
      <c r="AP16" s="53">
        <f t="shared" si="12"/>
        <v>0</v>
      </c>
      <c r="AQ16" s="53"/>
      <c r="AR16" s="53"/>
      <c r="AS16" s="53">
        <f t="shared" si="13"/>
        <v>0</v>
      </c>
      <c r="AT16" s="53"/>
      <c r="AU16" s="53"/>
      <c r="AV16" s="53">
        <f t="shared" si="14"/>
        <v>0</v>
      </c>
      <c r="AW16" s="53"/>
      <c r="AX16" s="53"/>
      <c r="AY16" s="53">
        <f t="shared" si="15"/>
        <v>0</v>
      </c>
      <c r="AZ16" s="53"/>
      <c r="BA16" s="53"/>
      <c r="BB16" s="53">
        <f t="shared" si="16"/>
        <v>0</v>
      </c>
      <c r="BC16" s="53"/>
      <c r="BD16" s="53"/>
      <c r="BE16" s="53">
        <f t="shared" si="17"/>
        <v>0</v>
      </c>
      <c r="BF16" s="53"/>
      <c r="BG16" s="53"/>
      <c r="BH16" s="67">
        <f t="shared" si="18"/>
        <v>0</v>
      </c>
      <c r="BI16" s="68">
        <f t="shared" si="19"/>
        <v>1</v>
      </c>
    </row>
    <row r="17" spans="2:61" x14ac:dyDescent="0.25">
      <c r="B17" s="63">
        <v>9</v>
      </c>
      <c r="C17" s="64" t="str">
        <f>NOMINATIF!C14</f>
        <v>NATASYA EVI ARIFAH</v>
      </c>
      <c r="D17" s="65">
        <f>NOMINATIF!D14</f>
        <v>4033</v>
      </c>
      <c r="E17" s="65" t="str">
        <f>NOMINATIF!E14</f>
        <v>0066680260</v>
      </c>
      <c r="F17" s="53">
        <f t="shared" si="0"/>
        <v>0</v>
      </c>
      <c r="G17" s="53"/>
      <c r="H17" s="53"/>
      <c r="I17" s="53">
        <f t="shared" si="1"/>
        <v>0</v>
      </c>
      <c r="J17" s="53"/>
      <c r="K17" s="53"/>
      <c r="L17" s="53">
        <f t="shared" si="2"/>
        <v>0</v>
      </c>
      <c r="M17" s="53"/>
      <c r="N17" s="53"/>
      <c r="O17" s="53">
        <f t="shared" si="3"/>
        <v>0</v>
      </c>
      <c r="P17" s="53"/>
      <c r="Q17" s="53"/>
      <c r="R17" s="53">
        <f t="shared" si="4"/>
        <v>0</v>
      </c>
      <c r="S17" s="53"/>
      <c r="T17" s="53"/>
      <c r="U17" s="53">
        <f t="shared" si="5"/>
        <v>0</v>
      </c>
      <c r="V17" s="53"/>
      <c r="W17" s="53"/>
      <c r="X17" s="53">
        <f t="shared" si="6"/>
        <v>0</v>
      </c>
      <c r="Y17" s="53"/>
      <c r="Z17" s="53"/>
      <c r="AA17" s="53">
        <f t="shared" si="7"/>
        <v>0</v>
      </c>
      <c r="AB17" s="53"/>
      <c r="AC17" s="53"/>
      <c r="AD17" s="53">
        <f t="shared" si="8"/>
        <v>0</v>
      </c>
      <c r="AE17" s="53"/>
      <c r="AF17" s="53"/>
      <c r="AG17" s="53">
        <f t="shared" si="9"/>
        <v>0</v>
      </c>
      <c r="AH17" s="53"/>
      <c r="AI17" s="53"/>
      <c r="AJ17" s="53">
        <f t="shared" si="10"/>
        <v>0</v>
      </c>
      <c r="AK17" s="53"/>
      <c r="AL17" s="53"/>
      <c r="AM17" s="53">
        <f t="shared" si="11"/>
        <v>0</v>
      </c>
      <c r="AN17" s="53"/>
      <c r="AO17" s="53"/>
      <c r="AP17" s="53">
        <f t="shared" si="12"/>
        <v>0</v>
      </c>
      <c r="AQ17" s="53"/>
      <c r="AR17" s="53"/>
      <c r="AS17" s="53">
        <f t="shared" si="13"/>
        <v>0</v>
      </c>
      <c r="AT17" s="53"/>
      <c r="AU17" s="53"/>
      <c r="AV17" s="53">
        <f t="shared" si="14"/>
        <v>0</v>
      </c>
      <c r="AW17" s="53"/>
      <c r="AX17" s="53"/>
      <c r="AY17" s="53">
        <f t="shared" si="15"/>
        <v>0</v>
      </c>
      <c r="AZ17" s="53"/>
      <c r="BA17" s="53"/>
      <c r="BB17" s="53">
        <f t="shared" si="16"/>
        <v>0</v>
      </c>
      <c r="BC17" s="53"/>
      <c r="BD17" s="53"/>
      <c r="BE17" s="53">
        <f t="shared" si="17"/>
        <v>0</v>
      </c>
      <c r="BF17" s="53"/>
      <c r="BG17" s="53"/>
      <c r="BH17" s="67">
        <f t="shared" si="18"/>
        <v>0</v>
      </c>
      <c r="BI17" s="68">
        <f t="shared" si="19"/>
        <v>1</v>
      </c>
    </row>
    <row r="18" spans="2:61" x14ac:dyDescent="0.25">
      <c r="B18" s="63">
        <v>10</v>
      </c>
      <c r="C18" s="64" t="str">
        <f>NOMINATIF!C15</f>
        <v>Nensyih Widyawati Maharani</v>
      </c>
      <c r="D18" s="65">
        <f>NOMINATIF!D15</f>
        <v>4054</v>
      </c>
      <c r="E18" s="65" t="str">
        <f>NOMINATIF!E15</f>
        <v>0064476649</v>
      </c>
      <c r="F18" s="53">
        <f t="shared" si="0"/>
        <v>0</v>
      </c>
      <c r="G18" s="53"/>
      <c r="H18" s="53"/>
      <c r="I18" s="53">
        <f t="shared" si="1"/>
        <v>0</v>
      </c>
      <c r="J18" s="53"/>
      <c r="K18" s="53"/>
      <c r="L18" s="53">
        <f t="shared" si="2"/>
        <v>0</v>
      </c>
      <c r="M18" s="53"/>
      <c r="N18" s="53"/>
      <c r="O18" s="53">
        <f t="shared" si="3"/>
        <v>0</v>
      </c>
      <c r="P18" s="53"/>
      <c r="Q18" s="53"/>
      <c r="R18" s="53">
        <f t="shared" si="4"/>
        <v>0</v>
      </c>
      <c r="S18" s="53"/>
      <c r="T18" s="53"/>
      <c r="U18" s="53">
        <f t="shared" si="5"/>
        <v>0</v>
      </c>
      <c r="V18" s="53"/>
      <c r="W18" s="53"/>
      <c r="X18" s="53">
        <f t="shared" si="6"/>
        <v>0</v>
      </c>
      <c r="Y18" s="53"/>
      <c r="Z18" s="53"/>
      <c r="AA18" s="53">
        <f t="shared" si="7"/>
        <v>0</v>
      </c>
      <c r="AB18" s="53"/>
      <c r="AC18" s="53"/>
      <c r="AD18" s="53">
        <f t="shared" si="8"/>
        <v>0</v>
      </c>
      <c r="AE18" s="53"/>
      <c r="AF18" s="53"/>
      <c r="AG18" s="53">
        <f t="shared" si="9"/>
        <v>0</v>
      </c>
      <c r="AH18" s="53"/>
      <c r="AI18" s="53"/>
      <c r="AJ18" s="53">
        <f t="shared" si="10"/>
        <v>0</v>
      </c>
      <c r="AK18" s="53"/>
      <c r="AL18" s="53"/>
      <c r="AM18" s="53">
        <f t="shared" si="11"/>
        <v>0</v>
      </c>
      <c r="AN18" s="53"/>
      <c r="AO18" s="53"/>
      <c r="AP18" s="53">
        <f t="shared" si="12"/>
        <v>0</v>
      </c>
      <c r="AQ18" s="53"/>
      <c r="AR18" s="53"/>
      <c r="AS18" s="53">
        <f t="shared" si="13"/>
        <v>0</v>
      </c>
      <c r="AT18" s="53"/>
      <c r="AU18" s="53"/>
      <c r="AV18" s="53">
        <f t="shared" si="14"/>
        <v>0</v>
      </c>
      <c r="AW18" s="53"/>
      <c r="AX18" s="53"/>
      <c r="AY18" s="53">
        <f t="shared" si="15"/>
        <v>0</v>
      </c>
      <c r="AZ18" s="53"/>
      <c r="BA18" s="53"/>
      <c r="BB18" s="53">
        <f t="shared" si="16"/>
        <v>0</v>
      </c>
      <c r="BC18" s="53"/>
      <c r="BD18" s="53"/>
      <c r="BE18" s="53">
        <f t="shared" si="17"/>
        <v>0</v>
      </c>
      <c r="BF18" s="53"/>
      <c r="BG18" s="53"/>
      <c r="BH18" s="67">
        <f t="shared" si="18"/>
        <v>0</v>
      </c>
      <c r="BI18" s="68">
        <f t="shared" si="19"/>
        <v>1</v>
      </c>
    </row>
    <row r="19" spans="2:61" x14ac:dyDescent="0.25">
      <c r="B19" s="63">
        <v>11</v>
      </c>
      <c r="C19" s="64" t="str">
        <f>NOMINATIF!C16</f>
        <v>Olifah Hiasianjeng Prehatin</v>
      </c>
      <c r="D19" s="65">
        <f>NOMINATIF!D16</f>
        <v>4056</v>
      </c>
      <c r="E19" s="65" t="str">
        <f>NOMINATIF!E16</f>
        <v>0056102322</v>
      </c>
      <c r="F19" s="53">
        <f t="shared" si="0"/>
        <v>0</v>
      </c>
      <c r="G19" s="53"/>
      <c r="H19" s="53"/>
      <c r="I19" s="53">
        <f t="shared" si="1"/>
        <v>0</v>
      </c>
      <c r="J19" s="53"/>
      <c r="K19" s="53"/>
      <c r="L19" s="53">
        <f t="shared" si="2"/>
        <v>0</v>
      </c>
      <c r="M19" s="53"/>
      <c r="N19" s="53"/>
      <c r="O19" s="53">
        <f t="shared" si="3"/>
        <v>0</v>
      </c>
      <c r="P19" s="53"/>
      <c r="Q19" s="53"/>
      <c r="R19" s="53">
        <f t="shared" si="4"/>
        <v>0</v>
      </c>
      <c r="S19" s="53"/>
      <c r="T19" s="53"/>
      <c r="U19" s="53">
        <f t="shared" si="5"/>
        <v>0</v>
      </c>
      <c r="V19" s="53"/>
      <c r="W19" s="53"/>
      <c r="X19" s="53">
        <f t="shared" si="6"/>
        <v>0</v>
      </c>
      <c r="Y19" s="53"/>
      <c r="Z19" s="53"/>
      <c r="AA19" s="53">
        <f t="shared" si="7"/>
        <v>0</v>
      </c>
      <c r="AB19" s="53"/>
      <c r="AC19" s="53"/>
      <c r="AD19" s="53">
        <f t="shared" si="8"/>
        <v>0</v>
      </c>
      <c r="AE19" s="53"/>
      <c r="AF19" s="53"/>
      <c r="AG19" s="53">
        <f t="shared" si="9"/>
        <v>0</v>
      </c>
      <c r="AH19" s="53"/>
      <c r="AI19" s="53"/>
      <c r="AJ19" s="53">
        <f t="shared" si="10"/>
        <v>0</v>
      </c>
      <c r="AK19" s="53"/>
      <c r="AL19" s="53"/>
      <c r="AM19" s="53">
        <f t="shared" si="11"/>
        <v>0</v>
      </c>
      <c r="AN19" s="53"/>
      <c r="AO19" s="53"/>
      <c r="AP19" s="53">
        <f t="shared" si="12"/>
        <v>0</v>
      </c>
      <c r="AQ19" s="53"/>
      <c r="AR19" s="53"/>
      <c r="AS19" s="53">
        <f t="shared" si="13"/>
        <v>0</v>
      </c>
      <c r="AT19" s="53"/>
      <c r="AU19" s="53"/>
      <c r="AV19" s="53">
        <f t="shared" si="14"/>
        <v>0</v>
      </c>
      <c r="AW19" s="53"/>
      <c r="AX19" s="53"/>
      <c r="AY19" s="53">
        <f t="shared" si="15"/>
        <v>0</v>
      </c>
      <c r="AZ19" s="53"/>
      <c r="BA19" s="53"/>
      <c r="BB19" s="53">
        <f t="shared" si="16"/>
        <v>0</v>
      </c>
      <c r="BC19" s="53"/>
      <c r="BD19" s="53"/>
      <c r="BE19" s="53">
        <f t="shared" si="17"/>
        <v>0</v>
      </c>
      <c r="BF19" s="53"/>
      <c r="BG19" s="53"/>
      <c r="BH19" s="67">
        <f t="shared" si="18"/>
        <v>0</v>
      </c>
      <c r="BI19" s="68">
        <f t="shared" si="19"/>
        <v>1</v>
      </c>
    </row>
    <row r="20" spans="2:61" x14ac:dyDescent="0.25">
      <c r="B20" s="63">
        <v>12</v>
      </c>
      <c r="C20" s="64" t="str">
        <f>NOMINATIF!C17</f>
        <v>Putri Wijayanti</v>
      </c>
      <c r="D20" s="65">
        <f>NOMINATIF!D17</f>
        <v>4057</v>
      </c>
      <c r="E20" s="65" t="str">
        <f>NOMINATIF!E17</f>
        <v>0065546535</v>
      </c>
      <c r="F20" s="53">
        <f t="shared" si="0"/>
        <v>0</v>
      </c>
      <c r="G20" s="53"/>
      <c r="H20" s="53"/>
      <c r="I20" s="53">
        <f t="shared" si="1"/>
        <v>0</v>
      </c>
      <c r="J20" s="53"/>
      <c r="K20" s="53"/>
      <c r="L20" s="53">
        <f t="shared" si="2"/>
        <v>0</v>
      </c>
      <c r="M20" s="53"/>
      <c r="N20" s="53"/>
      <c r="O20" s="53">
        <f t="shared" si="3"/>
        <v>0</v>
      </c>
      <c r="P20" s="53"/>
      <c r="Q20" s="53"/>
      <c r="R20" s="53">
        <f t="shared" si="4"/>
        <v>0</v>
      </c>
      <c r="S20" s="53"/>
      <c r="T20" s="53"/>
      <c r="U20" s="53">
        <f t="shared" si="5"/>
        <v>0</v>
      </c>
      <c r="V20" s="53"/>
      <c r="W20" s="53"/>
      <c r="X20" s="53">
        <f t="shared" si="6"/>
        <v>0</v>
      </c>
      <c r="Y20" s="53"/>
      <c r="Z20" s="53"/>
      <c r="AA20" s="53">
        <f t="shared" si="7"/>
        <v>0</v>
      </c>
      <c r="AB20" s="53"/>
      <c r="AC20" s="53"/>
      <c r="AD20" s="53">
        <f t="shared" si="8"/>
        <v>0</v>
      </c>
      <c r="AE20" s="53"/>
      <c r="AF20" s="53"/>
      <c r="AG20" s="53">
        <f t="shared" si="9"/>
        <v>0</v>
      </c>
      <c r="AH20" s="53"/>
      <c r="AI20" s="53"/>
      <c r="AJ20" s="53">
        <f t="shared" si="10"/>
        <v>0</v>
      </c>
      <c r="AK20" s="53"/>
      <c r="AL20" s="53"/>
      <c r="AM20" s="53">
        <f t="shared" si="11"/>
        <v>0</v>
      </c>
      <c r="AN20" s="53"/>
      <c r="AO20" s="53"/>
      <c r="AP20" s="53">
        <f t="shared" si="12"/>
        <v>0</v>
      </c>
      <c r="AQ20" s="53"/>
      <c r="AR20" s="53"/>
      <c r="AS20" s="53">
        <f t="shared" si="13"/>
        <v>0</v>
      </c>
      <c r="AT20" s="53"/>
      <c r="AU20" s="53"/>
      <c r="AV20" s="53">
        <f t="shared" si="14"/>
        <v>0</v>
      </c>
      <c r="AW20" s="53"/>
      <c r="AX20" s="53"/>
      <c r="AY20" s="53">
        <f t="shared" si="15"/>
        <v>0</v>
      </c>
      <c r="AZ20" s="53"/>
      <c r="BA20" s="53"/>
      <c r="BB20" s="53">
        <f t="shared" si="16"/>
        <v>0</v>
      </c>
      <c r="BC20" s="53"/>
      <c r="BD20" s="53"/>
      <c r="BE20" s="53">
        <f t="shared" si="17"/>
        <v>0</v>
      </c>
      <c r="BF20" s="53"/>
      <c r="BG20" s="53"/>
      <c r="BH20" s="67">
        <f t="shared" si="18"/>
        <v>0</v>
      </c>
      <c r="BI20" s="68">
        <f t="shared" si="19"/>
        <v>1</v>
      </c>
    </row>
    <row r="21" spans="2:61" x14ac:dyDescent="0.25">
      <c r="B21" s="63">
        <v>13</v>
      </c>
      <c r="C21" s="64" t="str">
        <f>NOMINATIF!C18</f>
        <v>Rafli Ramadani</v>
      </c>
      <c r="D21" s="65">
        <f>NOMINATIF!D18</f>
        <v>4058</v>
      </c>
      <c r="E21" s="65" t="str">
        <f>NOMINATIF!E18</f>
        <v>0055462823</v>
      </c>
      <c r="F21" s="53">
        <f t="shared" ref="F21:I21" si="20">IFERROR(VLOOKUP(#REF!,$BQ$8:$BR$101,2,0),0)</f>
        <v>0</v>
      </c>
      <c r="G21" s="53"/>
      <c r="H21" s="53"/>
      <c r="I21" s="53">
        <f t="shared" si="20"/>
        <v>0</v>
      </c>
      <c r="J21" s="53"/>
      <c r="K21" s="53"/>
      <c r="L21" s="53">
        <f t="shared" si="2"/>
        <v>0</v>
      </c>
      <c r="M21" s="53"/>
      <c r="N21" s="53"/>
      <c r="O21" s="53">
        <f t="shared" si="3"/>
        <v>0</v>
      </c>
      <c r="P21" s="53"/>
      <c r="Q21" s="53"/>
      <c r="R21" s="53">
        <f t="shared" si="4"/>
        <v>0</v>
      </c>
      <c r="S21" s="53"/>
      <c r="T21" s="53"/>
      <c r="U21" s="53">
        <f t="shared" si="5"/>
        <v>0</v>
      </c>
      <c r="V21" s="53"/>
      <c r="W21" s="53"/>
      <c r="X21" s="53">
        <f t="shared" si="6"/>
        <v>0</v>
      </c>
      <c r="Y21" s="53"/>
      <c r="Z21" s="53"/>
      <c r="AA21" s="53">
        <f t="shared" si="7"/>
        <v>0</v>
      </c>
      <c r="AB21" s="53"/>
      <c r="AC21" s="53"/>
      <c r="AD21" s="53">
        <f t="shared" si="8"/>
        <v>0</v>
      </c>
      <c r="AE21" s="53"/>
      <c r="AF21" s="53"/>
      <c r="AG21" s="53">
        <f t="shared" si="9"/>
        <v>0</v>
      </c>
      <c r="AH21" s="53"/>
      <c r="AI21" s="53"/>
      <c r="AJ21" s="53">
        <f t="shared" si="10"/>
        <v>0</v>
      </c>
      <c r="AK21" s="53"/>
      <c r="AL21" s="53"/>
      <c r="AM21" s="53">
        <f t="shared" si="11"/>
        <v>0</v>
      </c>
      <c r="AN21" s="53"/>
      <c r="AO21" s="53"/>
      <c r="AP21" s="53">
        <f t="shared" si="12"/>
        <v>0</v>
      </c>
      <c r="AQ21" s="53"/>
      <c r="AR21" s="53"/>
      <c r="AS21" s="53">
        <f t="shared" si="13"/>
        <v>0</v>
      </c>
      <c r="AT21" s="53"/>
      <c r="AU21" s="53"/>
      <c r="AV21" s="53">
        <f t="shared" si="14"/>
        <v>0</v>
      </c>
      <c r="AW21" s="53"/>
      <c r="AX21" s="53"/>
      <c r="AY21" s="53">
        <f t="shared" si="15"/>
        <v>0</v>
      </c>
      <c r="AZ21" s="53"/>
      <c r="BA21" s="53"/>
      <c r="BB21" s="53">
        <f t="shared" si="16"/>
        <v>0</v>
      </c>
      <c r="BC21" s="53"/>
      <c r="BD21" s="53"/>
      <c r="BE21" s="53">
        <f t="shared" si="17"/>
        <v>0</v>
      </c>
      <c r="BF21" s="53"/>
      <c r="BG21" s="53"/>
      <c r="BH21" s="67">
        <f t="shared" si="18"/>
        <v>0</v>
      </c>
      <c r="BI21" s="68">
        <f t="shared" si="19"/>
        <v>1</v>
      </c>
    </row>
    <row r="22" spans="2:61" x14ac:dyDescent="0.25">
      <c r="B22" s="63">
        <v>14</v>
      </c>
      <c r="C22" s="64" t="str">
        <f>NOMINATIF!C19</f>
        <v>Rheiva Elfa Rossidah</v>
      </c>
      <c r="D22" s="65">
        <f>NOMINATIF!D19</f>
        <v>4036</v>
      </c>
      <c r="E22" s="65" t="str">
        <f>NOMINATIF!E19</f>
        <v>0072838616</v>
      </c>
      <c r="F22" s="53">
        <f t="shared" si="0"/>
        <v>0</v>
      </c>
      <c r="G22" s="53"/>
      <c r="H22" s="53"/>
      <c r="I22" s="53">
        <f t="shared" si="1"/>
        <v>0</v>
      </c>
      <c r="J22" s="53"/>
      <c r="K22" s="53"/>
      <c r="L22" s="53">
        <f t="shared" si="2"/>
        <v>0</v>
      </c>
      <c r="M22" s="53"/>
      <c r="N22" s="53"/>
      <c r="O22" s="53">
        <f t="shared" si="3"/>
        <v>0</v>
      </c>
      <c r="P22" s="53"/>
      <c r="Q22" s="53"/>
      <c r="R22" s="53">
        <f t="shared" si="4"/>
        <v>0</v>
      </c>
      <c r="S22" s="53"/>
      <c r="T22" s="53"/>
      <c r="U22" s="53">
        <f t="shared" si="5"/>
        <v>0</v>
      </c>
      <c r="V22" s="53"/>
      <c r="W22" s="53"/>
      <c r="X22" s="53">
        <f t="shared" si="6"/>
        <v>0</v>
      </c>
      <c r="Y22" s="53"/>
      <c r="Z22" s="53"/>
      <c r="AA22" s="53">
        <f t="shared" si="7"/>
        <v>0</v>
      </c>
      <c r="AB22" s="53"/>
      <c r="AC22" s="53"/>
      <c r="AD22" s="53">
        <f t="shared" si="8"/>
        <v>0</v>
      </c>
      <c r="AE22" s="53"/>
      <c r="AF22" s="53"/>
      <c r="AG22" s="53">
        <f t="shared" si="9"/>
        <v>0</v>
      </c>
      <c r="AH22" s="53"/>
      <c r="AI22" s="53"/>
      <c r="AJ22" s="53">
        <f t="shared" si="10"/>
        <v>0</v>
      </c>
      <c r="AK22" s="53"/>
      <c r="AL22" s="53"/>
      <c r="AM22" s="53">
        <f t="shared" si="11"/>
        <v>0</v>
      </c>
      <c r="AN22" s="53"/>
      <c r="AO22" s="53"/>
      <c r="AP22" s="53">
        <f t="shared" si="12"/>
        <v>0</v>
      </c>
      <c r="AQ22" s="53"/>
      <c r="AR22" s="53"/>
      <c r="AS22" s="53">
        <f t="shared" si="13"/>
        <v>0</v>
      </c>
      <c r="AT22" s="53"/>
      <c r="AU22" s="53"/>
      <c r="AV22" s="53">
        <f t="shared" si="14"/>
        <v>0</v>
      </c>
      <c r="AW22" s="53"/>
      <c r="AX22" s="53"/>
      <c r="AY22" s="53">
        <f t="shared" si="15"/>
        <v>0</v>
      </c>
      <c r="AZ22" s="53"/>
      <c r="BA22" s="53"/>
      <c r="BB22" s="53">
        <f t="shared" si="16"/>
        <v>0</v>
      </c>
      <c r="BC22" s="53"/>
      <c r="BD22" s="53"/>
      <c r="BE22" s="53">
        <f t="shared" si="17"/>
        <v>0</v>
      </c>
      <c r="BF22" s="53"/>
      <c r="BG22" s="53"/>
      <c r="BH22" s="67">
        <f t="shared" si="18"/>
        <v>0</v>
      </c>
      <c r="BI22" s="68">
        <f t="shared" si="19"/>
        <v>1</v>
      </c>
    </row>
    <row r="23" spans="2:61" x14ac:dyDescent="0.25">
      <c r="B23" s="63">
        <v>15</v>
      </c>
      <c r="C23" s="64" t="str">
        <f>NOMINATIF!C20</f>
        <v>Selvia Indah Fitriani</v>
      </c>
      <c r="D23" s="65">
        <f>NOMINATIF!D20</f>
        <v>4037</v>
      </c>
      <c r="E23" s="65" t="str">
        <f>NOMINATIF!E20</f>
        <v>0052393386</v>
      </c>
      <c r="F23" s="53">
        <f t="shared" si="0"/>
        <v>0</v>
      </c>
      <c r="G23" s="53"/>
      <c r="H23" s="53"/>
      <c r="I23" s="53">
        <f t="shared" si="1"/>
        <v>0</v>
      </c>
      <c r="J23" s="53"/>
      <c r="K23" s="53"/>
      <c r="L23" s="53">
        <f t="shared" si="2"/>
        <v>0</v>
      </c>
      <c r="M23" s="53"/>
      <c r="N23" s="53"/>
      <c r="O23" s="53">
        <f t="shared" si="3"/>
        <v>0</v>
      </c>
      <c r="P23" s="53"/>
      <c r="Q23" s="53"/>
      <c r="R23" s="53">
        <f t="shared" si="4"/>
        <v>0</v>
      </c>
      <c r="S23" s="53"/>
      <c r="T23" s="53"/>
      <c r="U23" s="53">
        <f t="shared" si="5"/>
        <v>0</v>
      </c>
      <c r="V23" s="53"/>
      <c r="W23" s="53"/>
      <c r="X23" s="53">
        <f t="shared" si="6"/>
        <v>0</v>
      </c>
      <c r="Y23" s="53"/>
      <c r="Z23" s="53"/>
      <c r="AA23" s="53">
        <f t="shared" si="7"/>
        <v>0</v>
      </c>
      <c r="AB23" s="53"/>
      <c r="AC23" s="53"/>
      <c r="AD23" s="53">
        <f t="shared" si="8"/>
        <v>0</v>
      </c>
      <c r="AE23" s="53"/>
      <c r="AF23" s="53"/>
      <c r="AG23" s="53">
        <f t="shared" si="9"/>
        <v>0</v>
      </c>
      <c r="AH23" s="53"/>
      <c r="AI23" s="53"/>
      <c r="AJ23" s="53">
        <f t="shared" si="10"/>
        <v>0</v>
      </c>
      <c r="AK23" s="53"/>
      <c r="AL23" s="53"/>
      <c r="AM23" s="53">
        <f t="shared" si="11"/>
        <v>0</v>
      </c>
      <c r="AN23" s="53"/>
      <c r="AO23" s="53"/>
      <c r="AP23" s="53">
        <f t="shared" si="12"/>
        <v>0</v>
      </c>
      <c r="AQ23" s="53"/>
      <c r="AR23" s="53"/>
      <c r="AS23" s="53">
        <f t="shared" si="13"/>
        <v>0</v>
      </c>
      <c r="AT23" s="53"/>
      <c r="AU23" s="53"/>
      <c r="AV23" s="53">
        <f t="shared" si="14"/>
        <v>0</v>
      </c>
      <c r="AW23" s="53"/>
      <c r="AX23" s="53"/>
      <c r="AY23" s="53">
        <f t="shared" si="15"/>
        <v>0</v>
      </c>
      <c r="AZ23" s="53"/>
      <c r="BA23" s="53"/>
      <c r="BB23" s="53">
        <f t="shared" si="16"/>
        <v>0</v>
      </c>
      <c r="BC23" s="53"/>
      <c r="BD23" s="53"/>
      <c r="BE23" s="53">
        <f t="shared" si="17"/>
        <v>0</v>
      </c>
      <c r="BF23" s="53"/>
      <c r="BG23" s="53"/>
      <c r="BH23" s="67">
        <f t="shared" si="18"/>
        <v>0</v>
      </c>
      <c r="BI23" s="68">
        <f t="shared" si="19"/>
        <v>1</v>
      </c>
    </row>
    <row r="24" spans="2:61" x14ac:dyDescent="0.25">
      <c r="B24" s="63">
        <v>16</v>
      </c>
      <c r="C24" s="64" t="str">
        <f>NOMINATIF!C21</f>
        <v>TIA APRILIA</v>
      </c>
      <c r="D24" s="65">
        <f>NOMINATIF!D21</f>
        <v>4038</v>
      </c>
      <c r="E24" s="65" t="str">
        <f>NOMINATIF!E21</f>
        <v>0066060316</v>
      </c>
      <c r="F24" s="53">
        <f t="shared" si="0"/>
        <v>0</v>
      </c>
      <c r="G24" s="53"/>
      <c r="H24" s="53"/>
      <c r="I24" s="53">
        <f t="shared" si="1"/>
        <v>0</v>
      </c>
      <c r="J24" s="53"/>
      <c r="K24" s="53"/>
      <c r="L24" s="53">
        <f t="shared" si="2"/>
        <v>0</v>
      </c>
      <c r="M24" s="53"/>
      <c r="N24" s="53"/>
      <c r="O24" s="53">
        <f t="shared" si="3"/>
        <v>0</v>
      </c>
      <c r="P24" s="53"/>
      <c r="Q24" s="53"/>
      <c r="R24" s="53">
        <f t="shared" si="4"/>
        <v>0</v>
      </c>
      <c r="S24" s="53"/>
      <c r="T24" s="53"/>
      <c r="U24" s="53">
        <f t="shared" si="5"/>
        <v>0</v>
      </c>
      <c r="V24" s="53"/>
      <c r="W24" s="53"/>
      <c r="X24" s="53">
        <f t="shared" si="6"/>
        <v>0</v>
      </c>
      <c r="Y24" s="53"/>
      <c r="Z24" s="53"/>
      <c r="AA24" s="53">
        <f t="shared" si="7"/>
        <v>0</v>
      </c>
      <c r="AB24" s="53"/>
      <c r="AC24" s="53"/>
      <c r="AD24" s="53">
        <f t="shared" si="8"/>
        <v>0</v>
      </c>
      <c r="AE24" s="53"/>
      <c r="AF24" s="53"/>
      <c r="AG24" s="53">
        <f t="shared" si="9"/>
        <v>0</v>
      </c>
      <c r="AH24" s="53"/>
      <c r="AI24" s="53"/>
      <c r="AJ24" s="53">
        <f t="shared" si="10"/>
        <v>0</v>
      </c>
      <c r="AK24" s="53"/>
      <c r="AL24" s="53"/>
      <c r="AM24" s="53">
        <f t="shared" si="11"/>
        <v>0</v>
      </c>
      <c r="AN24" s="53"/>
      <c r="AO24" s="53"/>
      <c r="AP24" s="53">
        <f t="shared" si="12"/>
        <v>0</v>
      </c>
      <c r="AQ24" s="53"/>
      <c r="AR24" s="53"/>
      <c r="AS24" s="53">
        <f t="shared" si="13"/>
        <v>0</v>
      </c>
      <c r="AT24" s="53"/>
      <c r="AU24" s="53"/>
      <c r="AV24" s="53">
        <f t="shared" si="14"/>
        <v>0</v>
      </c>
      <c r="AW24" s="53"/>
      <c r="AX24" s="53"/>
      <c r="AY24" s="53">
        <f t="shared" si="15"/>
        <v>0</v>
      </c>
      <c r="AZ24" s="53"/>
      <c r="BA24" s="53"/>
      <c r="BB24" s="53">
        <f t="shared" si="16"/>
        <v>0</v>
      </c>
      <c r="BC24" s="53"/>
      <c r="BD24" s="53"/>
      <c r="BE24" s="53">
        <f t="shared" si="17"/>
        <v>0</v>
      </c>
      <c r="BF24" s="53"/>
      <c r="BG24" s="53"/>
      <c r="BH24" s="67">
        <f t="shared" si="18"/>
        <v>0</v>
      </c>
      <c r="BI24" s="68">
        <f t="shared" si="19"/>
        <v>1</v>
      </c>
    </row>
    <row r="25" spans="2:61" x14ac:dyDescent="0.25">
      <c r="B25" s="63">
        <v>17</v>
      </c>
      <c r="C25" s="64" t="str">
        <f>NOMINATIF!C22</f>
        <v>Tri Yulianti</v>
      </c>
      <c r="D25" s="65">
        <f>NOMINATIF!D22</f>
        <v>4060</v>
      </c>
      <c r="E25" s="65" t="str">
        <f>NOMINATIF!E22</f>
        <v>0068674216</v>
      </c>
      <c r="F25" s="53">
        <f t="shared" si="0"/>
        <v>0</v>
      </c>
      <c r="G25" s="53"/>
      <c r="H25" s="53"/>
      <c r="I25" s="53">
        <f t="shared" si="1"/>
        <v>0</v>
      </c>
      <c r="J25" s="53"/>
      <c r="K25" s="53"/>
      <c r="L25" s="53">
        <f t="shared" si="2"/>
        <v>0</v>
      </c>
      <c r="M25" s="53"/>
      <c r="N25" s="53"/>
      <c r="O25" s="53">
        <f t="shared" si="3"/>
        <v>0</v>
      </c>
      <c r="P25" s="53"/>
      <c r="Q25" s="53"/>
      <c r="R25" s="53">
        <f t="shared" si="4"/>
        <v>0</v>
      </c>
      <c r="S25" s="53"/>
      <c r="T25" s="53"/>
      <c r="U25" s="53">
        <f t="shared" si="5"/>
        <v>0</v>
      </c>
      <c r="V25" s="53"/>
      <c r="W25" s="53"/>
      <c r="X25" s="53">
        <f t="shared" si="6"/>
        <v>0</v>
      </c>
      <c r="Y25" s="53"/>
      <c r="Z25" s="53"/>
      <c r="AA25" s="53">
        <f t="shared" si="7"/>
        <v>0</v>
      </c>
      <c r="AB25" s="53"/>
      <c r="AC25" s="53"/>
      <c r="AD25" s="53">
        <f t="shared" si="8"/>
        <v>0</v>
      </c>
      <c r="AE25" s="53"/>
      <c r="AF25" s="53"/>
      <c r="AG25" s="53">
        <f t="shared" si="9"/>
        <v>0</v>
      </c>
      <c r="AH25" s="53"/>
      <c r="AI25" s="53"/>
      <c r="AJ25" s="53">
        <f t="shared" si="10"/>
        <v>0</v>
      </c>
      <c r="AK25" s="53"/>
      <c r="AL25" s="53"/>
      <c r="AM25" s="53">
        <f t="shared" si="11"/>
        <v>0</v>
      </c>
      <c r="AN25" s="53"/>
      <c r="AO25" s="53"/>
      <c r="AP25" s="53">
        <f t="shared" si="12"/>
        <v>0</v>
      </c>
      <c r="AQ25" s="53"/>
      <c r="AR25" s="53"/>
      <c r="AS25" s="53">
        <f t="shared" si="13"/>
        <v>0</v>
      </c>
      <c r="AT25" s="53"/>
      <c r="AU25" s="53"/>
      <c r="AV25" s="53">
        <f t="shared" si="14"/>
        <v>0</v>
      </c>
      <c r="AW25" s="53"/>
      <c r="AX25" s="53"/>
      <c r="AY25" s="53">
        <f t="shared" si="15"/>
        <v>0</v>
      </c>
      <c r="AZ25" s="53"/>
      <c r="BA25" s="53"/>
      <c r="BB25" s="53">
        <f t="shared" si="16"/>
        <v>0</v>
      </c>
      <c r="BC25" s="53"/>
      <c r="BD25" s="53"/>
      <c r="BE25" s="53">
        <f t="shared" si="17"/>
        <v>0</v>
      </c>
      <c r="BF25" s="53"/>
      <c r="BG25" s="53"/>
      <c r="BH25" s="67">
        <f t="shared" si="18"/>
        <v>0</v>
      </c>
      <c r="BI25" s="68">
        <f t="shared" si="19"/>
        <v>1</v>
      </c>
    </row>
    <row r="26" spans="2:61" x14ac:dyDescent="0.25">
      <c r="B26" s="63">
        <v>18</v>
      </c>
      <c r="C26" s="64" t="str">
        <f>NOMINATIF!C23</f>
        <v>Triya Wulandari</v>
      </c>
      <c r="D26" s="65">
        <f>NOMINATIF!D23</f>
        <v>4039</v>
      </c>
      <c r="E26" s="65" t="str">
        <f>NOMINATIF!E23</f>
        <v>0051300903</v>
      </c>
      <c r="F26" s="53">
        <f t="shared" si="0"/>
        <v>0</v>
      </c>
      <c r="G26" s="53"/>
      <c r="H26" s="53"/>
      <c r="I26" s="53">
        <f t="shared" si="1"/>
        <v>0</v>
      </c>
      <c r="J26" s="53"/>
      <c r="K26" s="53"/>
      <c r="L26" s="53">
        <f t="shared" si="2"/>
        <v>0</v>
      </c>
      <c r="M26" s="53"/>
      <c r="N26" s="53"/>
      <c r="O26" s="53">
        <f t="shared" si="3"/>
        <v>0</v>
      </c>
      <c r="P26" s="53"/>
      <c r="Q26" s="53"/>
      <c r="R26" s="53">
        <f t="shared" si="4"/>
        <v>0</v>
      </c>
      <c r="S26" s="53"/>
      <c r="T26" s="53"/>
      <c r="U26" s="53">
        <f t="shared" si="5"/>
        <v>0</v>
      </c>
      <c r="V26" s="53"/>
      <c r="W26" s="53"/>
      <c r="X26" s="53">
        <f t="shared" si="6"/>
        <v>0</v>
      </c>
      <c r="Y26" s="53"/>
      <c r="Z26" s="53"/>
      <c r="AA26" s="53">
        <f t="shared" si="7"/>
        <v>0</v>
      </c>
      <c r="AB26" s="53"/>
      <c r="AC26" s="53"/>
      <c r="AD26" s="53">
        <f t="shared" si="8"/>
        <v>0</v>
      </c>
      <c r="AE26" s="53"/>
      <c r="AF26" s="53"/>
      <c r="AG26" s="53">
        <f t="shared" si="9"/>
        <v>0</v>
      </c>
      <c r="AH26" s="53"/>
      <c r="AI26" s="53"/>
      <c r="AJ26" s="53">
        <f t="shared" si="10"/>
        <v>0</v>
      </c>
      <c r="AK26" s="53"/>
      <c r="AL26" s="53"/>
      <c r="AM26" s="53">
        <f t="shared" si="11"/>
        <v>0</v>
      </c>
      <c r="AN26" s="53"/>
      <c r="AO26" s="53"/>
      <c r="AP26" s="53">
        <f t="shared" si="12"/>
        <v>0</v>
      </c>
      <c r="AQ26" s="53"/>
      <c r="AR26" s="53"/>
      <c r="AS26" s="53">
        <f t="shared" si="13"/>
        <v>0</v>
      </c>
      <c r="AT26" s="53"/>
      <c r="AU26" s="53"/>
      <c r="AV26" s="53">
        <f t="shared" si="14"/>
        <v>0</v>
      </c>
      <c r="AW26" s="53"/>
      <c r="AX26" s="53"/>
      <c r="AY26" s="53">
        <f t="shared" si="15"/>
        <v>0</v>
      </c>
      <c r="AZ26" s="53"/>
      <c r="BA26" s="53"/>
      <c r="BB26" s="53">
        <f t="shared" si="16"/>
        <v>0</v>
      </c>
      <c r="BC26" s="53"/>
      <c r="BD26" s="53"/>
      <c r="BE26" s="53">
        <f t="shared" si="17"/>
        <v>0</v>
      </c>
      <c r="BF26" s="53"/>
      <c r="BG26" s="53"/>
      <c r="BH26" s="67">
        <f t="shared" si="18"/>
        <v>0</v>
      </c>
      <c r="BI26" s="68">
        <f t="shared" si="19"/>
        <v>1</v>
      </c>
    </row>
    <row r="27" spans="2:61" x14ac:dyDescent="0.25">
      <c r="B27" s="63">
        <v>19</v>
      </c>
      <c r="C27" s="64" t="str">
        <f>NOMINATIF!C24</f>
        <v>VANESZA PUTRI PATRECIA</v>
      </c>
      <c r="D27" s="65">
        <f>NOMINATIF!D24</f>
        <v>4040</v>
      </c>
      <c r="E27" s="65" t="str">
        <f>NOMINATIF!E24</f>
        <v>0064416027</v>
      </c>
      <c r="F27" s="53">
        <f t="shared" si="0"/>
        <v>0</v>
      </c>
      <c r="G27" s="53"/>
      <c r="H27" s="53"/>
      <c r="I27" s="53">
        <f t="shared" si="1"/>
        <v>0</v>
      </c>
      <c r="J27" s="53"/>
      <c r="K27" s="53"/>
      <c r="L27" s="53">
        <f t="shared" si="2"/>
        <v>0</v>
      </c>
      <c r="M27" s="53"/>
      <c r="N27" s="53"/>
      <c r="O27" s="53">
        <f t="shared" si="3"/>
        <v>0</v>
      </c>
      <c r="P27" s="53"/>
      <c r="Q27" s="53"/>
      <c r="R27" s="53">
        <f t="shared" si="4"/>
        <v>0</v>
      </c>
      <c r="S27" s="53"/>
      <c r="T27" s="53"/>
      <c r="U27" s="53">
        <f t="shared" si="5"/>
        <v>0</v>
      </c>
      <c r="V27" s="53"/>
      <c r="W27" s="53"/>
      <c r="X27" s="53">
        <f t="shared" si="6"/>
        <v>0</v>
      </c>
      <c r="Y27" s="53"/>
      <c r="Z27" s="53"/>
      <c r="AA27" s="53">
        <f t="shared" si="7"/>
        <v>0</v>
      </c>
      <c r="AB27" s="53"/>
      <c r="AC27" s="53"/>
      <c r="AD27" s="53">
        <f t="shared" si="8"/>
        <v>0</v>
      </c>
      <c r="AE27" s="53"/>
      <c r="AF27" s="53"/>
      <c r="AG27" s="53">
        <f t="shared" si="9"/>
        <v>0</v>
      </c>
      <c r="AH27" s="53"/>
      <c r="AI27" s="53"/>
      <c r="AJ27" s="53">
        <f t="shared" si="10"/>
        <v>0</v>
      </c>
      <c r="AK27" s="53"/>
      <c r="AL27" s="53"/>
      <c r="AM27" s="53">
        <f t="shared" si="11"/>
        <v>0</v>
      </c>
      <c r="AN27" s="53"/>
      <c r="AO27" s="53"/>
      <c r="AP27" s="53">
        <f t="shared" si="12"/>
        <v>0</v>
      </c>
      <c r="AQ27" s="53"/>
      <c r="AR27" s="53"/>
      <c r="AS27" s="53">
        <f t="shared" si="13"/>
        <v>0</v>
      </c>
      <c r="AT27" s="53"/>
      <c r="AU27" s="53"/>
      <c r="AV27" s="53">
        <f t="shared" si="14"/>
        <v>0</v>
      </c>
      <c r="AW27" s="53"/>
      <c r="AX27" s="53"/>
      <c r="AY27" s="53">
        <f t="shared" si="15"/>
        <v>0</v>
      </c>
      <c r="AZ27" s="53"/>
      <c r="BA27" s="53"/>
      <c r="BB27" s="53">
        <f t="shared" si="16"/>
        <v>0</v>
      </c>
      <c r="BC27" s="53"/>
      <c r="BD27" s="53"/>
      <c r="BE27" s="53">
        <f t="shared" si="17"/>
        <v>0</v>
      </c>
      <c r="BF27" s="53"/>
      <c r="BG27" s="53"/>
      <c r="BH27" s="67">
        <f t="shared" si="18"/>
        <v>0</v>
      </c>
      <c r="BI27" s="68">
        <f t="shared" si="19"/>
        <v>1</v>
      </c>
    </row>
    <row r="28" spans="2:61" x14ac:dyDescent="0.25">
      <c r="B28" s="63">
        <v>20</v>
      </c>
      <c r="C28" s="64" t="str">
        <f>NOMINATIF!C25</f>
        <v>Yanuar Diah Lestari</v>
      </c>
      <c r="D28" s="65">
        <f>NOMINATIF!D25</f>
        <v>4061</v>
      </c>
      <c r="E28" s="65" t="str">
        <f>NOMINATIF!E25</f>
        <v>0052554227</v>
      </c>
      <c r="F28" s="53">
        <f t="shared" si="0"/>
        <v>0</v>
      </c>
      <c r="G28" s="53"/>
      <c r="H28" s="53"/>
      <c r="I28" s="53">
        <f t="shared" si="1"/>
        <v>0</v>
      </c>
      <c r="J28" s="53"/>
      <c r="K28" s="53"/>
      <c r="L28" s="53">
        <f t="shared" si="2"/>
        <v>0</v>
      </c>
      <c r="M28" s="53"/>
      <c r="N28" s="53"/>
      <c r="O28" s="53">
        <f t="shared" si="3"/>
        <v>0</v>
      </c>
      <c r="P28" s="53"/>
      <c r="Q28" s="53"/>
      <c r="R28" s="53">
        <f t="shared" si="4"/>
        <v>0</v>
      </c>
      <c r="S28" s="53"/>
      <c r="T28" s="53"/>
      <c r="U28" s="53">
        <f t="shared" si="5"/>
        <v>0</v>
      </c>
      <c r="V28" s="53"/>
      <c r="W28" s="53"/>
      <c r="X28" s="53">
        <f t="shared" si="6"/>
        <v>0</v>
      </c>
      <c r="Y28" s="53"/>
      <c r="Z28" s="53"/>
      <c r="AA28" s="53">
        <f t="shared" si="7"/>
        <v>0</v>
      </c>
      <c r="AB28" s="53"/>
      <c r="AC28" s="53"/>
      <c r="AD28" s="53">
        <f t="shared" si="8"/>
        <v>0</v>
      </c>
      <c r="AE28" s="53"/>
      <c r="AF28" s="53"/>
      <c r="AG28" s="53">
        <f t="shared" si="9"/>
        <v>0</v>
      </c>
      <c r="AH28" s="53"/>
      <c r="AI28" s="53"/>
      <c r="AJ28" s="53">
        <f t="shared" si="10"/>
        <v>0</v>
      </c>
      <c r="AK28" s="53"/>
      <c r="AL28" s="53"/>
      <c r="AM28" s="53">
        <f t="shared" si="11"/>
        <v>0</v>
      </c>
      <c r="AN28" s="53"/>
      <c r="AO28" s="53"/>
      <c r="AP28" s="53">
        <f t="shared" si="12"/>
        <v>0</v>
      </c>
      <c r="AQ28" s="53"/>
      <c r="AR28" s="53"/>
      <c r="AS28" s="53">
        <f t="shared" si="13"/>
        <v>0</v>
      </c>
      <c r="AT28" s="53"/>
      <c r="AU28" s="53"/>
      <c r="AV28" s="53">
        <f t="shared" si="14"/>
        <v>0</v>
      </c>
      <c r="AW28" s="53"/>
      <c r="AX28" s="53"/>
      <c r="AY28" s="53">
        <f t="shared" si="15"/>
        <v>0</v>
      </c>
      <c r="AZ28" s="53"/>
      <c r="BA28" s="53"/>
      <c r="BB28" s="53">
        <f t="shared" si="16"/>
        <v>0</v>
      </c>
      <c r="BC28" s="53"/>
      <c r="BD28" s="53"/>
      <c r="BE28" s="53">
        <f t="shared" si="17"/>
        <v>0</v>
      </c>
      <c r="BF28" s="53"/>
      <c r="BG28" s="53"/>
      <c r="BH28" s="67">
        <f t="shared" si="18"/>
        <v>0</v>
      </c>
      <c r="BI28" s="68">
        <f t="shared" si="19"/>
        <v>1</v>
      </c>
    </row>
    <row r="29" spans="2:61" x14ac:dyDescent="0.25">
      <c r="B29" s="63">
        <v>21</v>
      </c>
      <c r="C29" s="64">
        <f>NOMINATIF!C26</f>
        <v>0</v>
      </c>
      <c r="D29" s="65">
        <f>NOMINATIF!D26</f>
        <v>0</v>
      </c>
      <c r="E29" s="65">
        <f>NOMINATIF!E26</f>
        <v>0</v>
      </c>
      <c r="F29" s="53">
        <f t="shared" si="0"/>
        <v>0</v>
      </c>
      <c r="G29" s="53"/>
      <c r="H29" s="53"/>
      <c r="I29" s="53">
        <f t="shared" si="1"/>
        <v>0</v>
      </c>
      <c r="J29" s="53"/>
      <c r="K29" s="53"/>
      <c r="L29" s="53">
        <f t="shared" si="2"/>
        <v>0</v>
      </c>
      <c r="M29" s="53"/>
      <c r="N29" s="53"/>
      <c r="O29" s="53">
        <f t="shared" si="3"/>
        <v>0</v>
      </c>
      <c r="P29" s="53"/>
      <c r="Q29" s="53"/>
      <c r="R29" s="53">
        <f t="shared" si="4"/>
        <v>0</v>
      </c>
      <c r="S29" s="53"/>
      <c r="T29" s="53"/>
      <c r="U29" s="53">
        <f t="shared" si="5"/>
        <v>0</v>
      </c>
      <c r="V29" s="53"/>
      <c r="W29" s="53"/>
      <c r="X29" s="53">
        <f t="shared" si="6"/>
        <v>0</v>
      </c>
      <c r="Y29" s="53"/>
      <c r="Z29" s="53"/>
      <c r="AA29" s="53">
        <f t="shared" si="7"/>
        <v>0</v>
      </c>
      <c r="AB29" s="53"/>
      <c r="AC29" s="53"/>
      <c r="AD29" s="53">
        <f t="shared" si="8"/>
        <v>0</v>
      </c>
      <c r="AE29" s="53"/>
      <c r="AF29" s="53"/>
      <c r="AG29" s="53">
        <f t="shared" si="9"/>
        <v>0</v>
      </c>
      <c r="AH29" s="53"/>
      <c r="AI29" s="53"/>
      <c r="AJ29" s="53">
        <f t="shared" si="10"/>
        <v>0</v>
      </c>
      <c r="AK29" s="53"/>
      <c r="AL29" s="53"/>
      <c r="AM29" s="53">
        <f t="shared" si="11"/>
        <v>0</v>
      </c>
      <c r="AN29" s="53"/>
      <c r="AO29" s="53"/>
      <c r="AP29" s="53">
        <f t="shared" si="12"/>
        <v>0</v>
      </c>
      <c r="AQ29" s="53"/>
      <c r="AR29" s="53"/>
      <c r="AS29" s="53">
        <f t="shared" si="13"/>
        <v>0</v>
      </c>
      <c r="AT29" s="53"/>
      <c r="AU29" s="53"/>
      <c r="AV29" s="53">
        <f t="shared" si="14"/>
        <v>0</v>
      </c>
      <c r="AW29" s="53"/>
      <c r="AX29" s="53"/>
      <c r="AY29" s="53">
        <f t="shared" si="15"/>
        <v>0</v>
      </c>
      <c r="AZ29" s="53"/>
      <c r="BA29" s="53"/>
      <c r="BB29" s="53">
        <f t="shared" si="16"/>
        <v>0</v>
      </c>
      <c r="BC29" s="53"/>
      <c r="BD29" s="53"/>
      <c r="BE29" s="53">
        <f t="shared" si="17"/>
        <v>0</v>
      </c>
      <c r="BF29" s="53"/>
      <c r="BG29" s="53"/>
      <c r="BH29" s="67">
        <f t="shared" si="18"/>
        <v>0</v>
      </c>
      <c r="BI29" s="68">
        <f t="shared" si="19"/>
        <v>1</v>
      </c>
    </row>
    <row r="30" spans="2:61" x14ac:dyDescent="0.25">
      <c r="B30" s="63">
        <v>22</v>
      </c>
      <c r="C30" s="64">
        <f>NOMINATIF!C27</f>
        <v>0</v>
      </c>
      <c r="D30" s="65">
        <f>NOMINATIF!D27</f>
        <v>0</v>
      </c>
      <c r="E30" s="65">
        <f>NOMINATIF!E27</f>
        <v>0</v>
      </c>
      <c r="F30" s="53">
        <f t="shared" si="0"/>
        <v>0</v>
      </c>
      <c r="G30" s="53"/>
      <c r="H30" s="53"/>
      <c r="I30" s="53">
        <f t="shared" si="1"/>
        <v>0</v>
      </c>
      <c r="J30" s="53"/>
      <c r="K30" s="53"/>
      <c r="L30" s="53">
        <f t="shared" si="2"/>
        <v>0</v>
      </c>
      <c r="M30" s="53"/>
      <c r="N30" s="53"/>
      <c r="O30" s="53">
        <f t="shared" si="3"/>
        <v>0</v>
      </c>
      <c r="P30" s="53"/>
      <c r="Q30" s="53"/>
      <c r="R30" s="53">
        <f t="shared" si="4"/>
        <v>0</v>
      </c>
      <c r="S30" s="53"/>
      <c r="T30" s="53"/>
      <c r="U30" s="53">
        <f t="shared" si="5"/>
        <v>0</v>
      </c>
      <c r="V30" s="53"/>
      <c r="W30" s="53"/>
      <c r="X30" s="53">
        <f t="shared" si="6"/>
        <v>0</v>
      </c>
      <c r="Y30" s="53"/>
      <c r="Z30" s="53"/>
      <c r="AA30" s="53">
        <f t="shared" si="7"/>
        <v>0</v>
      </c>
      <c r="AB30" s="53"/>
      <c r="AC30" s="53"/>
      <c r="AD30" s="53">
        <f t="shared" si="8"/>
        <v>0</v>
      </c>
      <c r="AE30" s="53"/>
      <c r="AF30" s="53"/>
      <c r="AG30" s="53">
        <f t="shared" si="9"/>
        <v>0</v>
      </c>
      <c r="AH30" s="53"/>
      <c r="AI30" s="53"/>
      <c r="AJ30" s="53">
        <f t="shared" si="10"/>
        <v>0</v>
      </c>
      <c r="AK30" s="53"/>
      <c r="AL30" s="53"/>
      <c r="AM30" s="53">
        <f t="shared" si="11"/>
        <v>0</v>
      </c>
      <c r="AN30" s="53"/>
      <c r="AO30" s="53"/>
      <c r="AP30" s="53">
        <f t="shared" si="12"/>
        <v>0</v>
      </c>
      <c r="AQ30" s="53"/>
      <c r="AR30" s="53"/>
      <c r="AS30" s="53">
        <f t="shared" si="13"/>
        <v>0</v>
      </c>
      <c r="AT30" s="53"/>
      <c r="AU30" s="53"/>
      <c r="AV30" s="53">
        <f t="shared" si="14"/>
        <v>0</v>
      </c>
      <c r="AW30" s="53"/>
      <c r="AX30" s="53"/>
      <c r="AY30" s="53">
        <f t="shared" si="15"/>
        <v>0</v>
      </c>
      <c r="AZ30" s="53"/>
      <c r="BA30" s="53"/>
      <c r="BB30" s="53">
        <f t="shared" si="16"/>
        <v>0</v>
      </c>
      <c r="BC30" s="53"/>
      <c r="BD30" s="53"/>
      <c r="BE30" s="53">
        <f t="shared" si="17"/>
        <v>0</v>
      </c>
      <c r="BF30" s="53"/>
      <c r="BG30" s="53"/>
      <c r="BH30" s="67">
        <f t="shared" si="18"/>
        <v>0</v>
      </c>
      <c r="BI30" s="68">
        <f t="shared" si="19"/>
        <v>1</v>
      </c>
    </row>
    <row r="31" spans="2:61" x14ac:dyDescent="0.25">
      <c r="B31" s="63">
        <v>23</v>
      </c>
      <c r="C31" s="64">
        <f>NOMINATIF!C28</f>
        <v>0</v>
      </c>
      <c r="D31" s="65">
        <f>NOMINATIF!D28</f>
        <v>0</v>
      </c>
      <c r="E31" s="65">
        <f>NOMINATIF!E28</f>
        <v>0</v>
      </c>
      <c r="F31" s="53">
        <f t="shared" si="0"/>
        <v>0</v>
      </c>
      <c r="G31" s="53"/>
      <c r="H31" s="53"/>
      <c r="I31" s="53">
        <f t="shared" si="1"/>
        <v>0</v>
      </c>
      <c r="J31" s="53"/>
      <c r="K31" s="53"/>
      <c r="L31" s="53">
        <f t="shared" si="2"/>
        <v>0</v>
      </c>
      <c r="M31" s="53"/>
      <c r="N31" s="53"/>
      <c r="O31" s="53">
        <f t="shared" si="3"/>
        <v>0</v>
      </c>
      <c r="P31" s="53"/>
      <c r="Q31" s="53"/>
      <c r="R31" s="53">
        <f t="shared" si="4"/>
        <v>0</v>
      </c>
      <c r="S31" s="53"/>
      <c r="T31" s="53"/>
      <c r="U31" s="53">
        <f t="shared" si="5"/>
        <v>0</v>
      </c>
      <c r="V31" s="53"/>
      <c r="W31" s="53"/>
      <c r="X31" s="53">
        <f t="shared" si="6"/>
        <v>0</v>
      </c>
      <c r="Y31" s="53"/>
      <c r="Z31" s="53"/>
      <c r="AA31" s="53">
        <f t="shared" si="7"/>
        <v>0</v>
      </c>
      <c r="AB31" s="53"/>
      <c r="AC31" s="53"/>
      <c r="AD31" s="53">
        <f t="shared" si="8"/>
        <v>0</v>
      </c>
      <c r="AE31" s="53"/>
      <c r="AF31" s="53"/>
      <c r="AG31" s="53">
        <f t="shared" si="9"/>
        <v>0</v>
      </c>
      <c r="AH31" s="53"/>
      <c r="AI31" s="53"/>
      <c r="AJ31" s="53">
        <f t="shared" si="10"/>
        <v>0</v>
      </c>
      <c r="AK31" s="53"/>
      <c r="AL31" s="53"/>
      <c r="AM31" s="53">
        <f t="shared" si="11"/>
        <v>0</v>
      </c>
      <c r="AN31" s="53"/>
      <c r="AO31" s="53"/>
      <c r="AP31" s="53">
        <f t="shared" si="12"/>
        <v>0</v>
      </c>
      <c r="AQ31" s="53"/>
      <c r="AR31" s="53"/>
      <c r="AS31" s="53">
        <f t="shared" si="13"/>
        <v>0</v>
      </c>
      <c r="AT31" s="53"/>
      <c r="AU31" s="53"/>
      <c r="AV31" s="53">
        <f t="shared" si="14"/>
        <v>0</v>
      </c>
      <c r="AW31" s="53"/>
      <c r="AX31" s="53"/>
      <c r="AY31" s="53">
        <f t="shared" si="15"/>
        <v>0</v>
      </c>
      <c r="AZ31" s="53"/>
      <c r="BA31" s="53"/>
      <c r="BB31" s="53">
        <f t="shared" si="16"/>
        <v>0</v>
      </c>
      <c r="BC31" s="53"/>
      <c r="BD31" s="53"/>
      <c r="BE31" s="53">
        <f t="shared" si="17"/>
        <v>0</v>
      </c>
      <c r="BF31" s="53"/>
      <c r="BG31" s="53"/>
      <c r="BH31" s="67">
        <f t="shared" si="18"/>
        <v>0</v>
      </c>
      <c r="BI31" s="68">
        <f t="shared" si="19"/>
        <v>1</v>
      </c>
    </row>
    <row r="32" spans="2:61" x14ac:dyDescent="0.25">
      <c r="B32" s="63">
        <v>24</v>
      </c>
      <c r="C32" s="64">
        <f>NOMINATIF!C29</f>
        <v>0</v>
      </c>
      <c r="D32" s="65">
        <f>NOMINATIF!D29</f>
        <v>0</v>
      </c>
      <c r="E32" s="65">
        <f>NOMINATIF!E29</f>
        <v>0</v>
      </c>
      <c r="F32" s="53">
        <f t="shared" si="0"/>
        <v>0</v>
      </c>
      <c r="G32" s="53"/>
      <c r="H32" s="53"/>
      <c r="I32" s="53">
        <f t="shared" si="1"/>
        <v>0</v>
      </c>
      <c r="J32" s="53"/>
      <c r="K32" s="53"/>
      <c r="L32" s="53">
        <f t="shared" si="2"/>
        <v>0</v>
      </c>
      <c r="M32" s="53"/>
      <c r="N32" s="53"/>
      <c r="O32" s="53">
        <f t="shared" si="3"/>
        <v>0</v>
      </c>
      <c r="P32" s="53"/>
      <c r="Q32" s="53"/>
      <c r="R32" s="53">
        <f t="shared" si="4"/>
        <v>0</v>
      </c>
      <c r="S32" s="53"/>
      <c r="T32" s="53"/>
      <c r="U32" s="53">
        <f t="shared" si="5"/>
        <v>0</v>
      </c>
      <c r="V32" s="53"/>
      <c r="W32" s="53"/>
      <c r="X32" s="53">
        <f t="shared" si="6"/>
        <v>0</v>
      </c>
      <c r="Y32" s="53"/>
      <c r="Z32" s="53"/>
      <c r="AA32" s="53">
        <f t="shared" si="7"/>
        <v>0</v>
      </c>
      <c r="AB32" s="53"/>
      <c r="AC32" s="53"/>
      <c r="AD32" s="53">
        <f t="shared" si="8"/>
        <v>0</v>
      </c>
      <c r="AE32" s="53"/>
      <c r="AF32" s="53"/>
      <c r="AG32" s="53">
        <f t="shared" si="9"/>
        <v>0</v>
      </c>
      <c r="AH32" s="53"/>
      <c r="AI32" s="53"/>
      <c r="AJ32" s="53">
        <f t="shared" si="10"/>
        <v>0</v>
      </c>
      <c r="AK32" s="53"/>
      <c r="AL32" s="53"/>
      <c r="AM32" s="53">
        <f t="shared" si="11"/>
        <v>0</v>
      </c>
      <c r="AN32" s="53"/>
      <c r="AO32" s="53"/>
      <c r="AP32" s="53">
        <f t="shared" si="12"/>
        <v>0</v>
      </c>
      <c r="AQ32" s="53"/>
      <c r="AR32" s="53"/>
      <c r="AS32" s="53">
        <f t="shared" si="13"/>
        <v>0</v>
      </c>
      <c r="AT32" s="53"/>
      <c r="AU32" s="53"/>
      <c r="AV32" s="53">
        <f t="shared" si="14"/>
        <v>0</v>
      </c>
      <c r="AW32" s="53"/>
      <c r="AX32" s="53"/>
      <c r="AY32" s="53">
        <f t="shared" si="15"/>
        <v>0</v>
      </c>
      <c r="AZ32" s="53"/>
      <c r="BA32" s="53"/>
      <c r="BB32" s="53">
        <f t="shared" si="16"/>
        <v>0</v>
      </c>
      <c r="BC32" s="53"/>
      <c r="BD32" s="53"/>
      <c r="BE32" s="53">
        <f t="shared" si="17"/>
        <v>0</v>
      </c>
      <c r="BF32" s="53"/>
      <c r="BG32" s="53"/>
      <c r="BH32" s="67">
        <f t="shared" si="18"/>
        <v>0</v>
      </c>
      <c r="BI32" s="68">
        <f t="shared" si="19"/>
        <v>1</v>
      </c>
    </row>
    <row r="33" spans="2:61" x14ac:dyDescent="0.25">
      <c r="B33" s="63">
        <v>25</v>
      </c>
      <c r="C33" s="64">
        <f>NOMINATIF!C30</f>
        <v>0</v>
      </c>
      <c r="D33" s="65">
        <f>NOMINATIF!D30</f>
        <v>0</v>
      </c>
      <c r="E33" s="65">
        <f>NOMINATIF!E30</f>
        <v>0</v>
      </c>
      <c r="F33" s="53">
        <f t="shared" si="0"/>
        <v>0</v>
      </c>
      <c r="G33" s="53"/>
      <c r="H33" s="53"/>
      <c r="I33" s="53">
        <f t="shared" si="1"/>
        <v>0</v>
      </c>
      <c r="J33" s="53"/>
      <c r="K33" s="53"/>
      <c r="L33" s="53">
        <f t="shared" si="2"/>
        <v>0</v>
      </c>
      <c r="M33" s="53"/>
      <c r="N33" s="53"/>
      <c r="O33" s="53">
        <f t="shared" si="3"/>
        <v>0</v>
      </c>
      <c r="P33" s="53"/>
      <c r="Q33" s="53"/>
      <c r="R33" s="53">
        <f t="shared" si="4"/>
        <v>0</v>
      </c>
      <c r="S33" s="53"/>
      <c r="T33" s="53"/>
      <c r="U33" s="53">
        <f t="shared" si="5"/>
        <v>0</v>
      </c>
      <c r="V33" s="53"/>
      <c r="W33" s="53"/>
      <c r="X33" s="53">
        <f t="shared" si="6"/>
        <v>0</v>
      </c>
      <c r="Y33" s="53"/>
      <c r="Z33" s="53"/>
      <c r="AA33" s="53">
        <f t="shared" si="7"/>
        <v>0</v>
      </c>
      <c r="AB33" s="53"/>
      <c r="AC33" s="53"/>
      <c r="AD33" s="53">
        <f t="shared" si="8"/>
        <v>0</v>
      </c>
      <c r="AE33" s="53"/>
      <c r="AF33" s="53"/>
      <c r="AG33" s="53">
        <f t="shared" si="9"/>
        <v>0</v>
      </c>
      <c r="AH33" s="53"/>
      <c r="AI33" s="53"/>
      <c r="AJ33" s="53">
        <f t="shared" si="10"/>
        <v>0</v>
      </c>
      <c r="AK33" s="53"/>
      <c r="AL33" s="53"/>
      <c r="AM33" s="53">
        <f t="shared" si="11"/>
        <v>0</v>
      </c>
      <c r="AN33" s="53"/>
      <c r="AO33" s="53"/>
      <c r="AP33" s="53">
        <f t="shared" si="12"/>
        <v>0</v>
      </c>
      <c r="AQ33" s="53"/>
      <c r="AR33" s="53"/>
      <c r="AS33" s="53">
        <f t="shared" si="13"/>
        <v>0</v>
      </c>
      <c r="AT33" s="53"/>
      <c r="AU33" s="53"/>
      <c r="AV33" s="53">
        <f t="shared" si="14"/>
        <v>0</v>
      </c>
      <c r="AW33" s="53"/>
      <c r="AX33" s="53"/>
      <c r="AY33" s="53">
        <f t="shared" si="15"/>
        <v>0</v>
      </c>
      <c r="AZ33" s="53"/>
      <c r="BA33" s="53"/>
      <c r="BB33" s="53">
        <f t="shared" si="16"/>
        <v>0</v>
      </c>
      <c r="BC33" s="53"/>
      <c r="BD33" s="53"/>
      <c r="BE33" s="53">
        <f t="shared" si="17"/>
        <v>0</v>
      </c>
      <c r="BF33" s="53"/>
      <c r="BG33" s="53"/>
      <c r="BH33" s="67">
        <f t="shared" si="18"/>
        <v>0</v>
      </c>
      <c r="BI33" s="68">
        <f t="shared" si="19"/>
        <v>1</v>
      </c>
    </row>
    <row r="34" spans="2:61" x14ac:dyDescent="0.25">
      <c r="B34" s="63">
        <v>26</v>
      </c>
      <c r="C34" s="64">
        <f>NOMINATIF!C31</f>
        <v>0</v>
      </c>
      <c r="D34" s="65">
        <f>NOMINATIF!D31</f>
        <v>0</v>
      </c>
      <c r="E34" s="65">
        <f>NOMINATIF!E31</f>
        <v>0</v>
      </c>
      <c r="F34" s="53">
        <f t="shared" si="0"/>
        <v>0</v>
      </c>
      <c r="G34" s="53"/>
      <c r="H34" s="53"/>
      <c r="I34" s="53">
        <f t="shared" si="1"/>
        <v>0</v>
      </c>
      <c r="J34" s="53"/>
      <c r="K34" s="53"/>
      <c r="L34" s="53">
        <f t="shared" si="2"/>
        <v>0</v>
      </c>
      <c r="M34" s="53"/>
      <c r="N34" s="53"/>
      <c r="O34" s="53">
        <f t="shared" si="3"/>
        <v>0</v>
      </c>
      <c r="P34" s="53"/>
      <c r="Q34" s="53"/>
      <c r="R34" s="53">
        <f t="shared" si="4"/>
        <v>0</v>
      </c>
      <c r="S34" s="53"/>
      <c r="T34" s="53"/>
      <c r="U34" s="53">
        <f t="shared" si="5"/>
        <v>0</v>
      </c>
      <c r="V34" s="53"/>
      <c r="W34" s="53"/>
      <c r="X34" s="53">
        <f t="shared" si="6"/>
        <v>0</v>
      </c>
      <c r="Y34" s="53"/>
      <c r="Z34" s="53"/>
      <c r="AA34" s="53">
        <f t="shared" si="7"/>
        <v>0</v>
      </c>
      <c r="AB34" s="53"/>
      <c r="AC34" s="53"/>
      <c r="AD34" s="53">
        <f t="shared" si="8"/>
        <v>0</v>
      </c>
      <c r="AE34" s="53"/>
      <c r="AF34" s="53"/>
      <c r="AG34" s="53">
        <f t="shared" si="9"/>
        <v>0</v>
      </c>
      <c r="AH34" s="53"/>
      <c r="AI34" s="53"/>
      <c r="AJ34" s="53">
        <f t="shared" si="10"/>
        <v>0</v>
      </c>
      <c r="AK34" s="53"/>
      <c r="AL34" s="53"/>
      <c r="AM34" s="53">
        <f t="shared" si="11"/>
        <v>0</v>
      </c>
      <c r="AN34" s="53"/>
      <c r="AO34" s="53"/>
      <c r="AP34" s="53">
        <f t="shared" si="12"/>
        <v>0</v>
      </c>
      <c r="AQ34" s="53"/>
      <c r="AR34" s="53"/>
      <c r="AS34" s="53">
        <f t="shared" si="13"/>
        <v>0</v>
      </c>
      <c r="AT34" s="53"/>
      <c r="AU34" s="53"/>
      <c r="AV34" s="53">
        <f t="shared" si="14"/>
        <v>0</v>
      </c>
      <c r="AW34" s="53"/>
      <c r="AX34" s="53"/>
      <c r="AY34" s="53">
        <f t="shared" si="15"/>
        <v>0</v>
      </c>
      <c r="AZ34" s="53"/>
      <c r="BA34" s="53"/>
      <c r="BB34" s="53">
        <f t="shared" si="16"/>
        <v>0</v>
      </c>
      <c r="BC34" s="53"/>
      <c r="BD34" s="53"/>
      <c r="BE34" s="53">
        <f t="shared" si="17"/>
        <v>0</v>
      </c>
      <c r="BF34" s="53"/>
      <c r="BG34" s="53"/>
      <c r="BH34" s="67">
        <f t="shared" si="18"/>
        <v>0</v>
      </c>
      <c r="BI34" s="68">
        <f t="shared" si="19"/>
        <v>1</v>
      </c>
    </row>
    <row r="35" spans="2:61" x14ac:dyDescent="0.25">
      <c r="B35" s="63">
        <v>27</v>
      </c>
      <c r="C35" s="64">
        <f>NOMINATIF!C32</f>
        <v>0</v>
      </c>
      <c r="D35" s="65">
        <f>NOMINATIF!D32</f>
        <v>0</v>
      </c>
      <c r="E35" s="65">
        <f>NOMINATIF!E32</f>
        <v>0</v>
      </c>
      <c r="F35" s="53">
        <f t="shared" si="0"/>
        <v>0</v>
      </c>
      <c r="G35" s="53"/>
      <c r="H35" s="53"/>
      <c r="I35" s="53">
        <f t="shared" si="1"/>
        <v>0</v>
      </c>
      <c r="J35" s="53"/>
      <c r="K35" s="53"/>
      <c r="L35" s="53">
        <f t="shared" si="2"/>
        <v>0</v>
      </c>
      <c r="M35" s="53"/>
      <c r="N35" s="53"/>
      <c r="O35" s="53">
        <f t="shared" si="3"/>
        <v>0</v>
      </c>
      <c r="P35" s="53"/>
      <c r="Q35" s="53"/>
      <c r="R35" s="53">
        <f t="shared" si="4"/>
        <v>0</v>
      </c>
      <c r="S35" s="53"/>
      <c r="T35" s="53"/>
      <c r="U35" s="53">
        <f t="shared" si="5"/>
        <v>0</v>
      </c>
      <c r="V35" s="53"/>
      <c r="W35" s="53"/>
      <c r="X35" s="53">
        <f t="shared" si="6"/>
        <v>0</v>
      </c>
      <c r="Y35" s="53"/>
      <c r="Z35" s="53"/>
      <c r="AA35" s="53">
        <f t="shared" si="7"/>
        <v>0</v>
      </c>
      <c r="AB35" s="53"/>
      <c r="AC35" s="53"/>
      <c r="AD35" s="53">
        <f t="shared" si="8"/>
        <v>0</v>
      </c>
      <c r="AE35" s="53"/>
      <c r="AF35" s="53"/>
      <c r="AG35" s="53">
        <f t="shared" si="9"/>
        <v>0</v>
      </c>
      <c r="AH35" s="53"/>
      <c r="AI35" s="53"/>
      <c r="AJ35" s="53">
        <f t="shared" si="10"/>
        <v>0</v>
      </c>
      <c r="AK35" s="53"/>
      <c r="AL35" s="53"/>
      <c r="AM35" s="53">
        <f t="shared" si="11"/>
        <v>0</v>
      </c>
      <c r="AN35" s="53"/>
      <c r="AO35" s="53"/>
      <c r="AP35" s="53">
        <f t="shared" si="12"/>
        <v>0</v>
      </c>
      <c r="AQ35" s="53"/>
      <c r="AR35" s="53"/>
      <c r="AS35" s="53">
        <f t="shared" si="13"/>
        <v>0</v>
      </c>
      <c r="AT35" s="53"/>
      <c r="AU35" s="53"/>
      <c r="AV35" s="53">
        <f t="shared" si="14"/>
        <v>0</v>
      </c>
      <c r="AW35" s="53"/>
      <c r="AX35" s="53"/>
      <c r="AY35" s="53">
        <f t="shared" si="15"/>
        <v>0</v>
      </c>
      <c r="AZ35" s="53"/>
      <c r="BA35" s="53"/>
      <c r="BB35" s="53">
        <f t="shared" si="16"/>
        <v>0</v>
      </c>
      <c r="BC35" s="53"/>
      <c r="BD35" s="53"/>
      <c r="BE35" s="53">
        <f t="shared" si="17"/>
        <v>0</v>
      </c>
      <c r="BF35" s="53"/>
      <c r="BG35" s="53"/>
      <c r="BH35" s="67">
        <f t="shared" si="18"/>
        <v>0</v>
      </c>
      <c r="BI35" s="68">
        <f t="shared" si="19"/>
        <v>1</v>
      </c>
    </row>
    <row r="36" spans="2:61" x14ac:dyDescent="0.25">
      <c r="B36" s="63">
        <v>28</v>
      </c>
      <c r="C36" s="64">
        <f>NOMINATIF!C33</f>
        <v>0</v>
      </c>
      <c r="D36" s="65">
        <f>NOMINATIF!D33</f>
        <v>0</v>
      </c>
      <c r="E36" s="65">
        <f>NOMINATIF!E33</f>
        <v>0</v>
      </c>
      <c r="F36" s="53">
        <f t="shared" si="0"/>
        <v>0</v>
      </c>
      <c r="G36" s="53"/>
      <c r="H36" s="53"/>
      <c r="I36" s="53">
        <f t="shared" si="1"/>
        <v>0</v>
      </c>
      <c r="J36" s="53"/>
      <c r="K36" s="53"/>
      <c r="L36" s="53">
        <f t="shared" si="2"/>
        <v>0</v>
      </c>
      <c r="M36" s="53"/>
      <c r="N36" s="53"/>
      <c r="O36" s="53">
        <f t="shared" si="3"/>
        <v>0</v>
      </c>
      <c r="P36" s="53"/>
      <c r="Q36" s="53"/>
      <c r="R36" s="53">
        <f t="shared" si="4"/>
        <v>0</v>
      </c>
      <c r="S36" s="53"/>
      <c r="T36" s="53"/>
      <c r="U36" s="53">
        <f t="shared" si="5"/>
        <v>0</v>
      </c>
      <c r="V36" s="53"/>
      <c r="W36" s="53"/>
      <c r="X36" s="53">
        <f t="shared" si="6"/>
        <v>0</v>
      </c>
      <c r="Y36" s="53"/>
      <c r="Z36" s="53"/>
      <c r="AA36" s="53">
        <f t="shared" si="7"/>
        <v>0</v>
      </c>
      <c r="AB36" s="53"/>
      <c r="AC36" s="53"/>
      <c r="AD36" s="53">
        <f t="shared" si="8"/>
        <v>0</v>
      </c>
      <c r="AE36" s="53"/>
      <c r="AF36" s="53"/>
      <c r="AG36" s="53">
        <f t="shared" si="9"/>
        <v>0</v>
      </c>
      <c r="AH36" s="53"/>
      <c r="AI36" s="53"/>
      <c r="AJ36" s="53">
        <f t="shared" si="10"/>
        <v>0</v>
      </c>
      <c r="AK36" s="53"/>
      <c r="AL36" s="53"/>
      <c r="AM36" s="53">
        <f t="shared" si="11"/>
        <v>0</v>
      </c>
      <c r="AN36" s="53"/>
      <c r="AO36" s="53"/>
      <c r="AP36" s="53">
        <f t="shared" si="12"/>
        <v>0</v>
      </c>
      <c r="AQ36" s="53"/>
      <c r="AR36" s="53"/>
      <c r="AS36" s="53">
        <f t="shared" si="13"/>
        <v>0</v>
      </c>
      <c r="AT36" s="53"/>
      <c r="AU36" s="53"/>
      <c r="AV36" s="53">
        <f t="shared" si="14"/>
        <v>0</v>
      </c>
      <c r="AW36" s="53"/>
      <c r="AX36" s="53"/>
      <c r="AY36" s="53">
        <f t="shared" si="15"/>
        <v>0</v>
      </c>
      <c r="AZ36" s="53"/>
      <c r="BA36" s="53"/>
      <c r="BB36" s="53">
        <f t="shared" si="16"/>
        <v>0</v>
      </c>
      <c r="BC36" s="53"/>
      <c r="BD36" s="53"/>
      <c r="BE36" s="53">
        <f t="shared" si="17"/>
        <v>0</v>
      </c>
      <c r="BF36" s="53"/>
      <c r="BG36" s="53"/>
      <c r="BH36" s="67">
        <f t="shared" si="18"/>
        <v>0</v>
      </c>
      <c r="BI36" s="68">
        <f t="shared" si="19"/>
        <v>1</v>
      </c>
    </row>
    <row r="37" spans="2:61" x14ac:dyDescent="0.25">
      <c r="B37" s="63">
        <v>29</v>
      </c>
      <c r="C37" s="64">
        <f>NOMINATIF!C34</f>
        <v>0</v>
      </c>
      <c r="D37" s="65">
        <f>NOMINATIF!D34</f>
        <v>0</v>
      </c>
      <c r="E37" s="65">
        <f>NOMINATIF!E34</f>
        <v>0</v>
      </c>
      <c r="F37" s="53">
        <f t="shared" si="0"/>
        <v>0</v>
      </c>
      <c r="G37" s="53"/>
      <c r="H37" s="53"/>
      <c r="I37" s="53">
        <f t="shared" si="1"/>
        <v>0</v>
      </c>
      <c r="J37" s="53"/>
      <c r="K37" s="53"/>
      <c r="L37" s="53">
        <f t="shared" si="2"/>
        <v>0</v>
      </c>
      <c r="M37" s="53"/>
      <c r="N37" s="53"/>
      <c r="O37" s="53">
        <f t="shared" si="3"/>
        <v>0</v>
      </c>
      <c r="P37" s="53"/>
      <c r="Q37" s="53"/>
      <c r="R37" s="53">
        <f t="shared" si="4"/>
        <v>0</v>
      </c>
      <c r="S37" s="53"/>
      <c r="T37" s="53"/>
      <c r="U37" s="53">
        <f t="shared" si="5"/>
        <v>0</v>
      </c>
      <c r="V37" s="53"/>
      <c r="W37" s="53"/>
      <c r="X37" s="53">
        <f t="shared" si="6"/>
        <v>0</v>
      </c>
      <c r="Y37" s="53"/>
      <c r="Z37" s="53"/>
      <c r="AA37" s="53">
        <f t="shared" si="7"/>
        <v>0</v>
      </c>
      <c r="AB37" s="53"/>
      <c r="AC37" s="53"/>
      <c r="AD37" s="53">
        <f t="shared" si="8"/>
        <v>0</v>
      </c>
      <c r="AE37" s="53"/>
      <c r="AF37" s="53"/>
      <c r="AG37" s="53">
        <f t="shared" si="9"/>
        <v>0</v>
      </c>
      <c r="AH37" s="53"/>
      <c r="AI37" s="53"/>
      <c r="AJ37" s="53">
        <f t="shared" si="10"/>
        <v>0</v>
      </c>
      <c r="AK37" s="53"/>
      <c r="AL37" s="53"/>
      <c r="AM37" s="53">
        <f t="shared" si="11"/>
        <v>0</v>
      </c>
      <c r="AN37" s="53"/>
      <c r="AO37" s="53"/>
      <c r="AP37" s="53">
        <f t="shared" si="12"/>
        <v>0</v>
      </c>
      <c r="AQ37" s="53"/>
      <c r="AR37" s="53"/>
      <c r="AS37" s="53">
        <f t="shared" si="13"/>
        <v>0</v>
      </c>
      <c r="AT37" s="53"/>
      <c r="AU37" s="53"/>
      <c r="AV37" s="53">
        <f t="shared" si="14"/>
        <v>0</v>
      </c>
      <c r="AW37" s="53"/>
      <c r="AX37" s="53"/>
      <c r="AY37" s="53">
        <f t="shared" si="15"/>
        <v>0</v>
      </c>
      <c r="AZ37" s="53"/>
      <c r="BA37" s="53"/>
      <c r="BB37" s="53">
        <f t="shared" si="16"/>
        <v>0</v>
      </c>
      <c r="BC37" s="53"/>
      <c r="BD37" s="53"/>
      <c r="BE37" s="53">
        <f t="shared" si="17"/>
        <v>0</v>
      </c>
      <c r="BF37" s="53"/>
      <c r="BG37" s="53"/>
      <c r="BH37" s="67">
        <f t="shared" si="18"/>
        <v>0</v>
      </c>
      <c r="BI37" s="68">
        <f t="shared" si="19"/>
        <v>1</v>
      </c>
    </row>
    <row r="38" spans="2:61" x14ac:dyDescent="0.25">
      <c r="B38" s="63">
        <v>30</v>
      </c>
      <c r="C38" s="64">
        <f>NOMINATIF!C35</f>
        <v>0</v>
      </c>
      <c r="D38" s="65">
        <f>NOMINATIF!D35</f>
        <v>0</v>
      </c>
      <c r="E38" s="65">
        <f>NOMINATIF!E35</f>
        <v>0</v>
      </c>
      <c r="F38" s="53">
        <f t="shared" si="0"/>
        <v>0</v>
      </c>
      <c r="G38" s="53"/>
      <c r="H38" s="53"/>
      <c r="I38" s="53">
        <f t="shared" si="1"/>
        <v>0</v>
      </c>
      <c r="J38" s="53"/>
      <c r="K38" s="53"/>
      <c r="L38" s="53">
        <f t="shared" si="2"/>
        <v>0</v>
      </c>
      <c r="M38" s="53"/>
      <c r="N38" s="53"/>
      <c r="O38" s="53">
        <f t="shared" si="3"/>
        <v>0</v>
      </c>
      <c r="P38" s="53"/>
      <c r="Q38" s="53"/>
      <c r="R38" s="53">
        <f t="shared" si="4"/>
        <v>0</v>
      </c>
      <c r="S38" s="53"/>
      <c r="T38" s="53"/>
      <c r="U38" s="53">
        <f t="shared" si="5"/>
        <v>0</v>
      </c>
      <c r="V38" s="53"/>
      <c r="W38" s="53"/>
      <c r="X38" s="53">
        <f t="shared" si="6"/>
        <v>0</v>
      </c>
      <c r="Y38" s="53"/>
      <c r="Z38" s="53"/>
      <c r="AA38" s="53">
        <f t="shared" si="7"/>
        <v>0</v>
      </c>
      <c r="AB38" s="53"/>
      <c r="AC38" s="53"/>
      <c r="AD38" s="53">
        <f t="shared" si="8"/>
        <v>0</v>
      </c>
      <c r="AE38" s="53"/>
      <c r="AF38" s="53"/>
      <c r="AG38" s="53">
        <f t="shared" si="9"/>
        <v>0</v>
      </c>
      <c r="AH38" s="53"/>
      <c r="AI38" s="53"/>
      <c r="AJ38" s="53">
        <f t="shared" si="10"/>
        <v>0</v>
      </c>
      <c r="AK38" s="53"/>
      <c r="AL38" s="53"/>
      <c r="AM38" s="53">
        <f t="shared" si="11"/>
        <v>0</v>
      </c>
      <c r="AN38" s="53"/>
      <c r="AO38" s="53"/>
      <c r="AP38" s="53">
        <f t="shared" si="12"/>
        <v>0</v>
      </c>
      <c r="AQ38" s="53"/>
      <c r="AR38" s="53"/>
      <c r="AS38" s="53">
        <f t="shared" si="13"/>
        <v>0</v>
      </c>
      <c r="AT38" s="53"/>
      <c r="AU38" s="53"/>
      <c r="AV38" s="53">
        <f t="shared" si="14"/>
        <v>0</v>
      </c>
      <c r="AW38" s="53"/>
      <c r="AX38" s="53"/>
      <c r="AY38" s="53">
        <f t="shared" si="15"/>
        <v>0</v>
      </c>
      <c r="AZ38" s="53"/>
      <c r="BA38" s="53"/>
      <c r="BB38" s="53">
        <f t="shared" si="16"/>
        <v>0</v>
      </c>
      <c r="BC38" s="53"/>
      <c r="BD38" s="53"/>
      <c r="BE38" s="53">
        <f t="shared" si="17"/>
        <v>0</v>
      </c>
      <c r="BF38" s="53"/>
      <c r="BG38" s="53"/>
      <c r="BH38" s="67">
        <f t="shared" si="18"/>
        <v>0</v>
      </c>
      <c r="BI38" s="68">
        <f t="shared" si="19"/>
        <v>1</v>
      </c>
    </row>
    <row r="39" spans="2:61" x14ac:dyDescent="0.25">
      <c r="B39" s="63">
        <v>31</v>
      </c>
      <c r="C39" s="64">
        <f>NOMINATIF!C36</f>
        <v>0</v>
      </c>
      <c r="D39" s="65">
        <f>NOMINATIF!D36</f>
        <v>0</v>
      </c>
      <c r="E39" s="65">
        <f>NOMINATIF!E36</f>
        <v>0</v>
      </c>
      <c r="F39" s="53">
        <f t="shared" si="0"/>
        <v>0</v>
      </c>
      <c r="G39" s="53"/>
      <c r="H39" s="53"/>
      <c r="I39" s="53">
        <f t="shared" si="1"/>
        <v>0</v>
      </c>
      <c r="J39" s="53"/>
      <c r="K39" s="53"/>
      <c r="L39" s="53">
        <f t="shared" si="2"/>
        <v>0</v>
      </c>
      <c r="M39" s="53"/>
      <c r="N39" s="53"/>
      <c r="O39" s="53">
        <f t="shared" si="3"/>
        <v>0</v>
      </c>
      <c r="P39" s="53"/>
      <c r="Q39" s="53"/>
      <c r="R39" s="53">
        <f t="shared" si="4"/>
        <v>0</v>
      </c>
      <c r="S39" s="53"/>
      <c r="T39" s="53"/>
      <c r="U39" s="53">
        <f t="shared" si="5"/>
        <v>0</v>
      </c>
      <c r="V39" s="53"/>
      <c r="W39" s="53"/>
      <c r="X39" s="53">
        <f t="shared" si="6"/>
        <v>0</v>
      </c>
      <c r="Y39" s="53"/>
      <c r="Z39" s="53"/>
      <c r="AA39" s="53">
        <f t="shared" si="7"/>
        <v>0</v>
      </c>
      <c r="AB39" s="53"/>
      <c r="AC39" s="53"/>
      <c r="AD39" s="53">
        <f t="shared" si="8"/>
        <v>0</v>
      </c>
      <c r="AE39" s="53"/>
      <c r="AF39" s="53"/>
      <c r="AG39" s="53">
        <f t="shared" si="9"/>
        <v>0</v>
      </c>
      <c r="AH39" s="53"/>
      <c r="AI39" s="53"/>
      <c r="AJ39" s="53">
        <f t="shared" si="10"/>
        <v>0</v>
      </c>
      <c r="AK39" s="53"/>
      <c r="AL39" s="53"/>
      <c r="AM39" s="53">
        <f t="shared" si="11"/>
        <v>0</v>
      </c>
      <c r="AN39" s="53"/>
      <c r="AO39" s="53"/>
      <c r="AP39" s="53">
        <f t="shared" si="12"/>
        <v>0</v>
      </c>
      <c r="AQ39" s="53"/>
      <c r="AR39" s="53"/>
      <c r="AS39" s="53">
        <f t="shared" si="13"/>
        <v>0</v>
      </c>
      <c r="AT39" s="53"/>
      <c r="AU39" s="53"/>
      <c r="AV39" s="53">
        <f t="shared" si="14"/>
        <v>0</v>
      </c>
      <c r="AW39" s="53"/>
      <c r="AX39" s="53"/>
      <c r="AY39" s="53">
        <f t="shared" si="15"/>
        <v>0</v>
      </c>
      <c r="AZ39" s="53"/>
      <c r="BA39" s="53"/>
      <c r="BB39" s="53">
        <f t="shared" si="16"/>
        <v>0</v>
      </c>
      <c r="BC39" s="53"/>
      <c r="BD39" s="53"/>
      <c r="BE39" s="53">
        <f t="shared" si="17"/>
        <v>0</v>
      </c>
      <c r="BF39" s="53"/>
      <c r="BG39" s="53"/>
      <c r="BH39" s="67">
        <f t="shared" si="18"/>
        <v>0</v>
      </c>
      <c r="BI39" s="68">
        <f t="shared" si="19"/>
        <v>1</v>
      </c>
    </row>
    <row r="40" spans="2:61" x14ac:dyDescent="0.25">
      <c r="B40" s="63">
        <v>32</v>
      </c>
      <c r="C40" s="64">
        <f>NOMINATIF!C37</f>
        <v>0</v>
      </c>
      <c r="D40" s="65">
        <f>NOMINATIF!D37</f>
        <v>0</v>
      </c>
      <c r="E40" s="65">
        <f>NOMINATIF!E37</f>
        <v>0</v>
      </c>
      <c r="F40" s="53">
        <f t="shared" si="0"/>
        <v>0</v>
      </c>
      <c r="G40" s="53"/>
      <c r="H40" s="53"/>
      <c r="I40" s="53">
        <f t="shared" si="1"/>
        <v>0</v>
      </c>
      <c r="J40" s="53"/>
      <c r="K40" s="53"/>
      <c r="L40" s="53">
        <f t="shared" si="2"/>
        <v>0</v>
      </c>
      <c r="M40" s="53"/>
      <c r="N40" s="53"/>
      <c r="O40" s="53">
        <f t="shared" si="3"/>
        <v>0</v>
      </c>
      <c r="P40" s="53"/>
      <c r="Q40" s="53"/>
      <c r="R40" s="53">
        <f t="shared" si="4"/>
        <v>0</v>
      </c>
      <c r="S40" s="53"/>
      <c r="T40" s="53"/>
      <c r="U40" s="53">
        <f t="shared" si="5"/>
        <v>0</v>
      </c>
      <c r="V40" s="53"/>
      <c r="W40" s="53"/>
      <c r="X40" s="53">
        <f t="shared" si="6"/>
        <v>0</v>
      </c>
      <c r="Y40" s="53"/>
      <c r="Z40" s="53"/>
      <c r="AA40" s="53">
        <f t="shared" si="7"/>
        <v>0</v>
      </c>
      <c r="AB40" s="53"/>
      <c r="AC40" s="53"/>
      <c r="AD40" s="53">
        <f t="shared" si="8"/>
        <v>0</v>
      </c>
      <c r="AE40" s="53"/>
      <c r="AF40" s="53"/>
      <c r="AG40" s="53">
        <f t="shared" si="9"/>
        <v>0</v>
      </c>
      <c r="AH40" s="53"/>
      <c r="AI40" s="53"/>
      <c r="AJ40" s="53">
        <f t="shared" si="10"/>
        <v>0</v>
      </c>
      <c r="AK40" s="53"/>
      <c r="AL40" s="53"/>
      <c r="AM40" s="53">
        <f t="shared" si="11"/>
        <v>0</v>
      </c>
      <c r="AN40" s="53"/>
      <c r="AO40" s="53"/>
      <c r="AP40" s="53">
        <f t="shared" si="12"/>
        <v>0</v>
      </c>
      <c r="AQ40" s="53"/>
      <c r="AR40" s="53"/>
      <c r="AS40" s="53">
        <f t="shared" si="13"/>
        <v>0</v>
      </c>
      <c r="AT40" s="53"/>
      <c r="AU40" s="53"/>
      <c r="AV40" s="53">
        <f t="shared" si="14"/>
        <v>0</v>
      </c>
      <c r="AW40" s="53"/>
      <c r="AX40" s="53"/>
      <c r="AY40" s="53">
        <f t="shared" si="15"/>
        <v>0</v>
      </c>
      <c r="AZ40" s="53"/>
      <c r="BA40" s="53"/>
      <c r="BB40" s="53">
        <f t="shared" si="16"/>
        <v>0</v>
      </c>
      <c r="BC40" s="53"/>
      <c r="BD40" s="53"/>
      <c r="BE40" s="53">
        <f t="shared" si="17"/>
        <v>0</v>
      </c>
      <c r="BF40" s="53"/>
      <c r="BG40" s="53"/>
      <c r="BH40" s="67">
        <f t="shared" si="18"/>
        <v>0</v>
      </c>
      <c r="BI40" s="68">
        <f t="shared" si="19"/>
        <v>1</v>
      </c>
    </row>
    <row r="41" spans="2:61" x14ac:dyDescent="0.25">
      <c r="B41" s="63">
        <v>33</v>
      </c>
      <c r="C41" s="64">
        <f>NOMINATIF!C38</f>
        <v>0</v>
      </c>
      <c r="D41" s="65">
        <f>NOMINATIF!D38</f>
        <v>0</v>
      </c>
      <c r="E41" s="65">
        <f>NOMINATIF!E38</f>
        <v>0</v>
      </c>
      <c r="F41" s="53">
        <f t="shared" si="0"/>
        <v>0</v>
      </c>
      <c r="G41" s="53"/>
      <c r="H41" s="53"/>
      <c r="I41" s="53">
        <f t="shared" si="1"/>
        <v>0</v>
      </c>
      <c r="J41" s="53"/>
      <c r="K41" s="53"/>
      <c r="L41" s="53">
        <f t="shared" si="2"/>
        <v>0</v>
      </c>
      <c r="M41" s="53"/>
      <c r="N41" s="53"/>
      <c r="O41" s="53">
        <f t="shared" si="3"/>
        <v>0</v>
      </c>
      <c r="P41" s="53"/>
      <c r="Q41" s="53"/>
      <c r="R41" s="53">
        <f t="shared" si="4"/>
        <v>0</v>
      </c>
      <c r="S41" s="53"/>
      <c r="T41" s="53"/>
      <c r="U41" s="53">
        <f t="shared" si="5"/>
        <v>0</v>
      </c>
      <c r="V41" s="53"/>
      <c r="W41" s="53"/>
      <c r="X41" s="53">
        <f t="shared" si="6"/>
        <v>0</v>
      </c>
      <c r="Y41" s="53"/>
      <c r="Z41" s="53"/>
      <c r="AA41" s="53">
        <f t="shared" si="7"/>
        <v>0</v>
      </c>
      <c r="AB41" s="53"/>
      <c r="AC41" s="53"/>
      <c r="AD41" s="53">
        <f t="shared" si="8"/>
        <v>0</v>
      </c>
      <c r="AE41" s="53"/>
      <c r="AF41" s="53"/>
      <c r="AG41" s="53">
        <f t="shared" si="9"/>
        <v>0</v>
      </c>
      <c r="AH41" s="53"/>
      <c r="AI41" s="53"/>
      <c r="AJ41" s="53">
        <f t="shared" si="10"/>
        <v>0</v>
      </c>
      <c r="AK41" s="53"/>
      <c r="AL41" s="53"/>
      <c r="AM41" s="53">
        <f t="shared" si="11"/>
        <v>0</v>
      </c>
      <c r="AN41" s="53"/>
      <c r="AO41" s="53"/>
      <c r="AP41" s="53">
        <f t="shared" si="12"/>
        <v>0</v>
      </c>
      <c r="AQ41" s="53"/>
      <c r="AR41" s="53"/>
      <c r="AS41" s="53">
        <f t="shared" si="13"/>
        <v>0</v>
      </c>
      <c r="AT41" s="53"/>
      <c r="AU41" s="53"/>
      <c r="AV41" s="53">
        <f t="shared" si="14"/>
        <v>0</v>
      </c>
      <c r="AW41" s="53"/>
      <c r="AX41" s="53"/>
      <c r="AY41" s="53">
        <f t="shared" si="15"/>
        <v>0</v>
      </c>
      <c r="AZ41" s="53"/>
      <c r="BA41" s="53"/>
      <c r="BB41" s="53">
        <f t="shared" si="16"/>
        <v>0</v>
      </c>
      <c r="BC41" s="53"/>
      <c r="BD41" s="53"/>
      <c r="BE41" s="53">
        <f t="shared" si="17"/>
        <v>0</v>
      </c>
      <c r="BF41" s="53"/>
      <c r="BG41" s="53"/>
      <c r="BH41" s="67">
        <f t="shared" si="18"/>
        <v>0</v>
      </c>
      <c r="BI41" s="68">
        <f t="shared" si="19"/>
        <v>1</v>
      </c>
    </row>
    <row r="42" spans="2:61" x14ac:dyDescent="0.25">
      <c r="B42" s="63">
        <v>34</v>
      </c>
      <c r="C42" s="64">
        <f>NOMINATIF!C39</f>
        <v>0</v>
      </c>
      <c r="D42" s="65">
        <f>NOMINATIF!D39</f>
        <v>0</v>
      </c>
      <c r="E42" s="65">
        <f>NOMINATIF!E39</f>
        <v>0</v>
      </c>
      <c r="F42" s="53">
        <f t="shared" si="0"/>
        <v>0</v>
      </c>
      <c r="G42" s="53"/>
      <c r="H42" s="53"/>
      <c r="I42" s="53">
        <f t="shared" si="1"/>
        <v>0</v>
      </c>
      <c r="J42" s="53"/>
      <c r="K42" s="53"/>
      <c r="L42" s="53">
        <f t="shared" si="2"/>
        <v>0</v>
      </c>
      <c r="M42" s="53"/>
      <c r="N42" s="53"/>
      <c r="O42" s="53">
        <f t="shared" si="3"/>
        <v>0</v>
      </c>
      <c r="P42" s="53"/>
      <c r="Q42" s="53"/>
      <c r="R42" s="53">
        <f t="shared" si="4"/>
        <v>0</v>
      </c>
      <c r="S42" s="53"/>
      <c r="T42" s="53"/>
      <c r="U42" s="53">
        <f t="shared" si="5"/>
        <v>0</v>
      </c>
      <c r="V42" s="53"/>
      <c r="W42" s="53"/>
      <c r="X42" s="53">
        <f t="shared" si="6"/>
        <v>0</v>
      </c>
      <c r="Y42" s="53"/>
      <c r="Z42" s="53"/>
      <c r="AA42" s="53">
        <f t="shared" si="7"/>
        <v>0</v>
      </c>
      <c r="AB42" s="53"/>
      <c r="AC42" s="53"/>
      <c r="AD42" s="53">
        <f t="shared" si="8"/>
        <v>0</v>
      </c>
      <c r="AE42" s="53"/>
      <c r="AF42" s="53"/>
      <c r="AG42" s="53">
        <f t="shared" si="9"/>
        <v>0</v>
      </c>
      <c r="AH42" s="53"/>
      <c r="AI42" s="53"/>
      <c r="AJ42" s="53">
        <f t="shared" si="10"/>
        <v>0</v>
      </c>
      <c r="AK42" s="53"/>
      <c r="AL42" s="53"/>
      <c r="AM42" s="53">
        <f t="shared" si="11"/>
        <v>0</v>
      </c>
      <c r="AN42" s="53"/>
      <c r="AO42" s="53"/>
      <c r="AP42" s="53">
        <f t="shared" si="12"/>
        <v>0</v>
      </c>
      <c r="AQ42" s="53"/>
      <c r="AR42" s="53"/>
      <c r="AS42" s="53">
        <f t="shared" si="13"/>
        <v>0</v>
      </c>
      <c r="AT42" s="53"/>
      <c r="AU42" s="53"/>
      <c r="AV42" s="53">
        <f t="shared" si="14"/>
        <v>0</v>
      </c>
      <c r="AW42" s="53"/>
      <c r="AX42" s="53"/>
      <c r="AY42" s="53">
        <f t="shared" si="15"/>
        <v>0</v>
      </c>
      <c r="AZ42" s="53"/>
      <c r="BA42" s="53"/>
      <c r="BB42" s="53">
        <f t="shared" si="16"/>
        <v>0</v>
      </c>
      <c r="BC42" s="53"/>
      <c r="BD42" s="53"/>
      <c r="BE42" s="53">
        <f t="shared" si="17"/>
        <v>0</v>
      </c>
      <c r="BF42" s="53"/>
      <c r="BG42" s="53"/>
      <c r="BH42" s="67">
        <f t="shared" si="18"/>
        <v>0</v>
      </c>
      <c r="BI42" s="68">
        <f t="shared" si="19"/>
        <v>1</v>
      </c>
    </row>
    <row r="43" spans="2:61" x14ac:dyDescent="0.25">
      <c r="B43" s="63">
        <v>35</v>
      </c>
      <c r="C43" s="64">
        <f>NOMINATIF!C40</f>
        <v>0</v>
      </c>
      <c r="D43" s="65">
        <f>NOMINATIF!D40</f>
        <v>0</v>
      </c>
      <c r="E43" s="65">
        <f>NOMINATIF!E40</f>
        <v>0</v>
      </c>
      <c r="F43" s="53">
        <f t="shared" si="0"/>
        <v>0</v>
      </c>
      <c r="G43" s="53"/>
      <c r="H43" s="53"/>
      <c r="I43" s="53">
        <f t="shared" si="1"/>
        <v>0</v>
      </c>
      <c r="J43" s="53"/>
      <c r="K43" s="53"/>
      <c r="L43" s="53">
        <f t="shared" si="2"/>
        <v>0</v>
      </c>
      <c r="M43" s="53"/>
      <c r="N43" s="53"/>
      <c r="O43" s="53">
        <f t="shared" si="3"/>
        <v>0</v>
      </c>
      <c r="P43" s="53"/>
      <c r="Q43" s="53"/>
      <c r="R43" s="53">
        <f t="shared" si="4"/>
        <v>0</v>
      </c>
      <c r="S43" s="53"/>
      <c r="T43" s="53"/>
      <c r="U43" s="53">
        <f t="shared" si="5"/>
        <v>0</v>
      </c>
      <c r="V43" s="53"/>
      <c r="W43" s="53"/>
      <c r="X43" s="53">
        <f t="shared" si="6"/>
        <v>0</v>
      </c>
      <c r="Y43" s="53"/>
      <c r="Z43" s="53"/>
      <c r="AA43" s="53">
        <f t="shared" si="7"/>
        <v>0</v>
      </c>
      <c r="AB43" s="53"/>
      <c r="AC43" s="53"/>
      <c r="AD43" s="53">
        <f t="shared" si="8"/>
        <v>0</v>
      </c>
      <c r="AE43" s="53"/>
      <c r="AF43" s="53"/>
      <c r="AG43" s="53">
        <f t="shared" si="9"/>
        <v>0</v>
      </c>
      <c r="AH43" s="53"/>
      <c r="AI43" s="53"/>
      <c r="AJ43" s="53">
        <f t="shared" si="10"/>
        <v>0</v>
      </c>
      <c r="AK43" s="53"/>
      <c r="AL43" s="53"/>
      <c r="AM43" s="53">
        <f t="shared" si="11"/>
        <v>0</v>
      </c>
      <c r="AN43" s="53"/>
      <c r="AO43" s="53"/>
      <c r="AP43" s="53">
        <f t="shared" si="12"/>
        <v>0</v>
      </c>
      <c r="AQ43" s="53"/>
      <c r="AR43" s="53"/>
      <c r="AS43" s="53">
        <f t="shared" si="13"/>
        <v>0</v>
      </c>
      <c r="AT43" s="53"/>
      <c r="AU43" s="53"/>
      <c r="AV43" s="53">
        <f t="shared" si="14"/>
        <v>0</v>
      </c>
      <c r="AW43" s="53"/>
      <c r="AX43" s="53"/>
      <c r="AY43" s="53">
        <f t="shared" si="15"/>
        <v>0</v>
      </c>
      <c r="AZ43" s="53"/>
      <c r="BA43" s="53"/>
      <c r="BB43" s="53">
        <f t="shared" si="16"/>
        <v>0</v>
      </c>
      <c r="BC43" s="53"/>
      <c r="BD43" s="53"/>
      <c r="BE43" s="53">
        <f t="shared" si="17"/>
        <v>0</v>
      </c>
      <c r="BF43" s="53"/>
      <c r="BG43" s="53"/>
      <c r="BH43" s="67">
        <f t="shared" si="18"/>
        <v>0</v>
      </c>
      <c r="BI43" s="68">
        <f t="shared" si="19"/>
        <v>1</v>
      </c>
    </row>
    <row r="44" spans="2:61" x14ac:dyDescent="0.25"/>
    <row r="45" spans="2:61" x14ac:dyDescent="0.25"/>
    <row r="46" spans="2:61" x14ac:dyDescent="0.25"/>
  </sheetData>
  <sheetProtection selectLockedCells="1"/>
  <mergeCells count="25">
    <mergeCell ref="B3:BI3"/>
    <mergeCell ref="E5:E7"/>
    <mergeCell ref="D5:D7"/>
    <mergeCell ref="C5:C7"/>
    <mergeCell ref="B5:B7"/>
    <mergeCell ref="BH5:BH6"/>
    <mergeCell ref="BI5:BI6"/>
    <mergeCell ref="L6:N6"/>
    <mergeCell ref="I6:K6"/>
    <mergeCell ref="F6:H6"/>
    <mergeCell ref="BB6:BD6"/>
    <mergeCell ref="AY6:BA6"/>
    <mergeCell ref="R6:T6"/>
    <mergeCell ref="O6:Q6"/>
    <mergeCell ref="AV6:AX6"/>
    <mergeCell ref="AS6:AU6"/>
    <mergeCell ref="BE6:BG6"/>
    <mergeCell ref="AD6:AF6"/>
    <mergeCell ref="AA6:AC6"/>
    <mergeCell ref="X6:Z6"/>
    <mergeCell ref="U6:W6"/>
    <mergeCell ref="AP6:AR6"/>
    <mergeCell ref="AM6:AO6"/>
    <mergeCell ref="AJ6:AL6"/>
    <mergeCell ref="AG6:AI6"/>
  </mergeCell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2">
    <tabColor rgb="FF00B0F0"/>
    <pageSetUpPr fitToPage="1"/>
  </sheetPr>
  <dimension ref="A1:AC54"/>
  <sheetViews>
    <sheetView topLeftCell="A32" zoomScale="85" zoomScaleNormal="85" workbookViewId="0">
      <selection activeCell="O25" sqref="O25:P34"/>
    </sheetView>
  </sheetViews>
  <sheetFormatPr defaultColWidth="0" defaultRowHeight="0" customHeight="1" zeroHeight="1" x14ac:dyDescent="0.25"/>
  <cols>
    <col min="1" max="1" width="1.5703125" style="12" customWidth="1"/>
    <col min="2" max="2" width="3.85546875" customWidth="1"/>
    <col min="3" max="3" width="16.7109375" customWidth="1"/>
    <col min="4" max="4" width="1.140625" customWidth="1"/>
    <col min="5" max="5" width="22.42578125" customWidth="1"/>
    <col min="6" max="6" width="9.42578125" customWidth="1"/>
    <col min="7" max="7" width="2.140625" customWidth="1"/>
    <col min="8" max="8" width="21" customWidth="1"/>
    <col min="9" max="9" width="2.28515625" customWidth="1"/>
    <col min="10" max="10" width="16.140625" hidden="1" customWidth="1"/>
    <col min="11" max="11" width="1.85546875" hidden="1" customWidth="1"/>
    <col min="12" max="12" width="5.85546875" customWidth="1"/>
    <col min="13" max="13" width="30.5703125" customWidth="1"/>
    <col min="14" max="14" width="1.7109375" customWidth="1"/>
    <col min="15" max="16" width="9.140625" customWidth="1"/>
    <col min="17" max="17" width="2.42578125" customWidth="1"/>
    <col min="18" max="18" width="16.7109375" customWidth="1"/>
    <col min="19" max="19" width="1" customWidth="1"/>
    <col min="20" max="20" width="1.7109375" style="12" customWidth="1"/>
    <col min="21" max="29" width="0" hidden="1" customWidth="1"/>
    <col min="30" max="16384" width="9.140625" hidden="1"/>
  </cols>
  <sheetData>
    <row r="1" spans="2:29" s="21" customFormat="1" ht="7.5" customHeight="1" x14ac:dyDescent="0.25"/>
    <row r="2" spans="2:29" ht="15.75" x14ac:dyDescent="0.25">
      <c r="C2" s="3"/>
      <c r="D2" s="204" t="s">
        <v>11</v>
      </c>
      <c r="E2" s="204"/>
      <c r="F2" s="204"/>
      <c r="G2" s="204"/>
      <c r="H2" s="204"/>
      <c r="I2" s="204"/>
      <c r="J2" s="204"/>
      <c r="K2" s="204"/>
      <c r="L2" s="204"/>
      <c r="M2" s="204"/>
      <c r="N2" s="20"/>
      <c r="O2" s="20"/>
      <c r="P2" s="20"/>
      <c r="Q2" s="20"/>
      <c r="R2" s="20"/>
      <c r="V2" s="204"/>
      <c r="W2" s="204"/>
      <c r="X2" s="204"/>
      <c r="Y2" s="204"/>
      <c r="Z2" s="204"/>
      <c r="AA2" s="204"/>
      <c r="AB2" s="204"/>
      <c r="AC2" s="204"/>
    </row>
    <row r="3" spans="2:29" ht="15.75" x14ac:dyDescent="0.25">
      <c r="C3" s="3"/>
      <c r="D3" s="204" t="s">
        <v>12</v>
      </c>
      <c r="E3" s="204"/>
      <c r="F3" s="204"/>
      <c r="G3" s="204"/>
      <c r="H3" s="204"/>
      <c r="I3" s="204"/>
      <c r="J3" s="204"/>
      <c r="K3" s="204"/>
      <c r="L3" s="204"/>
      <c r="M3" s="204"/>
      <c r="N3" s="20"/>
      <c r="O3" s="20"/>
      <c r="P3" s="20"/>
      <c r="Q3" s="20"/>
      <c r="R3" s="20"/>
      <c r="V3" s="204"/>
      <c r="W3" s="204"/>
      <c r="X3" s="204"/>
      <c r="Y3" s="204"/>
      <c r="Z3" s="204"/>
      <c r="AA3" s="204"/>
      <c r="AB3" s="204"/>
      <c r="AC3" s="204"/>
    </row>
    <row r="4" spans="2:29" ht="15.75" x14ac:dyDescent="0.25">
      <c r="C4" s="1"/>
      <c r="D4" s="203" t="s">
        <v>13</v>
      </c>
      <c r="E4" s="203"/>
      <c r="F4" s="203"/>
      <c r="G4" s="203"/>
      <c r="H4" s="203"/>
      <c r="I4" s="203"/>
      <c r="J4" s="203"/>
      <c r="K4" s="203"/>
      <c r="L4" s="203"/>
      <c r="M4" s="203"/>
      <c r="N4" s="20"/>
      <c r="O4" s="20"/>
      <c r="P4" s="20"/>
      <c r="Q4" s="20"/>
      <c r="R4" s="20"/>
      <c r="V4" s="203"/>
      <c r="W4" s="203"/>
      <c r="X4" s="203"/>
      <c r="Y4" s="203"/>
      <c r="Z4" s="203"/>
      <c r="AA4" s="203"/>
      <c r="AB4" s="203"/>
      <c r="AC4" s="203"/>
    </row>
    <row r="5" spans="2:29" ht="15.75" x14ac:dyDescent="0.25">
      <c r="C5" s="1"/>
      <c r="D5" s="203" t="s">
        <v>14</v>
      </c>
      <c r="E5" s="203"/>
      <c r="F5" s="203"/>
      <c r="G5" s="203"/>
      <c r="H5" s="203"/>
      <c r="I5" s="203"/>
      <c r="J5" s="203"/>
      <c r="K5" s="203"/>
      <c r="L5" s="203"/>
      <c r="M5" s="203"/>
      <c r="N5" s="20"/>
      <c r="O5" s="20"/>
      <c r="P5" s="20"/>
      <c r="Q5" s="20"/>
      <c r="R5" s="20"/>
      <c r="V5" s="203"/>
      <c r="W5" s="203"/>
      <c r="X5" s="203"/>
      <c r="Y5" s="203"/>
      <c r="Z5" s="203"/>
      <c r="AA5" s="203"/>
      <c r="AB5" s="203"/>
      <c r="AC5" s="203"/>
    </row>
    <row r="6" spans="2:29" ht="16.5" thickBot="1" x14ac:dyDescent="0.3">
      <c r="C6" s="3"/>
      <c r="D6" s="204" t="s">
        <v>1</v>
      </c>
      <c r="E6" s="204"/>
      <c r="F6" s="204"/>
      <c r="G6" s="204"/>
      <c r="H6" s="204"/>
      <c r="I6" s="204"/>
      <c r="J6" s="204"/>
      <c r="K6" s="204"/>
      <c r="L6" s="204"/>
      <c r="M6" s="204"/>
      <c r="N6" s="20"/>
      <c r="O6" s="20"/>
      <c r="P6" s="20"/>
      <c r="Q6" s="20"/>
      <c r="R6" s="20"/>
      <c r="V6" s="204"/>
      <c r="W6" s="204"/>
      <c r="X6" s="204"/>
      <c r="Y6" s="204"/>
      <c r="Z6" s="204"/>
      <c r="AA6" s="204"/>
      <c r="AB6" s="204"/>
      <c r="AC6" s="204"/>
    </row>
    <row r="7" spans="2:29" ht="15.75" x14ac:dyDescent="0.25">
      <c r="C7" s="1"/>
      <c r="D7" s="203" t="s">
        <v>15</v>
      </c>
      <c r="E7" s="203"/>
      <c r="F7" s="203"/>
      <c r="G7" s="203"/>
      <c r="H7" s="203"/>
      <c r="I7" s="203"/>
      <c r="J7" s="203"/>
      <c r="K7" s="203"/>
      <c r="L7" s="203"/>
      <c r="M7" s="203"/>
      <c r="N7" s="20"/>
      <c r="O7" s="233" t="s">
        <v>69</v>
      </c>
      <c r="P7" s="234"/>
      <c r="Q7" s="234"/>
      <c r="R7" s="235"/>
      <c r="S7" s="19"/>
      <c r="V7" s="203"/>
      <c r="W7" s="203"/>
      <c r="X7" s="203"/>
      <c r="Y7" s="203"/>
      <c r="Z7" s="203"/>
      <c r="AA7" s="203"/>
      <c r="AB7" s="203"/>
      <c r="AC7" s="203"/>
    </row>
    <row r="8" spans="2:29" ht="15.75" x14ac:dyDescent="0.25">
      <c r="C8" s="1"/>
      <c r="D8" s="203" t="s">
        <v>16</v>
      </c>
      <c r="E8" s="203"/>
      <c r="F8" s="203"/>
      <c r="G8" s="203"/>
      <c r="H8" s="203"/>
      <c r="I8" s="203"/>
      <c r="J8" s="203"/>
      <c r="K8" s="203"/>
      <c r="L8" s="203"/>
      <c r="M8" s="203"/>
      <c r="N8" s="20"/>
      <c r="O8" s="236"/>
      <c r="P8" s="237"/>
      <c r="Q8" s="237"/>
      <c r="R8" s="238"/>
      <c r="V8" s="203"/>
      <c r="W8" s="203"/>
      <c r="X8" s="203"/>
      <c r="Y8" s="203"/>
      <c r="Z8" s="203"/>
      <c r="AA8" s="203"/>
      <c r="AB8" s="203"/>
      <c r="AC8" s="203"/>
    </row>
    <row r="9" spans="2:29" ht="16.5" thickBot="1" x14ac:dyDescent="0.3">
      <c r="C9" s="2"/>
      <c r="D9" s="230" t="s">
        <v>17</v>
      </c>
      <c r="E9" s="230"/>
      <c r="F9" s="230"/>
      <c r="G9" s="230"/>
      <c r="H9" s="230"/>
      <c r="I9" s="230"/>
      <c r="J9" s="230"/>
      <c r="K9" s="230"/>
      <c r="L9" s="230"/>
      <c r="M9" s="230"/>
      <c r="N9" s="20"/>
      <c r="O9" s="35"/>
      <c r="P9" s="227" t="s">
        <v>70</v>
      </c>
      <c r="Q9" s="227"/>
      <c r="R9" s="228">
        <v>1</v>
      </c>
      <c r="V9" s="230"/>
      <c r="W9" s="230"/>
      <c r="X9" s="230"/>
      <c r="Y9" s="230"/>
      <c r="Z9" s="230"/>
      <c r="AA9" s="230"/>
      <c r="AB9" s="230"/>
      <c r="AC9" s="230"/>
    </row>
    <row r="10" spans="2:29" ht="5.25" customHeight="1" thickTop="1" x14ac:dyDescent="0.25">
      <c r="B10" s="231"/>
      <c r="C10" s="232"/>
      <c r="D10" s="232"/>
      <c r="E10" s="232"/>
      <c r="F10" s="232"/>
      <c r="G10" s="232"/>
      <c r="H10" s="232"/>
      <c r="I10" s="232"/>
      <c r="J10" s="232"/>
      <c r="K10" s="232"/>
      <c r="L10" s="232"/>
      <c r="M10" s="232"/>
      <c r="N10" s="20"/>
      <c r="O10" s="35"/>
      <c r="P10" s="227"/>
      <c r="Q10" s="227"/>
      <c r="R10" s="228"/>
    </row>
    <row r="11" spans="2:29" ht="15.75" x14ac:dyDescent="0.25">
      <c r="B11" s="226" t="str">
        <f>HOME!G6</f>
        <v>HASIL PENILAIAN TENGAH SEMESTER GENAP</v>
      </c>
      <c r="C11" s="226"/>
      <c r="D11" s="226"/>
      <c r="E11" s="226"/>
      <c r="F11" s="226"/>
      <c r="G11" s="226"/>
      <c r="H11" s="226"/>
      <c r="I11" s="226"/>
      <c r="J11" s="226"/>
      <c r="K11" s="226"/>
      <c r="L11" s="226"/>
      <c r="M11" s="226"/>
      <c r="N11" s="20"/>
      <c r="O11" s="35"/>
      <c r="P11" s="227"/>
      <c r="Q11" s="227"/>
      <c r="R11" s="228"/>
    </row>
    <row r="12" spans="2:29" ht="15.75" x14ac:dyDescent="0.25">
      <c r="B12" s="226" t="str">
        <f>"TAHUN PELAJARAN " &amp; HOME!G7</f>
        <v>TAHUN PELAJARAN 2022/2023</v>
      </c>
      <c r="C12" s="226"/>
      <c r="D12" s="226"/>
      <c r="E12" s="226"/>
      <c r="F12" s="226"/>
      <c r="G12" s="226"/>
      <c r="H12" s="226"/>
      <c r="I12" s="226"/>
      <c r="J12" s="226"/>
      <c r="K12" s="226"/>
      <c r="L12" s="226"/>
      <c r="M12" s="226"/>
      <c r="N12" s="20"/>
      <c r="O12" s="35"/>
      <c r="P12" s="227" t="s">
        <v>71</v>
      </c>
      <c r="Q12" s="227"/>
      <c r="R12" s="228">
        <f>COUNTA(NOMINATIF!C6:C40)</f>
        <v>20</v>
      </c>
    </row>
    <row r="13" spans="2:29" ht="8.25" customHeight="1" x14ac:dyDescent="0.25">
      <c r="B13" s="16"/>
      <c r="C13" s="4"/>
      <c r="D13" s="4"/>
      <c r="E13" s="4"/>
      <c r="F13" s="4"/>
      <c r="G13" s="4"/>
      <c r="H13" s="4"/>
      <c r="I13" s="4"/>
      <c r="J13" s="4"/>
      <c r="K13" s="4"/>
      <c r="L13" s="4"/>
      <c r="M13" s="4"/>
      <c r="N13" s="20"/>
      <c r="O13" s="35"/>
      <c r="P13" s="227"/>
      <c r="Q13" s="227"/>
      <c r="R13" s="228"/>
    </row>
    <row r="14" spans="2:29" ht="15.75" x14ac:dyDescent="0.25">
      <c r="B14" s="224" t="s">
        <v>18</v>
      </c>
      <c r="C14" s="224"/>
      <c r="D14" s="1" t="s">
        <v>6</v>
      </c>
      <c r="E14" s="229" t="str">
        <f>VLOOKUP(R9,'L X AKL'!$B$9:$BI$43,2,)</f>
        <v>AFMALA INSAN QOIRUNISA</v>
      </c>
      <c r="F14" s="229"/>
      <c r="G14" s="18"/>
      <c r="H14" s="1" t="s">
        <v>63</v>
      </c>
      <c r="I14" t="s">
        <v>6</v>
      </c>
      <c r="J14" s="225" t="str">
        <f>HOME!G9</f>
        <v>Teknik Komputer dan Informatika</v>
      </c>
      <c r="K14" s="225"/>
      <c r="L14" s="225"/>
      <c r="M14" s="225"/>
      <c r="N14" s="20"/>
      <c r="O14" s="35"/>
      <c r="P14" s="227"/>
      <c r="Q14" s="227"/>
      <c r="R14" s="228"/>
    </row>
    <row r="15" spans="2:29" ht="15.75" x14ac:dyDescent="0.25">
      <c r="B15" s="224" t="s">
        <v>19</v>
      </c>
      <c r="C15" s="224"/>
      <c r="D15" s="1" t="s">
        <v>6</v>
      </c>
      <c r="E15" s="224" t="str">
        <f>VLOOKUP(R9,'L X AKL'!$B$9:$BI$43,3,)&amp;"/"&amp;VLOOKUP(R9,'L X AKL'!$B$9:$BI$43,4,)</f>
        <v>4020/0059023845</v>
      </c>
      <c r="F15" s="224"/>
      <c r="G15" s="17"/>
      <c r="H15" s="1" t="s">
        <v>10</v>
      </c>
      <c r="I15" t="s">
        <v>6</v>
      </c>
      <c r="J15" s="225" t="str">
        <f>ID!G7</f>
        <v>Akuntansi dan Keuangan Lembaga</v>
      </c>
      <c r="K15" s="225"/>
      <c r="L15" s="225"/>
      <c r="M15" s="225"/>
      <c r="N15" s="20"/>
      <c r="O15" s="35"/>
      <c r="P15" s="20"/>
      <c r="Q15" s="20"/>
      <c r="R15" s="36"/>
    </row>
    <row r="16" spans="2:29" ht="15.75" x14ac:dyDescent="0.25">
      <c r="B16" s="224" t="s">
        <v>9</v>
      </c>
      <c r="C16" s="224"/>
      <c r="D16" s="1" t="s">
        <v>6</v>
      </c>
      <c r="E16" s="224" t="str">
        <f>ID!G8</f>
        <v>XII AKL 1</v>
      </c>
      <c r="F16" s="224"/>
      <c r="G16" s="17"/>
      <c r="H16" s="1" t="s">
        <v>20</v>
      </c>
      <c r="I16" t="s">
        <v>6</v>
      </c>
      <c r="J16" s="225" t="str">
        <f>ID!G9</f>
        <v>4/GENAP</v>
      </c>
      <c r="K16" s="225"/>
      <c r="L16" s="225"/>
      <c r="M16" s="225"/>
      <c r="N16" s="20"/>
      <c r="O16" s="35"/>
      <c r="P16" s="20"/>
      <c r="Q16" s="20"/>
      <c r="R16" s="36"/>
    </row>
    <row r="17" spans="2:18" ht="15" x14ac:dyDescent="0.25">
      <c r="N17" s="20"/>
      <c r="O17" s="35"/>
      <c r="P17" s="20"/>
      <c r="Q17" s="20"/>
      <c r="R17" s="36"/>
    </row>
    <row r="18" spans="2:18" ht="31.5" customHeight="1" x14ac:dyDescent="0.25">
      <c r="B18" s="15" t="s">
        <v>32</v>
      </c>
      <c r="C18" s="190" t="s">
        <v>33</v>
      </c>
      <c r="D18" s="190"/>
      <c r="E18" s="190"/>
      <c r="F18" s="222" t="s">
        <v>34</v>
      </c>
      <c r="G18" s="223"/>
      <c r="H18" s="222" t="s">
        <v>35</v>
      </c>
      <c r="I18" s="223"/>
      <c r="J18" s="222" t="s">
        <v>66</v>
      </c>
      <c r="K18" s="223"/>
      <c r="L18" s="15" t="s">
        <v>98</v>
      </c>
      <c r="M18" s="15" t="s">
        <v>36</v>
      </c>
      <c r="N18" s="20"/>
      <c r="O18" s="35"/>
      <c r="P18" s="20"/>
      <c r="Q18" s="20"/>
      <c r="R18" s="36"/>
    </row>
    <row r="19" spans="2:18" ht="15.75" x14ac:dyDescent="0.25">
      <c r="B19" s="188" t="s">
        <v>37</v>
      </c>
      <c r="C19" s="188"/>
      <c r="D19" s="188"/>
      <c r="E19" s="188"/>
      <c r="F19" s="188"/>
      <c r="G19" s="188"/>
      <c r="H19" s="188"/>
      <c r="I19" s="188"/>
      <c r="J19" s="188"/>
      <c r="K19" s="188"/>
      <c r="L19" s="188"/>
      <c r="M19" s="188"/>
      <c r="N19" s="20"/>
      <c r="O19" s="35"/>
      <c r="P19" s="20"/>
      <c r="Q19" s="20"/>
      <c r="R19" s="36"/>
    </row>
    <row r="20" spans="2:18" ht="15.75" x14ac:dyDescent="0.25">
      <c r="B20" s="11">
        <v>1</v>
      </c>
      <c r="C20" s="189" t="s">
        <v>38</v>
      </c>
      <c r="D20" s="189"/>
      <c r="E20" s="189"/>
      <c r="F20" s="209">
        <f>'MP X AKL'!G7</f>
        <v>60</v>
      </c>
      <c r="G20" s="210"/>
      <c r="H20" s="211">
        <f>VLOOKUP(R9,'L X AKL'!$B$9:$BI$43,5,)</f>
        <v>0</v>
      </c>
      <c r="I20" s="212"/>
      <c r="J20" s="211">
        <f>VLOOKUP(R9,'L X AKL'!$B$9:$BI$43,6,)</f>
        <v>0</v>
      </c>
      <c r="K20" s="212"/>
      <c r="L20" s="24">
        <f>IF(J20=0,H20,AVERAGE(H20:K20))</f>
        <v>0</v>
      </c>
      <c r="M20" s="69" t="str">
        <f>IF(F20=60,IF(AND(L20&gt;=$O$25,L20&lt;$P$25),$R$25,IF(AND(L20&gt;=$O$26,L20&lt;=$P$26),$R$26,IF(AND(L20&gt;=$O$27,L20&lt;=$P$27),$R$27,IF(AND(L20&gt;=$O$28,L20&lt;=$P$28),$R$28,IF(AND(L20&gt;=$O$29,L20&lt;=$P$29),$R$29,IF(AND(L20&gt;=$O$30,L20&lt;=$P$30),$R$30,IF(AND(L20&gt;=$O$31,L20&lt;=$P$31),$R$31,IF(AND(L20&gt;=$O$32,L20&lt;$P$32),$R$32,IF(AND(L20&gt;$O$33,L20&lt;$P$33),$R$33,IF(AND(L20&lt;=$P$34),$R$34,0)))))))))),IF(F20=70,IF(AND(L20&gt;$O$38,L20&lt;$P$38),$R$38,IF(AND(L20&gt;=$O$39,L20&lt;=$P$39),$R$39,IF(AND(L20&gt;=$O$40,L20&lt;=$P$40),$R$40,IF(AND(L20&gt;=$O$41,L20&lt;=$P$41),$R$41,IF(AND(L20&gt;=$O$42,L20&lt;=$P$42),$R$42,IF(AND(L20&gt;=$O$43,L20&lt;=$P$43),$R$43,IF(AND(L20&gt;=$O$44,L20&lt;=$P$44),$R$44,IF(AND(L20&gt;=$O$45,L20&lt;$P$45),$R$45,IF(AND(L20&gt;$O$46,L20&lt;$P$46),$R$46,IF(AND(L20&lt;=$P$47),$R$47,0))))))))))))</f>
        <v>D</v>
      </c>
      <c r="N20" s="20"/>
      <c r="O20" s="35"/>
      <c r="P20" s="20"/>
      <c r="Q20" s="20"/>
      <c r="R20" s="36"/>
    </row>
    <row r="21" spans="2:18" ht="16.5" thickBot="1" x14ac:dyDescent="0.3">
      <c r="B21" s="11">
        <v>2</v>
      </c>
      <c r="C21" s="189" t="s">
        <v>39</v>
      </c>
      <c r="D21" s="189"/>
      <c r="E21" s="189"/>
      <c r="F21" s="209">
        <f>'MP X AKL'!G8</f>
        <v>60</v>
      </c>
      <c r="G21" s="210"/>
      <c r="H21" s="211">
        <f>VLOOKUP(R9,'L X AKL'!$B$9:$BI$43,8,)</f>
        <v>0</v>
      </c>
      <c r="I21" s="212"/>
      <c r="J21" s="211">
        <f>VLOOKUP(R9,'L X AKL'!$B$9:$BI$43,9,)</f>
        <v>0</v>
      </c>
      <c r="K21" s="212"/>
      <c r="L21" s="24">
        <f t="shared" ref="L21:L25" si="0">IF(J21=0,H21,AVERAGE(H21:K21))</f>
        <v>0</v>
      </c>
      <c r="M21" s="69" t="str">
        <f t="shared" ref="M21:M25" si="1">IF(F21=60,IF(AND(L21&gt;=$O$25,L21&lt;$P$25),$R$25,IF(AND(L21&gt;=$O$26,L21&lt;=$P$26),$R$26,IF(AND(L21&gt;=$O$27,L21&lt;=$P$27),$R$27,IF(AND(L21&gt;=$O$28,L21&lt;=$P$28),$R$28,IF(AND(L21&gt;=$O$29,L21&lt;=$P$29),$R$29,IF(AND(L21&gt;=$O$30,L21&lt;=$P$30),$R$30,IF(AND(L21&gt;=$O$31,L21&lt;=$P$31),$R$31,IF(AND(L21&gt;=$O$32,L21&lt;$P$32),$R$32,IF(AND(L21&gt;$O$33,L21&lt;$P$33),$R$33,IF(AND(L21&lt;=$P$34),$R$34,0)))))))))),IF(F21=70,IF(AND(L21&gt;$O$38,L21&lt;$P$38),$R$38,IF(AND(L21&gt;=$O$39,L21&lt;=$P$39),$R$39,IF(AND(L21&gt;=$O$40,L21&lt;=$P$40),$R$40,IF(AND(L21&gt;=$O$41,L21&lt;=$P$41),$R$41,IF(AND(L21&gt;=$O$42,L21&lt;=$P$42),$R$42,IF(AND(L21&gt;=$O$43,L21&lt;=$P$43),$R$43,IF(AND(L21&gt;=$O$44,L21&lt;=$P$44),$R$44,IF(AND(L21&gt;=$O$45,L21&lt;$P$45),$R$45,IF(AND(L21&gt;$O$46,L21&lt;$P$46),$R$46,IF(AND(L21&lt;=$P$47),$R$47,0))))))))))))</f>
        <v>D</v>
      </c>
      <c r="N21" s="20"/>
      <c r="O21" s="37"/>
      <c r="P21" s="38"/>
      <c r="Q21" s="38"/>
      <c r="R21" s="39"/>
    </row>
    <row r="22" spans="2:18" ht="16.5" thickBot="1" x14ac:dyDescent="0.3">
      <c r="B22" s="11">
        <v>3</v>
      </c>
      <c r="C22" s="189" t="s">
        <v>40</v>
      </c>
      <c r="D22" s="189"/>
      <c r="E22" s="189"/>
      <c r="F22" s="209">
        <f>'MP X AKL'!G9</f>
        <v>60</v>
      </c>
      <c r="G22" s="210"/>
      <c r="H22" s="211">
        <f>VLOOKUP(R9,'L X AKL'!$B$9:$BI$43,11,)</f>
        <v>0</v>
      </c>
      <c r="I22" s="212"/>
      <c r="J22" s="211">
        <f>VLOOKUP(R9,'L X AKL'!$B$9:$BI$43,12,)</f>
        <v>0</v>
      </c>
      <c r="K22" s="212"/>
      <c r="L22" s="24">
        <f t="shared" si="0"/>
        <v>0</v>
      </c>
      <c r="M22" s="69" t="str">
        <f t="shared" si="1"/>
        <v>D</v>
      </c>
      <c r="N22" s="20"/>
      <c r="O22" s="20"/>
      <c r="P22" s="20"/>
      <c r="Q22" s="20"/>
      <c r="R22" s="20"/>
    </row>
    <row r="23" spans="2:18" ht="15.75" x14ac:dyDescent="0.25">
      <c r="B23" s="11">
        <v>4</v>
      </c>
      <c r="C23" s="187" t="s">
        <v>41</v>
      </c>
      <c r="D23" s="187"/>
      <c r="E23" s="187"/>
      <c r="F23" s="209">
        <f>'MP X AKL'!G10</f>
        <v>60</v>
      </c>
      <c r="G23" s="210"/>
      <c r="H23" s="211">
        <f>VLOOKUP(R9,'L X AKL'!$B$9:$BI$43,14,)</f>
        <v>0</v>
      </c>
      <c r="I23" s="212"/>
      <c r="J23" s="211">
        <f>VLOOKUP(R9,'L X AKL'!$B$9:$BI$43,15,)</f>
        <v>0</v>
      </c>
      <c r="K23" s="212"/>
      <c r="L23" s="24">
        <f t="shared" si="0"/>
        <v>0</v>
      </c>
      <c r="M23" s="69" t="str">
        <f t="shared" si="1"/>
        <v>D</v>
      </c>
      <c r="O23" s="217" t="s">
        <v>139</v>
      </c>
      <c r="P23" s="220"/>
      <c r="Q23" s="220"/>
      <c r="R23" s="221"/>
    </row>
    <row r="24" spans="2:18" ht="16.5" thickBot="1" x14ac:dyDescent="0.3">
      <c r="B24" s="11">
        <v>5</v>
      </c>
      <c r="C24" s="187" t="s">
        <v>42</v>
      </c>
      <c r="D24" s="187"/>
      <c r="E24" s="187"/>
      <c r="F24" s="209">
        <f>'MP X AKL'!G11</f>
        <v>60</v>
      </c>
      <c r="G24" s="210"/>
      <c r="H24" s="211">
        <f>VLOOKUP(R9,'L X AKL'!$B$9:$BI$43,17,)</f>
        <v>0</v>
      </c>
      <c r="I24" s="212"/>
      <c r="J24" s="211">
        <f>VLOOKUP(R9,'L X AKL'!$B$9:$BI$43,18,)</f>
        <v>0</v>
      </c>
      <c r="K24" s="212"/>
      <c r="L24" s="24">
        <f t="shared" si="0"/>
        <v>0</v>
      </c>
      <c r="M24" s="69" t="str">
        <f t="shared" si="1"/>
        <v>D</v>
      </c>
      <c r="O24" s="28" t="s">
        <v>141</v>
      </c>
      <c r="P24" s="29" t="s">
        <v>142</v>
      </c>
      <c r="Q24" s="29"/>
      <c r="R24" s="30" t="s">
        <v>138</v>
      </c>
    </row>
    <row r="25" spans="2:18" ht="15.75" x14ac:dyDescent="0.25">
      <c r="B25" s="11">
        <v>6</v>
      </c>
      <c r="C25" s="187" t="s">
        <v>43</v>
      </c>
      <c r="D25" s="187"/>
      <c r="E25" s="187"/>
      <c r="F25" s="209">
        <f>'MP X AKL'!G12</f>
        <v>60</v>
      </c>
      <c r="G25" s="210"/>
      <c r="H25" s="211">
        <f>VLOOKUP(R9,'L X AKL'!$B$9:$BI$43,20,)</f>
        <v>0</v>
      </c>
      <c r="I25" s="212"/>
      <c r="J25" s="211">
        <f>VLOOKUP(R9,'L X AKL'!$B$9:$BI$43,21,)</f>
        <v>0</v>
      </c>
      <c r="K25" s="212"/>
      <c r="L25" s="24">
        <f t="shared" si="0"/>
        <v>0</v>
      </c>
      <c r="M25" s="69" t="str">
        <f t="shared" si="1"/>
        <v>D</v>
      </c>
      <c r="O25" s="40">
        <v>95</v>
      </c>
      <c r="P25" s="41">
        <v>100</v>
      </c>
      <c r="Q25" s="31" t="s">
        <v>6</v>
      </c>
      <c r="R25" s="32" t="s">
        <v>137</v>
      </c>
    </row>
    <row r="26" spans="2:18" ht="15.75" x14ac:dyDescent="0.25">
      <c r="B26" s="188" t="s">
        <v>44</v>
      </c>
      <c r="C26" s="188"/>
      <c r="D26" s="188"/>
      <c r="E26" s="188"/>
      <c r="F26" s="188"/>
      <c r="G26" s="188"/>
      <c r="H26" s="188"/>
      <c r="I26" s="188"/>
      <c r="J26" s="188"/>
      <c r="K26" s="188"/>
      <c r="L26" s="188"/>
      <c r="M26" s="188"/>
      <c r="O26" s="42">
        <v>90</v>
      </c>
      <c r="P26" s="110">
        <v>94.99</v>
      </c>
      <c r="Q26" s="33" t="s">
        <v>6</v>
      </c>
      <c r="R26" s="34" t="s">
        <v>136</v>
      </c>
    </row>
    <row r="27" spans="2:18" ht="15.75" customHeight="1" x14ac:dyDescent="0.25">
      <c r="B27" s="13">
        <v>1</v>
      </c>
      <c r="C27" s="187" t="s">
        <v>45</v>
      </c>
      <c r="D27" s="187"/>
      <c r="E27" s="187"/>
      <c r="F27" s="209">
        <f>'MP X AKL'!G14</f>
        <v>70</v>
      </c>
      <c r="G27" s="210"/>
      <c r="H27" s="211">
        <f>VLOOKUP(R9,'L X AKL'!$B$9:$BI$43,23,)</f>
        <v>0</v>
      </c>
      <c r="I27" s="212"/>
      <c r="J27" s="211">
        <f>VLOOKUP(R9,'L X AKL'!$B$9:$BI$43,24,)</f>
        <v>0</v>
      </c>
      <c r="K27" s="212"/>
      <c r="L27" s="24">
        <f>IF(J27=0,H27,AVERAGE(H27:K27))</f>
        <v>0</v>
      </c>
      <c r="M27" s="14" t="str">
        <f>IF(F27=60,IF(AND(L27&gt;=$O$25,L27&lt;$P$25),$R$25,IF(AND(L27&gt;=$O$26,L27&lt;=$P$26),$R$26,IF(AND(L27&gt;=$O$27,L27&lt;=$P$27),$R$27,IF(AND(L27&gt;=$O$28,L27&lt;=$P$28),$R$28,IF(AND(L27&gt;=$O$29,L27&lt;=$P$29),$R$29,IF(AND(L27&gt;=$O$30,L27&lt;=$P$30),$R$30,IF(AND(L27&gt;=$O$31,L27&lt;=$P$31),$R$31,IF(AND(L27&gt;=$O$32,L27&lt;$P$32),$R$32,IF(AND(L27&gt;$O$33,L27&lt;$P$33),$R$33,IF(AND(L27&lt;=$P$34),$R$34,0)))))))))),IF(F27=70,IF(AND(L27&gt;$O$38,L27&lt;$P$38),$R$38,IF(AND(L27&gt;=$O$39,L27&lt;=$P$39),$R$39,IF(AND(L27&gt;=$O$40,L27&lt;=$P$40),$R$40,IF(AND(L27&gt;=$O$41,L27&lt;=$P$41),$R$41,IF(AND(L27&gt;=$O$42,L27&lt;=$P$42),$R$42,IF(AND(L27&gt;=$O$43,L27&lt;=$P$43),$R$43,IF(AND(L27&gt;=$O$44,L27&lt;=$P$44),$R$44,IF(AND(L27&gt;=$O$45,L27&lt;$P$45),$R$45,IF(AND(L27&gt;$O$46,L27&lt;$P$46),$R$46,IF(AND(L27&lt;=$P$47),$R$47,0))))))))))))</f>
        <v>D</v>
      </c>
      <c r="O27" s="42">
        <v>85</v>
      </c>
      <c r="P27" s="110">
        <v>89.99</v>
      </c>
      <c r="Q27" s="33" t="s">
        <v>6</v>
      </c>
      <c r="R27" s="34" t="s">
        <v>135</v>
      </c>
    </row>
    <row r="28" spans="2:18" ht="15.75" x14ac:dyDescent="0.25">
      <c r="B28" s="13">
        <v>2</v>
      </c>
      <c r="C28" s="187" t="s">
        <v>46</v>
      </c>
      <c r="D28" s="187"/>
      <c r="E28" s="187"/>
      <c r="F28" s="209">
        <f>'MP X AKL'!G15</f>
        <v>60</v>
      </c>
      <c r="G28" s="210"/>
      <c r="H28" s="211">
        <f>VLOOKUP(R9,'L X AKL'!$B$9:$BI$43,26,)</f>
        <v>0</v>
      </c>
      <c r="I28" s="212"/>
      <c r="J28" s="211">
        <f>VLOOKUP(R9,'L X AKL'!$B$9:$BI$43,27,)</f>
        <v>0</v>
      </c>
      <c r="K28" s="212"/>
      <c r="L28" s="24">
        <f t="shared" ref="L28:L30" si="2">IF(J28=0,H28,AVERAGE(H28:K28))</f>
        <v>0</v>
      </c>
      <c r="M28" s="14" t="str">
        <f t="shared" ref="M28:M30" si="3">IF(F28=60,IF(AND(L28&gt;=$O$25,L28&lt;$P$25),$R$25,IF(AND(L28&gt;=$O$26,L28&lt;=$P$26),$R$26,IF(AND(L28&gt;=$O$27,L28&lt;=$P$27),$R$27,IF(AND(L28&gt;=$O$28,L28&lt;=$P$28),$R$28,IF(AND(L28&gt;=$O$29,L28&lt;=$P$29),$R$29,IF(AND(L28&gt;=$O$30,L28&lt;=$P$30),$R$30,IF(AND(L28&gt;=$O$31,L28&lt;=$P$31),$R$31,IF(AND(L28&gt;=$O$32,L28&lt;$P$32),$R$32,IF(AND(L28&gt;$O$33,L28&lt;$P$33),$R$33,IF(AND(L28&lt;=$P$34),$R$34,0)))))))))),IF(F28=70,IF(AND(L28&gt;$O$38,L28&lt;$P$38),$R$38,IF(AND(L28&gt;=$O$39,L28&lt;=$P$39),$R$39,IF(AND(L28&gt;=$O$40,L28&lt;=$P$40),$R$40,IF(AND(L28&gt;=$O$41,L28&lt;=$P$41),$R$41,IF(AND(L28&gt;=$O$42,L28&lt;=$P$42),$R$42,IF(AND(L28&gt;=$O$43,L28&lt;=$P$43),$R$43,IF(AND(L28&gt;=$O$44,L28&lt;=$P$44),$R$44,IF(AND(L28&gt;=$O$45,L28&lt;$P$45),$R$45,IF(AND(L28&gt;$O$46,L28&lt;$P$46),$R$46,IF(AND(L28&lt;=$P$47),$R$47,0))))))))))))</f>
        <v>D</v>
      </c>
      <c r="O28" s="42">
        <v>80</v>
      </c>
      <c r="P28" s="110">
        <v>84.99</v>
      </c>
      <c r="Q28" s="33" t="s">
        <v>6</v>
      </c>
      <c r="R28" s="34" t="s">
        <v>134</v>
      </c>
    </row>
    <row r="29" spans="2:18" ht="15.75" x14ac:dyDescent="0.25">
      <c r="B29" s="13">
        <v>3</v>
      </c>
      <c r="C29" s="187" t="s">
        <v>47</v>
      </c>
      <c r="D29" s="187"/>
      <c r="E29" s="187"/>
      <c r="F29" s="209">
        <f>'MP X AKL'!G16</f>
        <v>60</v>
      </c>
      <c r="G29" s="210"/>
      <c r="H29" s="211">
        <f>VLOOKUP(R9,'L X AKL'!$B$9:$BI$43,29,)</f>
        <v>0</v>
      </c>
      <c r="I29" s="212"/>
      <c r="J29" s="211">
        <f>VLOOKUP(R9,'L X AKL'!$B$9:$BI$43,30,)</f>
        <v>0</v>
      </c>
      <c r="K29" s="212"/>
      <c r="L29" s="24">
        <f t="shared" si="2"/>
        <v>0</v>
      </c>
      <c r="M29" s="14" t="str">
        <f t="shared" si="3"/>
        <v>D</v>
      </c>
      <c r="O29" s="42">
        <v>75</v>
      </c>
      <c r="P29" s="110">
        <v>79.989999999999995</v>
      </c>
      <c r="Q29" s="33" t="s">
        <v>6</v>
      </c>
      <c r="R29" s="34" t="s">
        <v>118</v>
      </c>
    </row>
    <row r="30" spans="2:18" ht="15.75" x14ac:dyDescent="0.25">
      <c r="B30" s="13">
        <v>4</v>
      </c>
      <c r="C30" s="187" t="s">
        <v>48</v>
      </c>
      <c r="D30" s="187"/>
      <c r="E30" s="187"/>
      <c r="F30" s="209">
        <f>'MP X AKL'!G17</f>
        <v>60</v>
      </c>
      <c r="G30" s="210"/>
      <c r="H30" s="211">
        <f>VLOOKUP(R9,'L X AKL'!$B$9:$BI$43,32,)</f>
        <v>0</v>
      </c>
      <c r="I30" s="212"/>
      <c r="J30" s="211">
        <f>VLOOKUP(R9,'L X AKL'!$B$9:$BI$43,33,)</f>
        <v>0</v>
      </c>
      <c r="K30" s="212"/>
      <c r="L30" s="24">
        <f t="shared" si="2"/>
        <v>0</v>
      </c>
      <c r="M30" s="14" t="str">
        <f t="shared" si="3"/>
        <v>D</v>
      </c>
      <c r="O30" s="42">
        <v>70</v>
      </c>
      <c r="P30" s="110">
        <v>74.989999999999995</v>
      </c>
      <c r="Q30" s="33" t="s">
        <v>6</v>
      </c>
      <c r="R30" s="34" t="s">
        <v>133</v>
      </c>
    </row>
    <row r="31" spans="2:18" ht="15.75" x14ac:dyDescent="0.25">
      <c r="B31" s="188" t="s">
        <v>49</v>
      </c>
      <c r="C31" s="188"/>
      <c r="D31" s="188"/>
      <c r="E31" s="188"/>
      <c r="F31" s="188"/>
      <c r="G31" s="188"/>
      <c r="H31" s="188"/>
      <c r="I31" s="188"/>
      <c r="J31" s="188"/>
      <c r="K31" s="188"/>
      <c r="L31" s="188"/>
      <c r="M31" s="188"/>
      <c r="O31" s="42">
        <v>65</v>
      </c>
      <c r="P31" s="110">
        <v>69.989999999999995</v>
      </c>
      <c r="Q31" s="33" t="s">
        <v>6</v>
      </c>
      <c r="R31" s="34" t="s">
        <v>132</v>
      </c>
    </row>
    <row r="32" spans="2:18" ht="15.75" x14ac:dyDescent="0.25">
      <c r="B32" s="188" t="s">
        <v>50</v>
      </c>
      <c r="C32" s="188"/>
      <c r="D32" s="188"/>
      <c r="E32" s="188"/>
      <c r="F32" s="188"/>
      <c r="G32" s="188"/>
      <c r="H32" s="188"/>
      <c r="I32" s="188"/>
      <c r="J32" s="188"/>
      <c r="K32" s="188"/>
      <c r="L32" s="188"/>
      <c r="M32" s="188"/>
      <c r="O32" s="42">
        <v>60</v>
      </c>
      <c r="P32" s="110">
        <v>64.989999999999995</v>
      </c>
      <c r="Q32" s="33" t="s">
        <v>6</v>
      </c>
      <c r="R32" s="34" t="s">
        <v>131</v>
      </c>
    </row>
    <row r="33" spans="2:18" ht="15.75" customHeight="1" x14ac:dyDescent="0.25">
      <c r="B33" s="13">
        <v>1</v>
      </c>
      <c r="C33" s="187" t="s">
        <v>51</v>
      </c>
      <c r="D33" s="187"/>
      <c r="E33" s="187"/>
      <c r="F33" s="209">
        <f>'MP X AKL'!G20</f>
        <v>60</v>
      </c>
      <c r="G33" s="210"/>
      <c r="H33" s="211">
        <f>VLOOKUP(R9,'L X AKL'!$B$9:$BI$43,35,)</f>
        <v>0</v>
      </c>
      <c r="I33" s="212"/>
      <c r="J33" s="211">
        <f>VLOOKUP(R9,'L X AKL'!$B$9:$BI$43,36,)</f>
        <v>0</v>
      </c>
      <c r="K33" s="212"/>
      <c r="L33" s="24">
        <f>IF(J33=0,H33,AVERAGE(H33:K33))</f>
        <v>0</v>
      </c>
      <c r="M33" s="69" t="str">
        <f>IF(F33=60,IF(AND(L33&gt;=$O$25,L33&lt;$P$25),$R$25,IF(AND(L33&gt;=$O$26,L33&lt;=$P$26),$R$26,IF(AND(L33&gt;=$O$27,L33&lt;=$P$27),$R$27,IF(AND(L33&gt;=$O$28,L33&lt;=$P$28),$R$28,IF(AND(L33&gt;=$O$29,L33&lt;=$P$29),$R$29,IF(AND(L33&gt;=$O$30,L33&lt;=$P$30),$R$30,IF(AND(L33&gt;=$O$31,L33&lt;=$P$31),$R$31,IF(AND(L33&gt;=$O$32,L33&lt;$P$32),$R$32,IF(AND(L33&gt;$O$33,L33&lt;$P$33),$R$33,IF(AND(L33&lt;=$P$34),$R$34,0)))))))))),IF(F33=70,IF(AND(L33&gt;$O$38,L33&lt;$P$38),$R$38,IF(AND(L33&gt;=$O$39,L33&lt;=$P$39),$R$39,IF(AND(L33&gt;=$O$40,L33&lt;=$P$40),$R$40,IF(AND(L33&gt;=$O$41,L33&lt;=$P$41),$R$41,IF(AND(L33&gt;=$O$42,L33&lt;=$P$42),$R$42,IF(AND(L33&gt;=$O$43,L33&lt;=$P$43),$R$43,IF(AND(L33&gt;=$O$44,L33&lt;=$P$44),$R$44,IF(AND(L33&gt;=$O$45,L33&lt;$P$45),$R$45,IF(AND(L33&gt;$O$46,L33&lt;$P$46),$R$46,IF(AND(L33&lt;=$P$47),$R$47,0))))))))))))</f>
        <v>D</v>
      </c>
      <c r="O33" s="42">
        <v>55</v>
      </c>
      <c r="P33" s="110">
        <v>59.99</v>
      </c>
      <c r="Q33" s="33" t="s">
        <v>6</v>
      </c>
      <c r="R33" s="34" t="s">
        <v>130</v>
      </c>
    </row>
    <row r="34" spans="2:18" ht="16.5" thickBot="1" x14ac:dyDescent="0.3">
      <c r="B34" s="13">
        <v>2</v>
      </c>
      <c r="C34" s="183" t="s">
        <v>52</v>
      </c>
      <c r="D34" s="183"/>
      <c r="E34" s="183"/>
      <c r="F34" s="209">
        <f>'MP X AKL'!G21</f>
        <v>60</v>
      </c>
      <c r="G34" s="210"/>
      <c r="H34" s="211">
        <f>VLOOKUP(R9,'L X AKL'!$B$9:$BI$43,38,)</f>
        <v>0</v>
      </c>
      <c r="I34" s="212"/>
      <c r="J34" s="211">
        <f>VLOOKUP(R9,'L X AKL'!$B$9:$BI$43,39,)</f>
        <v>0</v>
      </c>
      <c r="K34" s="212"/>
      <c r="L34" s="24">
        <f t="shared" ref="L34:L36" si="4">IF(J34=0,H34,AVERAGE(H34:K34))</f>
        <v>0</v>
      </c>
      <c r="M34" s="69" t="str">
        <f t="shared" ref="M34:M36" si="5">IF(F34=60,IF(AND(L34&gt;=$O$25,L34&lt;$P$25),$R$25,IF(AND(L34&gt;=$O$26,L34&lt;=$P$26),$R$26,IF(AND(L34&gt;=$O$27,L34&lt;=$P$27),$R$27,IF(AND(L34&gt;=$O$28,L34&lt;=$P$28),$R$28,IF(AND(L34&gt;=$O$29,L34&lt;=$P$29),$R$29,IF(AND(L34&gt;=$O$30,L34&lt;=$P$30),$R$30,IF(AND(L34&gt;=$O$31,L34&lt;=$P$31),$R$31,IF(AND(L34&gt;=$O$32,L34&lt;$P$32),$R$32,IF(AND(L34&gt;$O$33,L34&lt;$P$33),$R$33,IF(AND(L34&lt;=$P$34),$R$34,0)))))))))),IF(F34=70,IF(AND(L34&gt;$O$38,L34&lt;$P$38),$R$38,IF(AND(L34&gt;=$O$39,L34&lt;=$P$39),$R$39,IF(AND(L34&gt;=$O$40,L34&lt;=$P$40),$R$40,IF(AND(L34&gt;=$O$41,L34&lt;=$P$41),$R$41,IF(AND(L34&gt;=$O$42,L34&lt;=$P$42),$R$42,IF(AND(L34&gt;=$O$43,L34&lt;=$P$43),$R$43,IF(AND(L34&gt;=$O$44,L34&lt;=$P$44),$R$44,IF(AND(L34&gt;=$O$45,L34&lt;$P$45),$R$45,IF(AND(L34&gt;$O$46,L34&lt;$P$46),$R$46,IF(AND(L34&lt;=$P$47),$R$47,0))))))))))))</f>
        <v>D</v>
      </c>
      <c r="O34" s="43">
        <v>50</v>
      </c>
      <c r="P34" s="111">
        <v>54.99</v>
      </c>
      <c r="Q34" s="29" t="s">
        <v>6</v>
      </c>
      <c r="R34" s="30" t="s">
        <v>129</v>
      </c>
    </row>
    <row r="35" spans="2:18" ht="16.5" thickBot="1" x14ac:dyDescent="0.3">
      <c r="B35" s="13">
        <v>3</v>
      </c>
      <c r="C35" s="183" t="s">
        <v>53</v>
      </c>
      <c r="D35" s="183"/>
      <c r="E35" s="183"/>
      <c r="F35" s="209">
        <f>'MP X AKL'!G22</f>
        <v>60</v>
      </c>
      <c r="G35" s="210"/>
      <c r="H35" s="211">
        <f>VLOOKUP(R9,'L X AKL'!$B$9:$BI$43,42,)</f>
        <v>0</v>
      </c>
      <c r="I35" s="212"/>
      <c r="J35" s="211">
        <f>VLOOKUP(R9,'L X AKL'!$B$9:$BI$43,42,)</f>
        <v>0</v>
      </c>
      <c r="K35" s="212"/>
      <c r="L35" s="24">
        <f t="shared" si="4"/>
        <v>0</v>
      </c>
      <c r="M35" s="69" t="str">
        <f t="shared" si="5"/>
        <v>D</v>
      </c>
    </row>
    <row r="36" spans="2:18" ht="15.75" x14ac:dyDescent="0.25">
      <c r="B36" s="13">
        <v>4</v>
      </c>
      <c r="C36" s="187" t="s">
        <v>54</v>
      </c>
      <c r="D36" s="187"/>
      <c r="E36" s="187"/>
      <c r="F36" s="209">
        <f>'MP X AKL'!G23</f>
        <v>60</v>
      </c>
      <c r="G36" s="210"/>
      <c r="H36" s="211">
        <f>VLOOKUP(R9,'L X AKL'!$B$9:$BI$43,44,)</f>
        <v>0</v>
      </c>
      <c r="I36" s="212"/>
      <c r="J36" s="211">
        <f>VLOOKUP(R9,'L X AKL'!$B$9:$BI$43,45,)</f>
        <v>0</v>
      </c>
      <c r="K36" s="212"/>
      <c r="L36" s="24">
        <f t="shared" si="4"/>
        <v>0</v>
      </c>
      <c r="M36" s="69" t="str">
        <f t="shared" si="5"/>
        <v>D</v>
      </c>
      <c r="O36" s="217" t="s">
        <v>140</v>
      </c>
      <c r="P36" s="218"/>
      <c r="Q36" s="218"/>
      <c r="R36" s="219"/>
    </row>
    <row r="37" spans="2:18" ht="16.5" thickBot="1" x14ac:dyDescent="0.3">
      <c r="B37" s="188" t="s">
        <v>55</v>
      </c>
      <c r="C37" s="188"/>
      <c r="D37" s="188"/>
      <c r="E37" s="188"/>
      <c r="F37" s="188"/>
      <c r="G37" s="188"/>
      <c r="H37" s="188"/>
      <c r="I37" s="188"/>
      <c r="J37" s="188"/>
      <c r="K37" s="188"/>
      <c r="L37" s="188"/>
      <c r="M37" s="188"/>
      <c r="O37" s="28" t="s">
        <v>141</v>
      </c>
      <c r="P37" s="29" t="s">
        <v>142</v>
      </c>
      <c r="Q37" s="29"/>
      <c r="R37" s="30" t="s">
        <v>138</v>
      </c>
    </row>
    <row r="38" spans="2:18" ht="15.75" x14ac:dyDescent="0.25">
      <c r="B38" s="13">
        <v>1</v>
      </c>
      <c r="C38" s="183" t="s">
        <v>56</v>
      </c>
      <c r="D38" s="183"/>
      <c r="E38" s="183"/>
      <c r="F38" s="209">
        <f>'MP X AKL'!G25</f>
        <v>70</v>
      </c>
      <c r="G38" s="210"/>
      <c r="H38" s="211">
        <f>VLOOKUP(R9,'L X AKL'!$B$9:$BI$43,47,)</f>
        <v>0</v>
      </c>
      <c r="I38" s="212"/>
      <c r="J38" s="211">
        <f>VLOOKUP(R9,'L X AKL'!$B$9:$BI$43,48,)</f>
        <v>0</v>
      </c>
      <c r="K38" s="212"/>
      <c r="L38" s="24">
        <f>IF(J38=0,H38,AVERAGE(H38:K38))</f>
        <v>0</v>
      </c>
      <c r="M38" s="69" t="str">
        <f>IF(F38=60,IF(AND(L38&gt;=$O$25,L38&lt;$P$25),$R$25,IF(AND(L38&gt;=$O$26,L38&lt;=$P$26),$R$26,IF(AND(L38&gt;=$O$27,L38&lt;=$P$27),$R$27,IF(AND(L38&gt;=$O$28,L38&lt;=$P$28),$R$28,IF(AND(L38&gt;=$O$29,L38&lt;=$P$29),$R$29,IF(AND(L38&gt;=$O$30,L38&lt;=$P$30),$R$30,IF(AND(L38&gt;=$O$31,L38&lt;=$P$31),$R$31,IF(AND(L38&gt;=$O$32,L38&lt;$P$32),$R$32,IF(AND(L38&gt;$O$33,L38&lt;$P$33),$R$33,IF(AND(L38&lt;=$P$34),$R$34,0)))))))))),IF(F38=70,IF(AND(L38&gt;$O$38,L38&lt;$P$38),$R$38,IF(AND(L38&gt;=$O$39,L38&lt;=$P$39),$R$39,IF(AND(L38&gt;=$O$40,L38&lt;=$P$40),$R$40,IF(AND(L38&gt;=$O$41,L38&lt;=$P$41),$R$41,IF(AND(L38&gt;=$O$42,L38&lt;=$P$42),$R$42,IF(AND(L38&gt;=$O$43,L38&lt;=$P$43),$R$43,IF(AND(L38&gt;=$O$44,L38&lt;=$P$44),$R$44,IF(AND(L38&gt;=$O$45,L38&lt;$P$45),$R$45,IF(AND(L38&gt;$O$46,L38&lt;$P$46),$R$46,IF(AND(L38&lt;=$P$47),$R$47,0))))))))))))</f>
        <v>D</v>
      </c>
      <c r="O38" s="44">
        <v>98</v>
      </c>
      <c r="P38" s="45">
        <v>100</v>
      </c>
      <c r="Q38" s="31" t="s">
        <v>6</v>
      </c>
      <c r="R38" s="32" t="s">
        <v>137</v>
      </c>
    </row>
    <row r="39" spans="2:18" ht="15.75" x14ac:dyDescent="0.25">
      <c r="B39" s="13">
        <v>2</v>
      </c>
      <c r="C39" s="183" t="s">
        <v>57</v>
      </c>
      <c r="D39" s="183"/>
      <c r="E39" s="183"/>
      <c r="F39" s="209">
        <f>'MP X AKL'!G26</f>
        <v>70</v>
      </c>
      <c r="G39" s="210"/>
      <c r="H39" s="211">
        <f>VLOOKUP(R9,'L X AKL'!$B$9:$BI$43,50,)</f>
        <v>0</v>
      </c>
      <c r="I39" s="212"/>
      <c r="J39" s="211">
        <f>VLOOKUP(R9,'L X AKL'!$B$9:$BI$43,51,)</f>
        <v>0</v>
      </c>
      <c r="K39" s="212"/>
      <c r="L39" s="24">
        <f t="shared" ref="L39:L41" si="6">IF(J39=0,H39,AVERAGE(H39:K39))</f>
        <v>0</v>
      </c>
      <c r="M39" s="69" t="str">
        <f t="shared" ref="M39:M41" si="7">IF(F39=60,IF(AND(L39&gt;=$O$25,L39&lt;$P$25),$R$25,IF(AND(L39&gt;=$O$26,L39&lt;=$P$26),$R$26,IF(AND(L39&gt;=$O$27,L39&lt;=$P$27),$R$27,IF(AND(L39&gt;=$O$28,L39&lt;=$P$28),$R$28,IF(AND(L39&gt;=$O$29,L39&lt;=$P$29),$R$29,IF(AND(L39&gt;=$O$30,L39&lt;=$P$30),$R$30,IF(AND(L39&gt;=$O$31,L39&lt;=$P$31),$R$31,IF(AND(L39&gt;=$O$32,L39&lt;$P$32),$R$32,IF(AND(L39&gt;$O$33,L39&lt;$P$33),$R$33,IF(AND(L39&lt;=$P$34),$R$34,0)))))))))),IF(F39=70,IF(AND(L39&gt;$O$38,L39&lt;$P$38),$R$38,IF(AND(L39&gt;=$O$39,L39&lt;=$P$39),$R$39,IF(AND(L39&gt;=$O$40,L39&lt;=$P$40),$R$40,IF(AND(L39&gt;=$O$41,L39&lt;=$P$41),$R$41,IF(AND(L39&gt;=$O$42,L39&lt;=$P$42),$R$42,IF(AND(L39&gt;=$O$43,L39&lt;=$P$43),$R$43,IF(AND(L39&gt;=$O$44,L39&lt;=$P$44),$R$44,IF(AND(L39&gt;=$O$45,L39&lt;$P$45),$R$45,IF(AND(L39&gt;$O$46,L39&lt;$P$46),$R$46,IF(AND(L39&lt;=$P$47),$R$47,0))))))))))))</f>
        <v>D</v>
      </c>
      <c r="O39" s="46">
        <v>94</v>
      </c>
      <c r="P39" s="47">
        <v>97.99</v>
      </c>
      <c r="Q39" s="33" t="s">
        <v>6</v>
      </c>
      <c r="R39" s="34" t="s">
        <v>136</v>
      </c>
    </row>
    <row r="40" spans="2:18" ht="15.75" x14ac:dyDescent="0.25">
      <c r="B40" s="13">
        <v>3</v>
      </c>
      <c r="C40" s="183" t="s">
        <v>58</v>
      </c>
      <c r="D40" s="183"/>
      <c r="E40" s="183"/>
      <c r="F40" s="209">
        <f>'MP X AKL'!G27</f>
        <v>70</v>
      </c>
      <c r="G40" s="210"/>
      <c r="H40" s="211">
        <f>VLOOKUP(R9,'L X AKL'!$B$9:$BI$43,53,)</f>
        <v>0</v>
      </c>
      <c r="I40" s="212"/>
      <c r="J40" s="211">
        <f>VLOOKUP(R9,'L X AKL'!$B$9:$BI$43,54,)</f>
        <v>0</v>
      </c>
      <c r="K40" s="212"/>
      <c r="L40" s="24">
        <f t="shared" si="6"/>
        <v>0</v>
      </c>
      <c r="M40" s="69" t="str">
        <f t="shared" si="7"/>
        <v>D</v>
      </c>
      <c r="O40" s="46">
        <v>90</v>
      </c>
      <c r="P40" s="47">
        <v>93.99</v>
      </c>
      <c r="Q40" s="33" t="s">
        <v>6</v>
      </c>
      <c r="R40" s="34" t="s">
        <v>135</v>
      </c>
    </row>
    <row r="41" spans="2:18" ht="15.75" x14ac:dyDescent="0.25">
      <c r="B41" s="13">
        <v>4</v>
      </c>
      <c r="C41" s="183" t="s">
        <v>59</v>
      </c>
      <c r="D41" s="183"/>
      <c r="E41" s="183"/>
      <c r="F41" s="209">
        <f>'MP X AKL'!G28</f>
        <v>70</v>
      </c>
      <c r="G41" s="210"/>
      <c r="H41" s="211">
        <f>VLOOKUP(R9,'L X AKL'!$B$9:$BI$43,56,)</f>
        <v>0</v>
      </c>
      <c r="I41" s="212"/>
      <c r="J41" s="211">
        <f>VLOOKUP(R9,'L X AKL'!$B$9:$BI$43,57,)</f>
        <v>0</v>
      </c>
      <c r="K41" s="212"/>
      <c r="L41" s="24">
        <f t="shared" si="6"/>
        <v>0</v>
      </c>
      <c r="M41" s="69" t="str">
        <f t="shared" si="7"/>
        <v>D</v>
      </c>
      <c r="O41" s="46">
        <v>86</v>
      </c>
      <c r="P41" s="47">
        <v>89.99</v>
      </c>
      <c r="Q41" s="33" t="s">
        <v>6</v>
      </c>
      <c r="R41" s="34" t="s">
        <v>134</v>
      </c>
    </row>
    <row r="42" spans="2:18" ht="15.75" x14ac:dyDescent="0.25">
      <c r="B42" s="213" t="s">
        <v>60</v>
      </c>
      <c r="C42" s="214"/>
      <c r="D42" s="214"/>
      <c r="E42" s="214"/>
      <c r="F42" s="214"/>
      <c r="G42" s="215"/>
      <c r="H42" s="216">
        <f>VLOOKUP(R9,'L X AKL'!$B$9:$BI$43,59,)</f>
        <v>0</v>
      </c>
      <c r="I42" s="216"/>
      <c r="J42" s="216"/>
      <c r="K42" s="216"/>
      <c r="L42" s="216"/>
      <c r="M42" s="216"/>
      <c r="O42" s="46">
        <v>82</v>
      </c>
      <c r="P42" s="47">
        <v>85.99</v>
      </c>
      <c r="Q42" s="33" t="s">
        <v>6</v>
      </c>
      <c r="R42" s="34" t="s">
        <v>118</v>
      </c>
    </row>
    <row r="43" spans="2:18" ht="15.75" x14ac:dyDescent="0.25">
      <c r="B43" s="205" t="s">
        <v>61</v>
      </c>
      <c r="C43" s="206"/>
      <c r="D43" s="206"/>
      <c r="E43" s="206"/>
      <c r="F43" s="206"/>
      <c r="G43" s="207"/>
      <c r="H43" s="208">
        <f>VLOOKUP(R9,'L X AKL'!$B$9:$BI$43,60,)</f>
        <v>1</v>
      </c>
      <c r="I43" s="208"/>
      <c r="J43" s="208"/>
      <c r="K43" s="208"/>
      <c r="L43" s="208"/>
      <c r="M43" s="208"/>
      <c r="O43" s="46">
        <v>78</v>
      </c>
      <c r="P43" s="47">
        <v>81.99</v>
      </c>
      <c r="Q43" s="33" t="s">
        <v>6</v>
      </c>
      <c r="R43" s="34" t="s">
        <v>133</v>
      </c>
    </row>
    <row r="44" spans="2:18" ht="15.75" x14ac:dyDescent="0.25">
      <c r="B44" s="1"/>
      <c r="C44" s="1"/>
      <c r="D44" s="1"/>
      <c r="E44" s="1"/>
      <c r="F44" s="1"/>
      <c r="G44" s="1"/>
      <c r="H44" s="1"/>
      <c r="I44" s="1"/>
      <c r="J44" s="1"/>
      <c r="K44" s="1"/>
      <c r="L44" s="1"/>
      <c r="M44" s="1"/>
      <c r="O44" s="46">
        <v>74</v>
      </c>
      <c r="P44" s="47">
        <v>77.989999999999995</v>
      </c>
      <c r="Q44" s="33" t="s">
        <v>6</v>
      </c>
      <c r="R44" s="34" t="s">
        <v>132</v>
      </c>
    </row>
    <row r="45" spans="2:18" ht="15.75" x14ac:dyDescent="0.25">
      <c r="B45" s="1"/>
      <c r="C45" s="1"/>
      <c r="D45" s="1"/>
      <c r="E45" s="1"/>
      <c r="F45" s="1"/>
      <c r="G45" s="1"/>
      <c r="H45" s="203" t="str">
        <f>ID!G11</f>
        <v>31 MARET 2023</v>
      </c>
      <c r="I45" s="203"/>
      <c r="J45" s="203"/>
      <c r="K45" s="203"/>
      <c r="L45" s="203"/>
      <c r="M45" s="203"/>
      <c r="O45" s="46">
        <v>70</v>
      </c>
      <c r="P45" s="47">
        <v>73.989999999999995</v>
      </c>
      <c r="Q45" s="33" t="s">
        <v>6</v>
      </c>
      <c r="R45" s="34" t="s">
        <v>131</v>
      </c>
    </row>
    <row r="46" spans="2:18" ht="15.75" x14ac:dyDescent="0.25">
      <c r="B46" s="203" t="s">
        <v>67</v>
      </c>
      <c r="C46" s="203"/>
      <c r="D46" s="203"/>
      <c r="E46" s="203"/>
      <c r="F46" s="203"/>
      <c r="G46" s="1"/>
      <c r="H46" s="1"/>
      <c r="I46" s="1"/>
      <c r="J46" s="1"/>
      <c r="K46" s="1"/>
      <c r="L46" s="1"/>
      <c r="M46" s="1"/>
      <c r="O46" s="46">
        <v>65</v>
      </c>
      <c r="P46" s="47">
        <v>69.989999999999995</v>
      </c>
      <c r="Q46" s="33" t="s">
        <v>6</v>
      </c>
      <c r="R46" s="34" t="s">
        <v>130</v>
      </c>
    </row>
    <row r="47" spans="2:18" ht="16.5" thickBot="1" x14ac:dyDescent="0.3">
      <c r="B47" s="203" t="str">
        <f>"Kepala " &amp; ID!G5</f>
        <v>Kepala SMK Pancasila 8 Slogohimo</v>
      </c>
      <c r="C47" s="203"/>
      <c r="D47" s="203"/>
      <c r="E47" s="203"/>
      <c r="F47" s="203"/>
      <c r="G47" s="1"/>
      <c r="H47" s="203" t="s">
        <v>62</v>
      </c>
      <c r="I47" s="203"/>
      <c r="J47" s="203"/>
      <c r="K47" s="203"/>
      <c r="L47" s="203"/>
      <c r="M47" s="203"/>
      <c r="O47" s="48">
        <v>60</v>
      </c>
      <c r="P47" s="49">
        <v>64.989999999999995</v>
      </c>
      <c r="Q47" s="29" t="s">
        <v>6</v>
      </c>
      <c r="R47" s="30" t="s">
        <v>129</v>
      </c>
    </row>
    <row r="48" spans="2:18" ht="15.75" x14ac:dyDescent="0.25">
      <c r="B48" s="1"/>
      <c r="C48" s="1"/>
      <c r="D48" s="1"/>
      <c r="E48" s="1"/>
      <c r="F48" s="1"/>
      <c r="G48" s="1"/>
      <c r="H48" s="203"/>
      <c r="I48" s="203"/>
      <c r="J48" s="203"/>
      <c r="K48" s="203"/>
      <c r="L48" s="203"/>
      <c r="M48" s="203"/>
    </row>
    <row r="49" spans="2:13" ht="15.75" x14ac:dyDescent="0.25">
      <c r="B49" s="1"/>
      <c r="C49" s="1"/>
      <c r="D49" s="1"/>
      <c r="E49" s="1"/>
      <c r="F49" s="1"/>
      <c r="G49" s="1"/>
      <c r="H49" s="203"/>
      <c r="I49" s="203"/>
      <c r="J49" s="203"/>
      <c r="K49" s="203"/>
      <c r="L49" s="203"/>
      <c r="M49" s="203"/>
    </row>
    <row r="50" spans="2:13" ht="15.75" x14ac:dyDescent="0.25">
      <c r="B50" s="1"/>
      <c r="C50" s="1"/>
      <c r="D50" s="1"/>
      <c r="E50" s="1"/>
      <c r="F50" s="1"/>
      <c r="G50" s="1"/>
      <c r="H50" s="203"/>
      <c r="I50" s="203"/>
      <c r="J50" s="203"/>
      <c r="K50" s="203"/>
      <c r="L50" s="203"/>
      <c r="M50" s="203"/>
    </row>
    <row r="51" spans="2:13" ht="15.75" x14ac:dyDescent="0.25">
      <c r="B51" s="204" t="str">
        <f>ID!G6</f>
        <v>Sri Rahayu, S.Pd., SE.</v>
      </c>
      <c r="C51" s="204"/>
      <c r="D51" s="204"/>
      <c r="E51" s="204"/>
      <c r="F51" s="204"/>
      <c r="G51" s="1"/>
      <c r="H51" s="204" t="str">
        <f>ID!G10</f>
        <v>SURADI S.Pd.</v>
      </c>
      <c r="I51" s="204"/>
      <c r="J51" s="204"/>
      <c r="K51" s="204"/>
      <c r="L51" s="204"/>
      <c r="M51" s="204"/>
    </row>
    <row r="52" spans="2:13" ht="15.75" x14ac:dyDescent="0.25">
      <c r="B52" s="4"/>
      <c r="C52" s="4"/>
      <c r="D52" s="4"/>
      <c r="E52" s="4"/>
      <c r="F52" s="1"/>
      <c r="G52" s="1"/>
      <c r="H52" s="4"/>
      <c r="I52" s="4"/>
      <c r="J52" s="4"/>
      <c r="K52" s="4"/>
      <c r="L52" s="4"/>
      <c r="M52" s="4"/>
    </row>
    <row r="53" spans="2:13" ht="15.75" x14ac:dyDescent="0.25">
      <c r="B53" s="4"/>
      <c r="C53" s="4"/>
      <c r="D53" s="4"/>
      <c r="E53" s="4"/>
      <c r="F53" s="1"/>
      <c r="G53" s="1"/>
      <c r="H53" s="4"/>
      <c r="I53" s="4"/>
      <c r="J53" s="4"/>
      <c r="K53" s="4"/>
      <c r="L53" s="4"/>
      <c r="M53" s="4"/>
    </row>
    <row r="54" spans="2:13" s="21" customFormat="1" ht="7.5" customHeight="1" x14ac:dyDescent="0.25"/>
  </sheetData>
  <sheetProtection selectLockedCells="1"/>
  <mergeCells count="127">
    <mergeCell ref="D2:M2"/>
    <mergeCell ref="V2:AC2"/>
    <mergeCell ref="D3:M3"/>
    <mergeCell ref="V3:AC3"/>
    <mergeCell ref="D4:M4"/>
    <mergeCell ref="V4:AC4"/>
    <mergeCell ref="D9:M9"/>
    <mergeCell ref="P9:Q11"/>
    <mergeCell ref="R9:R11"/>
    <mergeCell ref="V9:AC9"/>
    <mergeCell ref="B10:M10"/>
    <mergeCell ref="B11:M11"/>
    <mergeCell ref="D5:M5"/>
    <mergeCell ref="V5:AC5"/>
    <mergeCell ref="D6:M6"/>
    <mergeCell ref="V6:AC6"/>
    <mergeCell ref="D7:M7"/>
    <mergeCell ref="O7:R8"/>
    <mergeCell ref="V7:AC7"/>
    <mergeCell ref="D8:M8"/>
    <mergeCell ref="V8:AC8"/>
    <mergeCell ref="B15:C15"/>
    <mergeCell ref="E15:F15"/>
    <mergeCell ref="J15:M15"/>
    <mergeCell ref="B16:C16"/>
    <mergeCell ref="E16:F16"/>
    <mergeCell ref="J16:M16"/>
    <mergeCell ref="B12:M12"/>
    <mergeCell ref="P12:Q14"/>
    <mergeCell ref="R12:R14"/>
    <mergeCell ref="B14:C14"/>
    <mergeCell ref="E14:F14"/>
    <mergeCell ref="J14:M14"/>
    <mergeCell ref="C21:E21"/>
    <mergeCell ref="F21:G21"/>
    <mergeCell ref="H21:I21"/>
    <mergeCell ref="J21:K21"/>
    <mergeCell ref="C22:E22"/>
    <mergeCell ref="F22:G22"/>
    <mergeCell ref="H22:I22"/>
    <mergeCell ref="J22:K22"/>
    <mergeCell ref="C18:E18"/>
    <mergeCell ref="F18:G18"/>
    <mergeCell ref="H18:I18"/>
    <mergeCell ref="J18:K18"/>
    <mergeCell ref="B19:M19"/>
    <mergeCell ref="C20:E20"/>
    <mergeCell ref="F20:G20"/>
    <mergeCell ref="H20:I20"/>
    <mergeCell ref="J20:K20"/>
    <mergeCell ref="C23:E23"/>
    <mergeCell ref="F23:G23"/>
    <mergeCell ref="H23:I23"/>
    <mergeCell ref="J23:K23"/>
    <mergeCell ref="O23:R23"/>
    <mergeCell ref="C24:E24"/>
    <mergeCell ref="F24:G24"/>
    <mergeCell ref="H24:I24"/>
    <mergeCell ref="J24:K24"/>
    <mergeCell ref="C28:E28"/>
    <mergeCell ref="F28:G28"/>
    <mergeCell ref="H28:I28"/>
    <mergeCell ref="J28:K28"/>
    <mergeCell ref="C29:E29"/>
    <mergeCell ref="F29:G29"/>
    <mergeCell ref="H29:I29"/>
    <mergeCell ref="J29:K29"/>
    <mergeCell ref="C25:E25"/>
    <mergeCell ref="F25:G25"/>
    <mergeCell ref="H25:I25"/>
    <mergeCell ref="J25:K25"/>
    <mergeCell ref="B26:M26"/>
    <mergeCell ref="C27:E27"/>
    <mergeCell ref="F27:G27"/>
    <mergeCell ref="H27:I27"/>
    <mergeCell ref="J27:K27"/>
    <mergeCell ref="C33:E33"/>
    <mergeCell ref="F33:G33"/>
    <mergeCell ref="H33:I33"/>
    <mergeCell ref="J33:K33"/>
    <mergeCell ref="C34:E34"/>
    <mergeCell ref="F34:G34"/>
    <mergeCell ref="H34:I34"/>
    <mergeCell ref="J34:K34"/>
    <mergeCell ref="C30:E30"/>
    <mergeCell ref="F30:G30"/>
    <mergeCell ref="H30:I30"/>
    <mergeCell ref="J30:K30"/>
    <mergeCell ref="B31:M31"/>
    <mergeCell ref="B32:M32"/>
    <mergeCell ref="O36:R36"/>
    <mergeCell ref="B37:M37"/>
    <mergeCell ref="C38:E38"/>
    <mergeCell ref="F38:G38"/>
    <mergeCell ref="H38:I38"/>
    <mergeCell ref="J38:K38"/>
    <mergeCell ref="C35:E35"/>
    <mergeCell ref="F35:G35"/>
    <mergeCell ref="H35:I35"/>
    <mergeCell ref="J35:K35"/>
    <mergeCell ref="C36:E36"/>
    <mergeCell ref="F36:G36"/>
    <mergeCell ref="H36:I36"/>
    <mergeCell ref="J36:K36"/>
    <mergeCell ref="C41:E41"/>
    <mergeCell ref="F41:G41"/>
    <mergeCell ref="H41:I41"/>
    <mergeCell ref="J41:K41"/>
    <mergeCell ref="B42:G42"/>
    <mergeCell ref="H42:M42"/>
    <mergeCell ref="C39:E39"/>
    <mergeCell ref="F39:G39"/>
    <mergeCell ref="H39:I39"/>
    <mergeCell ref="J39:K39"/>
    <mergeCell ref="C40:E40"/>
    <mergeCell ref="F40:G40"/>
    <mergeCell ref="H40:I40"/>
    <mergeCell ref="J40:K40"/>
    <mergeCell ref="H48:M50"/>
    <mergeCell ref="B51:F51"/>
    <mergeCell ref="H51:M51"/>
    <mergeCell ref="B43:G43"/>
    <mergeCell ref="H43:M43"/>
    <mergeCell ref="H45:M45"/>
    <mergeCell ref="B46:F46"/>
    <mergeCell ref="B47:F47"/>
    <mergeCell ref="H47:M47"/>
  </mergeCells>
  <pageMargins left="0.31496062992125984" right="0.31496062992125984" top="0.35433070866141736" bottom="0.35433070866141736" header="0.31496062992125984" footer="0.31496062992125984"/>
  <pageSetup paperSize="10000" scale="87"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Spinner 1">
              <controlPr defaultSize="0" autoPict="0">
                <anchor moveWithCells="1" sizeWithCells="1">
                  <from>
                    <xdr:col>14</xdr:col>
                    <xdr:colOff>28575</xdr:colOff>
                    <xdr:row>8</xdr:row>
                    <xdr:rowOff>0</xdr:rowOff>
                  </from>
                  <to>
                    <xdr:col>14</xdr:col>
                    <xdr:colOff>466725</xdr:colOff>
                    <xdr:row>14</xdr:row>
                    <xdr:rowOff>19050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tabColor rgb="FF00B0F0"/>
    <pageSetUpPr fitToPage="1"/>
  </sheetPr>
  <dimension ref="A1:AC70"/>
  <sheetViews>
    <sheetView topLeftCell="A17" zoomScale="85" zoomScaleNormal="85" workbookViewId="0">
      <selection activeCell="O39" sqref="O39"/>
    </sheetView>
  </sheetViews>
  <sheetFormatPr defaultColWidth="0" defaultRowHeight="0" customHeight="1" zeroHeight="1" x14ac:dyDescent="0.25"/>
  <cols>
    <col min="1" max="1" width="1.5703125" style="12" customWidth="1"/>
    <col min="2" max="2" width="3.85546875" customWidth="1"/>
    <col min="3" max="3" width="16.7109375" customWidth="1"/>
    <col min="4" max="4" width="1.140625" customWidth="1"/>
    <col min="5" max="5" width="23.140625" customWidth="1"/>
    <col min="6" max="6" width="9.42578125" customWidth="1"/>
    <col min="7" max="7" width="2.140625" customWidth="1"/>
    <col min="8" max="8" width="16.42578125" customWidth="1"/>
    <col min="9" max="9" width="2.28515625" customWidth="1"/>
    <col min="10" max="10" width="16.140625" customWidth="1"/>
    <col min="11" max="11" width="1.85546875" customWidth="1"/>
    <col min="12" max="12" width="4.85546875" customWidth="1"/>
    <col min="13" max="13" width="13.7109375" customWidth="1"/>
    <col min="14" max="14" width="1.7109375" customWidth="1"/>
    <col min="15" max="16" width="9.140625" customWidth="1"/>
    <col min="17" max="17" width="2.42578125" customWidth="1"/>
    <col min="18" max="18" width="16.7109375" customWidth="1"/>
    <col min="19" max="19" width="1" customWidth="1"/>
    <col min="20" max="20" width="1.7109375" style="12" customWidth="1"/>
    <col min="21" max="29" width="0" hidden="1" customWidth="1"/>
    <col min="30" max="16384" width="9.140625" hidden="1"/>
  </cols>
  <sheetData>
    <row r="1" spans="2:29" s="21" customFormat="1" ht="7.5" customHeight="1" x14ac:dyDescent="0.25"/>
    <row r="2" spans="2:29" ht="15.75" x14ac:dyDescent="0.25">
      <c r="C2" s="3"/>
      <c r="D2" s="204" t="s">
        <v>11</v>
      </c>
      <c r="E2" s="204"/>
      <c r="F2" s="204"/>
      <c r="G2" s="204"/>
      <c r="H2" s="204"/>
      <c r="I2" s="204"/>
      <c r="J2" s="204"/>
      <c r="K2" s="204"/>
      <c r="L2" s="204"/>
      <c r="M2" s="204"/>
      <c r="N2" s="20"/>
      <c r="O2" s="20"/>
      <c r="P2" s="20"/>
      <c r="Q2" s="20"/>
      <c r="R2" s="20"/>
      <c r="V2" s="204"/>
      <c r="W2" s="204"/>
      <c r="X2" s="204"/>
      <c r="Y2" s="204"/>
      <c r="Z2" s="204"/>
      <c r="AA2" s="204"/>
      <c r="AB2" s="204"/>
      <c r="AC2" s="204"/>
    </row>
    <row r="3" spans="2:29" ht="15.75" x14ac:dyDescent="0.25">
      <c r="C3" s="3"/>
      <c r="D3" s="204" t="s">
        <v>12</v>
      </c>
      <c r="E3" s="204"/>
      <c r="F3" s="204"/>
      <c r="G3" s="204"/>
      <c r="H3" s="204"/>
      <c r="I3" s="204"/>
      <c r="J3" s="204"/>
      <c r="K3" s="204"/>
      <c r="L3" s="204"/>
      <c r="M3" s="204"/>
      <c r="N3" s="20"/>
      <c r="O3" s="20"/>
      <c r="P3" s="20"/>
      <c r="Q3" s="20"/>
      <c r="R3" s="20"/>
      <c r="V3" s="204"/>
      <c r="W3" s="204"/>
      <c r="X3" s="204"/>
      <c r="Y3" s="204"/>
      <c r="Z3" s="204"/>
      <c r="AA3" s="204"/>
      <c r="AB3" s="204"/>
      <c r="AC3" s="204"/>
    </row>
    <row r="4" spans="2:29" ht="15.75" x14ac:dyDescent="0.25">
      <c r="C4" s="1"/>
      <c r="D4" s="203" t="s">
        <v>13</v>
      </c>
      <c r="E4" s="203"/>
      <c r="F4" s="203"/>
      <c r="G4" s="203"/>
      <c r="H4" s="203"/>
      <c r="I4" s="203"/>
      <c r="J4" s="203"/>
      <c r="K4" s="203"/>
      <c r="L4" s="203"/>
      <c r="M4" s="203"/>
      <c r="N4" s="20"/>
      <c r="O4" s="20"/>
      <c r="P4" s="20"/>
      <c r="Q4" s="20"/>
      <c r="R4" s="20"/>
      <c r="V4" s="203"/>
      <c r="W4" s="203"/>
      <c r="X4" s="203"/>
      <c r="Y4" s="203"/>
      <c r="Z4" s="203"/>
      <c r="AA4" s="203"/>
      <c r="AB4" s="203"/>
      <c r="AC4" s="203"/>
    </row>
    <row r="5" spans="2:29" ht="15.75" x14ac:dyDescent="0.25">
      <c r="C5" s="1"/>
      <c r="D5" s="203" t="s">
        <v>14</v>
      </c>
      <c r="E5" s="203"/>
      <c r="F5" s="203"/>
      <c r="G5" s="203"/>
      <c r="H5" s="203"/>
      <c r="I5" s="203"/>
      <c r="J5" s="203"/>
      <c r="K5" s="203"/>
      <c r="L5" s="203"/>
      <c r="M5" s="203"/>
      <c r="N5" s="20"/>
      <c r="O5" s="20"/>
      <c r="P5" s="20"/>
      <c r="Q5" s="20"/>
      <c r="R5" s="20"/>
      <c r="V5" s="203"/>
      <c r="W5" s="203"/>
      <c r="X5" s="203"/>
      <c r="Y5" s="203"/>
      <c r="Z5" s="203"/>
      <c r="AA5" s="203"/>
      <c r="AB5" s="203"/>
      <c r="AC5" s="203"/>
    </row>
    <row r="6" spans="2:29" ht="16.5" thickBot="1" x14ac:dyDescent="0.3">
      <c r="C6" s="3"/>
      <c r="D6" s="204" t="s">
        <v>1</v>
      </c>
      <c r="E6" s="204"/>
      <c r="F6" s="204"/>
      <c r="G6" s="204"/>
      <c r="H6" s="204"/>
      <c r="I6" s="204"/>
      <c r="J6" s="204"/>
      <c r="K6" s="204"/>
      <c r="L6" s="204"/>
      <c r="M6" s="204"/>
      <c r="N6" s="20"/>
      <c r="O6" s="20"/>
      <c r="P6" s="20"/>
      <c r="Q6" s="20"/>
      <c r="R6" s="20"/>
      <c r="V6" s="204"/>
      <c r="W6" s="204"/>
      <c r="X6" s="204"/>
      <c r="Y6" s="204"/>
      <c r="Z6" s="204"/>
      <c r="AA6" s="204"/>
      <c r="AB6" s="204"/>
      <c r="AC6" s="204"/>
    </row>
    <row r="7" spans="2:29" ht="15.75" x14ac:dyDescent="0.25">
      <c r="C7" s="1"/>
      <c r="D7" s="203" t="s">
        <v>15</v>
      </c>
      <c r="E7" s="203"/>
      <c r="F7" s="203"/>
      <c r="G7" s="203"/>
      <c r="H7" s="203"/>
      <c r="I7" s="203"/>
      <c r="J7" s="203"/>
      <c r="K7" s="203"/>
      <c r="L7" s="203"/>
      <c r="M7" s="203"/>
      <c r="N7" s="20"/>
      <c r="O7" s="233" t="s">
        <v>69</v>
      </c>
      <c r="P7" s="234"/>
      <c r="Q7" s="234"/>
      <c r="R7" s="235"/>
      <c r="S7" s="19"/>
      <c r="V7" s="203"/>
      <c r="W7" s="203"/>
      <c r="X7" s="203"/>
      <c r="Y7" s="203"/>
      <c r="Z7" s="203"/>
      <c r="AA7" s="203"/>
      <c r="AB7" s="203"/>
      <c r="AC7" s="203"/>
    </row>
    <row r="8" spans="2:29" ht="15.75" x14ac:dyDescent="0.25">
      <c r="C8" s="1"/>
      <c r="D8" s="203" t="s">
        <v>16</v>
      </c>
      <c r="E8" s="203"/>
      <c r="F8" s="203"/>
      <c r="G8" s="203"/>
      <c r="H8" s="203"/>
      <c r="I8" s="203"/>
      <c r="J8" s="203"/>
      <c r="K8" s="203"/>
      <c r="L8" s="203"/>
      <c r="M8" s="203"/>
      <c r="N8" s="20"/>
      <c r="O8" s="236"/>
      <c r="P8" s="237"/>
      <c r="Q8" s="237"/>
      <c r="R8" s="238"/>
      <c r="V8" s="203"/>
      <c r="W8" s="203"/>
      <c r="X8" s="203"/>
      <c r="Y8" s="203"/>
      <c r="Z8" s="203"/>
      <c r="AA8" s="203"/>
      <c r="AB8" s="203"/>
      <c r="AC8" s="203"/>
    </row>
    <row r="9" spans="2:29" ht="16.5" thickBot="1" x14ac:dyDescent="0.3">
      <c r="C9" s="2"/>
      <c r="D9" s="230" t="s">
        <v>17</v>
      </c>
      <c r="E9" s="230"/>
      <c r="F9" s="230"/>
      <c r="G9" s="230"/>
      <c r="H9" s="230"/>
      <c r="I9" s="230"/>
      <c r="J9" s="230"/>
      <c r="K9" s="230"/>
      <c r="L9" s="230"/>
      <c r="M9" s="230"/>
      <c r="N9" s="20"/>
      <c r="O9" s="35"/>
      <c r="P9" s="227" t="s">
        <v>70</v>
      </c>
      <c r="Q9" s="227"/>
      <c r="R9" s="228">
        <v>1</v>
      </c>
      <c r="V9" s="230"/>
      <c r="W9" s="230"/>
      <c r="X9" s="230"/>
      <c r="Y9" s="230"/>
      <c r="Z9" s="230"/>
      <c r="AA9" s="230"/>
      <c r="AB9" s="230"/>
      <c r="AC9" s="230"/>
    </row>
    <row r="10" spans="2:29" ht="5.25" customHeight="1" thickTop="1" x14ac:dyDescent="0.25">
      <c r="B10" s="231"/>
      <c r="C10" s="232"/>
      <c r="D10" s="232"/>
      <c r="E10" s="232"/>
      <c r="F10" s="232"/>
      <c r="G10" s="232"/>
      <c r="H10" s="232"/>
      <c r="I10" s="232"/>
      <c r="J10" s="232"/>
      <c r="K10" s="232"/>
      <c r="L10" s="232"/>
      <c r="M10" s="232"/>
      <c r="N10" s="20"/>
      <c r="O10" s="35"/>
      <c r="P10" s="227"/>
      <c r="Q10" s="227"/>
      <c r="R10" s="228"/>
    </row>
    <row r="11" spans="2:29" ht="15.75" x14ac:dyDescent="0.25">
      <c r="B11" s="226" t="str">
        <f>HOME!G6</f>
        <v>HASIL PENILAIAN TENGAH SEMESTER GENAP</v>
      </c>
      <c r="C11" s="226"/>
      <c r="D11" s="226"/>
      <c r="E11" s="226"/>
      <c r="F11" s="226"/>
      <c r="G11" s="226"/>
      <c r="H11" s="226"/>
      <c r="I11" s="226"/>
      <c r="J11" s="226"/>
      <c r="K11" s="226"/>
      <c r="L11" s="226"/>
      <c r="M11" s="226"/>
      <c r="N11" s="20"/>
      <c r="O11" s="35"/>
      <c r="P11" s="227"/>
      <c r="Q11" s="227"/>
      <c r="R11" s="228"/>
    </row>
    <row r="12" spans="2:29" ht="15.75" x14ac:dyDescent="0.25">
      <c r="B12" s="226" t="str">
        <f>"TAHUN PELAJARAN " &amp; HOME!G7</f>
        <v>TAHUN PELAJARAN 2022/2023</v>
      </c>
      <c r="C12" s="226"/>
      <c r="D12" s="226"/>
      <c r="E12" s="226"/>
      <c r="F12" s="226"/>
      <c r="G12" s="226"/>
      <c r="H12" s="226"/>
      <c r="I12" s="226"/>
      <c r="J12" s="226"/>
      <c r="K12" s="226"/>
      <c r="L12" s="226"/>
      <c r="M12" s="226"/>
      <c r="N12" s="20"/>
      <c r="O12" s="35"/>
      <c r="P12" s="227" t="s">
        <v>71</v>
      </c>
      <c r="Q12" s="227"/>
      <c r="R12" s="228">
        <f>COUNTA(NOMINATIF!C6:C40)</f>
        <v>20</v>
      </c>
    </row>
    <row r="13" spans="2:29" ht="8.25" customHeight="1" x14ac:dyDescent="0.25">
      <c r="B13" s="16"/>
      <c r="C13" s="4"/>
      <c r="D13" s="4"/>
      <c r="E13" s="4"/>
      <c r="F13" s="4"/>
      <c r="G13" s="4"/>
      <c r="H13" s="4"/>
      <c r="I13" s="4"/>
      <c r="J13" s="4"/>
      <c r="K13" s="4"/>
      <c r="L13" s="4"/>
      <c r="M13" s="4"/>
      <c r="N13" s="20"/>
      <c r="O13" s="35"/>
      <c r="P13" s="227"/>
      <c r="Q13" s="227"/>
      <c r="R13" s="228"/>
    </row>
    <row r="14" spans="2:29" ht="15.75" x14ac:dyDescent="0.25">
      <c r="B14" s="224" t="s">
        <v>18</v>
      </c>
      <c r="C14" s="224"/>
      <c r="D14" s="1" t="s">
        <v>6</v>
      </c>
      <c r="E14" s="229" t="str">
        <f>VLOOKUP(R9,'L X AKL'!$B$9:$BI$43,2,)</f>
        <v>AFMALA INSAN QOIRUNISA</v>
      </c>
      <c r="F14" s="229"/>
      <c r="G14" s="18"/>
      <c r="H14" s="1" t="s">
        <v>63</v>
      </c>
      <c r="I14" t="s">
        <v>6</v>
      </c>
      <c r="J14" s="225" t="str">
        <f>HOME!G9</f>
        <v>Teknik Komputer dan Informatika</v>
      </c>
      <c r="K14" s="225"/>
      <c r="L14" s="225"/>
      <c r="M14" s="225"/>
      <c r="N14" s="20"/>
      <c r="O14" s="35"/>
      <c r="P14" s="227"/>
      <c r="Q14" s="227"/>
      <c r="R14" s="228"/>
    </row>
    <row r="15" spans="2:29" ht="15.75" x14ac:dyDescent="0.25">
      <c r="B15" s="224" t="s">
        <v>19</v>
      </c>
      <c r="C15" s="224"/>
      <c r="D15" s="1" t="s">
        <v>6</v>
      </c>
      <c r="E15" s="224" t="str">
        <f>VLOOKUP(R9,'L X AKL'!$B$9:$BI$43,3,)&amp;"/"&amp;VLOOKUP(R9,'L X AKL'!$B$9:$BI$43,4,)</f>
        <v>4020/0059023845</v>
      </c>
      <c r="F15" s="224"/>
      <c r="G15" s="17"/>
      <c r="H15" s="1" t="s">
        <v>10</v>
      </c>
      <c r="I15" t="s">
        <v>6</v>
      </c>
      <c r="J15" s="225" t="str">
        <f>ID!G7</f>
        <v>Akuntansi dan Keuangan Lembaga</v>
      </c>
      <c r="K15" s="225"/>
      <c r="L15" s="225"/>
      <c r="M15" s="225"/>
      <c r="N15" s="20"/>
      <c r="O15" s="35"/>
      <c r="P15" s="20"/>
      <c r="Q15" s="20"/>
      <c r="R15" s="36"/>
    </row>
    <row r="16" spans="2:29" ht="15.75" x14ac:dyDescent="0.25">
      <c r="B16" s="224" t="s">
        <v>9</v>
      </c>
      <c r="C16" s="224"/>
      <c r="D16" s="1" t="s">
        <v>6</v>
      </c>
      <c r="E16" s="224" t="str">
        <f>ID!G8</f>
        <v>XII AKL 1</v>
      </c>
      <c r="F16" s="224"/>
      <c r="G16" s="17"/>
      <c r="H16" s="1" t="s">
        <v>20</v>
      </c>
      <c r="I16" t="s">
        <v>6</v>
      </c>
      <c r="J16" s="225" t="str">
        <f>ID!G9</f>
        <v>4/GENAP</v>
      </c>
      <c r="K16" s="225"/>
      <c r="L16" s="225"/>
      <c r="M16" s="225"/>
      <c r="N16" s="20"/>
      <c r="O16" s="35"/>
      <c r="P16" s="20"/>
      <c r="Q16" s="20"/>
      <c r="R16" s="36"/>
    </row>
    <row r="17" spans="2:18" ht="15" x14ac:dyDescent="0.25">
      <c r="N17" s="20"/>
      <c r="O17" s="35"/>
      <c r="P17" s="20"/>
      <c r="Q17" s="20"/>
      <c r="R17" s="36"/>
    </row>
    <row r="18" spans="2:18" ht="15" x14ac:dyDescent="0.25">
      <c r="B18" s="258" t="s">
        <v>161</v>
      </c>
      <c r="C18" s="259"/>
      <c r="D18" s="259"/>
      <c r="E18" s="259"/>
      <c r="F18" s="259"/>
      <c r="G18" s="259"/>
      <c r="H18" s="259"/>
      <c r="I18" s="259"/>
      <c r="J18" s="259"/>
      <c r="K18" s="259"/>
      <c r="L18" s="259"/>
      <c r="M18" s="260"/>
      <c r="N18" s="20"/>
      <c r="O18" s="35"/>
      <c r="P18" s="20"/>
      <c r="Q18" s="20"/>
      <c r="R18" s="36"/>
    </row>
    <row r="19" spans="2:18" ht="31.5" customHeight="1" x14ac:dyDescent="0.25">
      <c r="B19" s="15" t="s">
        <v>32</v>
      </c>
      <c r="C19" s="190" t="s">
        <v>33</v>
      </c>
      <c r="D19" s="190"/>
      <c r="E19" s="190"/>
      <c r="F19" s="222" t="s">
        <v>34</v>
      </c>
      <c r="G19" s="223"/>
      <c r="H19" s="222" t="s">
        <v>35</v>
      </c>
      <c r="I19" s="223"/>
      <c r="J19" s="222" t="s">
        <v>66</v>
      </c>
      <c r="K19" s="223"/>
      <c r="L19" s="15" t="s">
        <v>98</v>
      </c>
      <c r="M19" s="15" t="s">
        <v>36</v>
      </c>
      <c r="N19" s="20"/>
      <c r="O19" s="35"/>
      <c r="P19" s="20"/>
      <c r="Q19" s="20"/>
      <c r="R19" s="36"/>
    </row>
    <row r="20" spans="2:18" ht="15.75" x14ac:dyDescent="0.25">
      <c r="B20" s="188" t="s">
        <v>164</v>
      </c>
      <c r="C20" s="188"/>
      <c r="D20" s="188"/>
      <c r="E20" s="188"/>
      <c r="F20" s="188"/>
      <c r="G20" s="188"/>
      <c r="H20" s="188"/>
      <c r="I20" s="188"/>
      <c r="J20" s="188"/>
      <c r="K20" s="188"/>
      <c r="L20" s="188"/>
      <c r="M20" s="188"/>
      <c r="N20" s="20"/>
      <c r="O20" s="35"/>
      <c r="P20" s="20"/>
      <c r="Q20" s="20"/>
      <c r="R20" s="36"/>
    </row>
    <row r="21" spans="2:18" ht="15.75" x14ac:dyDescent="0.25">
      <c r="B21" s="11">
        <v>1</v>
      </c>
      <c r="C21" s="189" t="s">
        <v>38</v>
      </c>
      <c r="D21" s="189"/>
      <c r="E21" s="189"/>
      <c r="F21" s="209">
        <f>'MP X AKL'!G7</f>
        <v>60</v>
      </c>
      <c r="G21" s="210"/>
      <c r="H21" s="211">
        <f>VLOOKUP(R9,'L X AKL'!$B$9:$BI$43,5,)</f>
        <v>0</v>
      </c>
      <c r="I21" s="212"/>
      <c r="J21" s="211">
        <f>VLOOKUP(R9,'L X AKL'!$B$9:$BI$43,6,)</f>
        <v>0</v>
      </c>
      <c r="K21" s="212"/>
      <c r="L21" s="24">
        <f>IF(J21=0,H21,AVERAGE(H21:K21))</f>
        <v>0</v>
      </c>
      <c r="M21" s="13" t="str">
        <f>IF(F21=60,IF(AND(L21&gt;=$O$26,L21&lt;$P$26),$R$26,IF(AND(L21&gt;=$O$27,L21&lt;=$P$27),$R$27,IF(AND(L21&gt;=$O$28,L21&lt;=$P$28),$R$28,IF(AND(L21&gt;=$O$29,L21&lt;=$P$29),$R$29,IF(AND(L21&gt;=$O$30,L21&lt;=$P$30),$R$30,IF(AND(L21&gt;=$O$31,L21&lt;=$P$31),$R$31,IF(AND(L21&gt;=$O$32,L21&lt;=$P$32),$R$32,IF(AND(L21&gt;=$O$33,L21&lt;$P$33),$R$33,IF(AND(L21&gt;$O$34,L21&lt;$P$34),$R$34,IF(AND(L21&lt;=$P$35),$R$35,0)))))))))),IF(F21=70,IF(AND(L21&gt;$O$39,L21&lt;$P$39),$R$39,IF(AND(L21&gt;=$O$40,L21&lt;=$P$40),$R$40,IF(AND(L21&gt;=$O$41,L21&lt;=$P$41),$R$41,IF(AND(L21&gt;=$O$42,L21&lt;=$P$42),$R$42,IF(AND(L21&gt;=$O$43,L21&lt;=$P$43),$R$43,IF(AND(L21&gt;=$O$44,L21&lt;=$P$44),$R$44,IF(AND(L21&gt;=$O$45,L21&lt;=$P$45),$R$45,IF(AND(L21&gt;=$O$46,L21&lt;$P$46),$R$46,IF(AND(L21&gt;$O$47,L21&lt;$P$47),$R$47,IF(AND(L21&lt;=$P$48),$R$48,0))))))))))))</f>
        <v>D</v>
      </c>
      <c r="N21" s="20"/>
      <c r="O21" s="35"/>
      <c r="P21" s="20"/>
      <c r="Q21" s="20"/>
      <c r="R21" s="36"/>
    </row>
    <row r="22" spans="2:18" ht="16.5" thickBot="1" x14ac:dyDescent="0.3">
      <c r="B22" s="11">
        <v>2</v>
      </c>
      <c r="C22" s="189" t="s">
        <v>213</v>
      </c>
      <c r="D22" s="189"/>
      <c r="E22" s="189"/>
      <c r="F22" s="209">
        <f>'MP X AKL'!G8</f>
        <v>60</v>
      </c>
      <c r="G22" s="210"/>
      <c r="H22" s="211">
        <f>VLOOKUP(R9,'L X AKL'!$B$9:$BI$43,8,)</f>
        <v>0</v>
      </c>
      <c r="I22" s="212"/>
      <c r="J22" s="211">
        <f>VLOOKUP(R9,'L X AKL'!$B$9:$BI$43,9,)</f>
        <v>0</v>
      </c>
      <c r="K22" s="212"/>
      <c r="L22" s="24">
        <f t="shared" ref="L22:L26" si="0">IF(J22=0,H22,AVERAGE(H22:K22))</f>
        <v>0</v>
      </c>
      <c r="M22" s="13" t="str">
        <f t="shared" ref="M22:M26" si="1">IF(F22=60,IF(AND(L22&gt;=$O$26,L22&lt;$P$26),$R$26,IF(AND(L22&gt;=$O$27,L22&lt;=$P$27),$R$27,IF(AND(L22&gt;=$O$28,L22&lt;=$P$28),$R$28,IF(AND(L22&gt;=$O$29,L22&lt;=$P$29),$R$29,IF(AND(L22&gt;=$O$30,L22&lt;=$P$30),$R$30,IF(AND(L22&gt;=$O$31,L22&lt;=$P$31),$R$31,IF(AND(L22&gt;=$O$32,L22&lt;=$P$32),$R$32,IF(AND(L22&gt;=$O$33,L22&lt;$P$33),$R$33,IF(AND(L22&gt;$O$34,L22&lt;$P$34),$R$34,IF(AND(L22&lt;=$P$35),$R$35,0)))))))))),IF(F22=70,IF(AND(L22&gt;$O$39,L22&lt;$P$39),$R$39,IF(AND(L22&gt;=$O$40,L22&lt;=$P$40),$R$40,IF(AND(L22&gt;=$O$41,L22&lt;=$P$41),$R$41,IF(AND(L22&gt;=$O$42,L22&lt;=$P$42),$R$42,IF(AND(L22&gt;=$O$43,L22&lt;=$P$43),$R$43,IF(AND(L22&gt;=$O$44,L22&lt;=$P$44),$R$44,IF(AND(L22&gt;=$O$45,L22&lt;=$P$45),$R$45,IF(AND(L22&gt;=$O$46,L22&lt;$P$46),$R$46,IF(AND(L22&gt;$O$47,L22&lt;$P$47),$R$47,IF(AND(L22&lt;=$P$48),$R$48,0))))))))))))</f>
        <v>D</v>
      </c>
      <c r="N22" s="20"/>
      <c r="O22" s="37"/>
      <c r="P22" s="38"/>
      <c r="Q22" s="38"/>
      <c r="R22" s="39"/>
    </row>
    <row r="23" spans="2:18" ht="16.5" thickBot="1" x14ac:dyDescent="0.3">
      <c r="B23" s="11">
        <v>3</v>
      </c>
      <c r="C23" s="189" t="s">
        <v>40</v>
      </c>
      <c r="D23" s="189"/>
      <c r="E23" s="189"/>
      <c r="F23" s="209">
        <f>'MP X AKL'!G9</f>
        <v>60</v>
      </c>
      <c r="G23" s="210"/>
      <c r="H23" s="211">
        <f>VLOOKUP(R9,'L X AKL'!$B$9:$BI$43,11,)</f>
        <v>0</v>
      </c>
      <c r="I23" s="212"/>
      <c r="J23" s="211">
        <f>VLOOKUP(R9,'L X AKL'!$B$9:$BI$43,12,)</f>
        <v>0</v>
      </c>
      <c r="K23" s="212"/>
      <c r="L23" s="24">
        <f t="shared" si="0"/>
        <v>0</v>
      </c>
      <c r="M23" s="13" t="str">
        <f t="shared" si="1"/>
        <v>D</v>
      </c>
      <c r="N23" s="20"/>
      <c r="O23" s="20"/>
      <c r="P23" s="20"/>
      <c r="Q23" s="20"/>
      <c r="R23" s="20"/>
    </row>
    <row r="24" spans="2:18" ht="15.75" x14ac:dyDescent="0.25">
      <c r="B24" s="11">
        <v>4</v>
      </c>
      <c r="C24" s="187" t="s">
        <v>41</v>
      </c>
      <c r="D24" s="187"/>
      <c r="E24" s="187"/>
      <c r="F24" s="209">
        <f>'MP X AKL'!G10</f>
        <v>60</v>
      </c>
      <c r="G24" s="210"/>
      <c r="H24" s="211">
        <f>VLOOKUP(R9,'L X AKL'!$B$9:$BI$43,14,)</f>
        <v>0</v>
      </c>
      <c r="I24" s="212"/>
      <c r="J24" s="211">
        <f>VLOOKUP(R9,'L X AKL'!$B$9:$BI$43,15,)</f>
        <v>0</v>
      </c>
      <c r="K24" s="212"/>
      <c r="L24" s="24">
        <f t="shared" si="0"/>
        <v>0</v>
      </c>
      <c r="M24" s="13" t="str">
        <f t="shared" si="1"/>
        <v>D</v>
      </c>
      <c r="O24" s="217" t="s">
        <v>139</v>
      </c>
      <c r="P24" s="220"/>
      <c r="Q24" s="220"/>
      <c r="R24" s="221"/>
    </row>
    <row r="25" spans="2:18" ht="16.5" thickBot="1" x14ac:dyDescent="0.3">
      <c r="B25" s="11">
        <v>5</v>
      </c>
      <c r="C25" s="187" t="s">
        <v>42</v>
      </c>
      <c r="D25" s="187"/>
      <c r="E25" s="187"/>
      <c r="F25" s="209">
        <f>'MP X AKL'!G11</f>
        <v>60</v>
      </c>
      <c r="G25" s="210"/>
      <c r="H25" s="211">
        <f>VLOOKUP(R9,'L X AKL'!$B$9:$BI$43,17,)</f>
        <v>0</v>
      </c>
      <c r="I25" s="212"/>
      <c r="J25" s="211">
        <f>VLOOKUP(R9,'L X AKL'!$B$9:$BI$43,18,)</f>
        <v>0</v>
      </c>
      <c r="K25" s="212"/>
      <c r="L25" s="24">
        <f t="shared" si="0"/>
        <v>0</v>
      </c>
      <c r="M25" s="13" t="str">
        <f t="shared" si="1"/>
        <v>D</v>
      </c>
      <c r="O25" s="118" t="s">
        <v>141</v>
      </c>
      <c r="P25" s="119" t="s">
        <v>142</v>
      </c>
      <c r="Q25" s="119"/>
      <c r="R25" s="120" t="s">
        <v>138</v>
      </c>
    </row>
    <row r="26" spans="2:18" ht="15.75" x14ac:dyDescent="0.25">
      <c r="B26" s="11">
        <v>6</v>
      </c>
      <c r="C26" s="187" t="s">
        <v>43</v>
      </c>
      <c r="D26" s="187"/>
      <c r="E26" s="187"/>
      <c r="F26" s="209">
        <f>'MP X AKL'!G12</f>
        <v>60</v>
      </c>
      <c r="G26" s="210"/>
      <c r="H26" s="211">
        <f>VLOOKUP(R9,'L X AKL'!$B$9:$BI$43,20,)</f>
        <v>0</v>
      </c>
      <c r="I26" s="212"/>
      <c r="J26" s="211">
        <f>VLOOKUP(R9,'L X AKL'!$B$9:$BI$43,21,)</f>
        <v>0</v>
      </c>
      <c r="K26" s="212"/>
      <c r="L26" s="24">
        <f t="shared" si="0"/>
        <v>0</v>
      </c>
      <c r="M26" s="13" t="str">
        <f t="shared" si="1"/>
        <v>D</v>
      </c>
      <c r="O26" s="113">
        <v>94.5</v>
      </c>
      <c r="P26" s="114">
        <v>100</v>
      </c>
      <c r="Q26" s="115" t="s">
        <v>6</v>
      </c>
      <c r="R26" s="116" t="s">
        <v>137</v>
      </c>
    </row>
    <row r="27" spans="2:18" ht="15.75" x14ac:dyDescent="0.25">
      <c r="B27" s="188" t="s">
        <v>163</v>
      </c>
      <c r="C27" s="188"/>
      <c r="D27" s="188"/>
      <c r="E27" s="188"/>
      <c r="F27" s="188"/>
      <c r="G27" s="188"/>
      <c r="H27" s="188"/>
      <c r="I27" s="188"/>
      <c r="J27" s="188"/>
      <c r="K27" s="188"/>
      <c r="L27" s="188"/>
      <c r="M27" s="188"/>
      <c r="O27" s="117">
        <v>89.5</v>
      </c>
      <c r="P27" s="110">
        <v>94.49</v>
      </c>
      <c r="Q27" s="33" t="s">
        <v>6</v>
      </c>
      <c r="R27" s="34" t="s">
        <v>136</v>
      </c>
    </row>
    <row r="28" spans="2:18" ht="15.75" customHeight="1" x14ac:dyDescent="0.25">
      <c r="B28" s="13">
        <v>1</v>
      </c>
      <c r="C28" s="187" t="s">
        <v>45</v>
      </c>
      <c r="D28" s="187"/>
      <c r="E28" s="187"/>
      <c r="F28" s="209">
        <f>'MP X AKL'!G14</f>
        <v>70</v>
      </c>
      <c r="G28" s="210"/>
      <c r="H28" s="211">
        <f>VLOOKUP(R9,'L X AKL'!$B$9:$BI$43,23,)</f>
        <v>0</v>
      </c>
      <c r="I28" s="212"/>
      <c r="J28" s="211">
        <f>VLOOKUP(R9,'L X AKL'!$B$9:$BI$43,24,)</f>
        <v>0</v>
      </c>
      <c r="K28" s="212"/>
      <c r="L28" s="24">
        <f>IF(J28=0,H28,AVERAGE(H28:K28))</f>
        <v>0</v>
      </c>
      <c r="M28" s="13" t="str">
        <f>IF(F28=60,IF(AND(L28&gt;=$O$26,L28&lt;$P$26),$R$26,IF(AND(L28&gt;=$O$27,L28&lt;=$P$27),$R$27,IF(AND(L28&gt;=$O$28,L28&lt;=$P$28),$R$28,IF(AND(L28&gt;=$O$29,L28&lt;=$P$29),$R$29,IF(AND(L28&gt;=$O$30,L28&lt;=$P$30),$R$30,IF(AND(L28&gt;=$O$31,L28&lt;=$P$31),$R$31,IF(AND(L28&gt;=$O$32,L28&lt;=$P$32),$R$32,IF(AND(L28&gt;=$O$33,L28&lt;$P$33),$R$33,IF(AND(L28&gt;$O$34,L28&lt;$P$34),$R$34,IF(AND(L28&lt;=$P$35),$R$35,0)))))))))),IF(F28=70,IF(AND(L28&gt;$O$39,L28&lt;$P$39),$R$39,IF(AND(L28&gt;=$O$40,L28&lt;=$P$40),$R$40,IF(AND(L28&gt;=$O$41,L28&lt;=$P$41),$R$41,IF(AND(L28&gt;=$O$42,L28&lt;=$P$42),$R$42,IF(AND(L28&gt;=$O$43,L28&lt;=$P$43),$R$43,IF(AND(L28&gt;=$O$44,L28&lt;=$P$44),$R$44,IF(AND(L28&gt;=$O$45,L28&lt;=$P$45),$R$45,IF(AND(L28&gt;=$O$46,L28&lt;$P$46),$R$46,IF(AND(L28&gt;$O$47,L28&lt;$P$47),$R$47,IF(AND(L28&lt;=$P$48),$R$48,0))))))))))))</f>
        <v>D</v>
      </c>
      <c r="O28" s="117">
        <v>84.5</v>
      </c>
      <c r="P28" s="110">
        <v>89.49</v>
      </c>
      <c r="Q28" s="33" t="s">
        <v>6</v>
      </c>
      <c r="R28" s="34" t="s">
        <v>135</v>
      </c>
    </row>
    <row r="29" spans="2:18" ht="15.75" x14ac:dyDescent="0.25">
      <c r="B29" s="13">
        <v>2</v>
      </c>
      <c r="C29" s="187" t="s">
        <v>46</v>
      </c>
      <c r="D29" s="187"/>
      <c r="E29" s="187"/>
      <c r="F29" s="209">
        <f>'MP X AKL'!G15</f>
        <v>60</v>
      </c>
      <c r="G29" s="210"/>
      <c r="H29" s="211">
        <f>VLOOKUP(R9,'L X AKL'!$B$9:$BI$43,26,)</f>
        <v>0</v>
      </c>
      <c r="I29" s="212"/>
      <c r="J29" s="211">
        <f>VLOOKUP(R9,'L X AKL'!$B$9:$BI$43,27,)</f>
        <v>0</v>
      </c>
      <c r="K29" s="212"/>
      <c r="L29" s="24">
        <f t="shared" ref="L29:L31" si="2">IF(J29=0,H29,AVERAGE(H29:K29))</f>
        <v>0</v>
      </c>
      <c r="M29" s="13" t="str">
        <f t="shared" ref="M29:M31" si="3">IF(F29=60,IF(AND(L29&gt;=$O$26,L29&lt;$P$26),$R$26,IF(AND(L29&gt;=$O$27,L29&lt;=$P$27),$R$27,IF(AND(L29&gt;=$O$28,L29&lt;=$P$28),$R$28,IF(AND(L29&gt;=$O$29,L29&lt;=$P$29),$R$29,IF(AND(L29&gt;=$O$30,L29&lt;=$P$30),$R$30,IF(AND(L29&gt;=$O$31,L29&lt;=$P$31),$R$31,IF(AND(L29&gt;=$O$32,L29&lt;=$P$32),$R$32,IF(AND(L29&gt;=$O$33,L29&lt;$P$33),$R$33,IF(AND(L29&gt;$O$34,L29&lt;$P$34),$R$34,IF(AND(L29&lt;=$P$35),$R$35,0)))))))))),IF(F29=70,IF(AND(L29&gt;$O$39,L29&lt;$P$39),$R$39,IF(AND(L29&gt;=$O$40,L29&lt;=$P$40),$R$40,IF(AND(L29&gt;=$O$41,L29&lt;=$P$41),$R$41,IF(AND(L29&gt;=$O$42,L29&lt;=$P$42),$R$42,IF(AND(L29&gt;=$O$43,L29&lt;=$P$43),$R$43,IF(AND(L29&gt;=$O$44,L29&lt;=$P$44),$R$44,IF(AND(L29&gt;=$O$45,L29&lt;=$P$45),$R$45,IF(AND(L29&gt;=$O$46,L29&lt;$P$46),$R$46,IF(AND(L29&gt;$O$47,L29&lt;$P$47),$R$47,IF(AND(L29&lt;=$P$48),$R$48,0))))))))))))</f>
        <v>D</v>
      </c>
      <c r="O29" s="117">
        <v>79.5</v>
      </c>
      <c r="P29" s="110">
        <v>84.49</v>
      </c>
      <c r="Q29" s="33" t="s">
        <v>6</v>
      </c>
      <c r="R29" s="34" t="s">
        <v>134</v>
      </c>
    </row>
    <row r="30" spans="2:18" ht="15.75" x14ac:dyDescent="0.25">
      <c r="B30" s="13">
        <v>3</v>
      </c>
      <c r="C30" s="187" t="s">
        <v>47</v>
      </c>
      <c r="D30" s="187"/>
      <c r="E30" s="187"/>
      <c r="F30" s="209">
        <f>'MP X AKL'!G16</f>
        <v>60</v>
      </c>
      <c r="G30" s="210"/>
      <c r="H30" s="211">
        <f>VLOOKUP(R9,'L X AKL'!$B$9:$BI$43,29,)</f>
        <v>0</v>
      </c>
      <c r="I30" s="212"/>
      <c r="J30" s="211">
        <f>VLOOKUP(R9,'L X AKL'!$B$9:$BI$43,30,)</f>
        <v>0</v>
      </c>
      <c r="K30" s="212"/>
      <c r="L30" s="24">
        <f t="shared" si="2"/>
        <v>0</v>
      </c>
      <c r="M30" s="13" t="str">
        <f t="shared" si="3"/>
        <v>D</v>
      </c>
      <c r="O30" s="117">
        <v>74.5</v>
      </c>
      <c r="P30" s="110">
        <v>79.489999999999995</v>
      </c>
      <c r="Q30" s="33" t="s">
        <v>6</v>
      </c>
      <c r="R30" s="34" t="s">
        <v>118</v>
      </c>
    </row>
    <row r="31" spans="2:18" ht="15.75" x14ac:dyDescent="0.25">
      <c r="B31" s="13">
        <v>4</v>
      </c>
      <c r="C31" s="187" t="s">
        <v>48</v>
      </c>
      <c r="D31" s="187"/>
      <c r="E31" s="187"/>
      <c r="F31" s="209">
        <f>'MP X AKL'!G17</f>
        <v>60</v>
      </c>
      <c r="G31" s="210"/>
      <c r="H31" s="211">
        <f>VLOOKUP(R9,'L X AKL'!$B$9:$BI$43,32,)</f>
        <v>0</v>
      </c>
      <c r="I31" s="212"/>
      <c r="J31" s="211">
        <f>VLOOKUP(R9,'L X AKL'!$B$9:$BI$43,33,)</f>
        <v>0</v>
      </c>
      <c r="K31" s="212"/>
      <c r="L31" s="24">
        <f t="shared" si="2"/>
        <v>0</v>
      </c>
      <c r="M31" s="13" t="str">
        <f t="shared" si="3"/>
        <v>D</v>
      </c>
      <c r="O31" s="117">
        <v>69.5</v>
      </c>
      <c r="P31" s="110">
        <v>74.489999999999995</v>
      </c>
      <c r="Q31" s="33" t="s">
        <v>6</v>
      </c>
      <c r="R31" s="34" t="s">
        <v>133</v>
      </c>
    </row>
    <row r="32" spans="2:18" ht="15.75" x14ac:dyDescent="0.25">
      <c r="B32" s="188" t="s">
        <v>162</v>
      </c>
      <c r="C32" s="188"/>
      <c r="D32" s="188"/>
      <c r="E32" s="188"/>
      <c r="F32" s="188"/>
      <c r="G32" s="188"/>
      <c r="H32" s="188"/>
      <c r="I32" s="188"/>
      <c r="J32" s="188"/>
      <c r="K32" s="188"/>
      <c r="L32" s="188"/>
      <c r="M32" s="188"/>
      <c r="O32" s="117">
        <v>64.5</v>
      </c>
      <c r="P32" s="110">
        <v>69.489999999999995</v>
      </c>
      <c r="Q32" s="33" t="s">
        <v>6</v>
      </c>
      <c r="R32" s="34" t="s">
        <v>132</v>
      </c>
    </row>
    <row r="33" spans="2:18" ht="15.75" x14ac:dyDescent="0.25">
      <c r="C33" s="261" t="s">
        <v>50</v>
      </c>
      <c r="D33" s="262"/>
      <c r="E33" s="262"/>
      <c r="F33" s="262"/>
      <c r="G33" s="262"/>
      <c r="H33" s="262"/>
      <c r="I33" s="262"/>
      <c r="J33" s="262"/>
      <c r="K33" s="262"/>
      <c r="L33" s="262"/>
      <c r="M33" s="263"/>
      <c r="O33" s="117">
        <v>59.5</v>
      </c>
      <c r="P33" s="110">
        <v>65.489999999999995</v>
      </c>
      <c r="Q33" s="33" t="s">
        <v>6</v>
      </c>
      <c r="R33" s="34" t="s">
        <v>131</v>
      </c>
    </row>
    <row r="34" spans="2:18" ht="15.75" customHeight="1" x14ac:dyDescent="0.25">
      <c r="B34" s="13">
        <v>1</v>
      </c>
      <c r="C34" s="187" t="s">
        <v>51</v>
      </c>
      <c r="D34" s="187"/>
      <c r="E34" s="187"/>
      <c r="F34" s="209">
        <f>'MP X AKL'!G20</f>
        <v>60</v>
      </c>
      <c r="G34" s="210"/>
      <c r="H34" s="211">
        <f>VLOOKUP(R9,'L X AKL'!$B$9:$BI$43,35,)</f>
        <v>0</v>
      </c>
      <c r="I34" s="212"/>
      <c r="J34" s="211">
        <f>VLOOKUP(R9,'L X AKL'!$B$9:$BI$43,36,)</f>
        <v>0</v>
      </c>
      <c r="K34" s="212"/>
      <c r="L34" s="24">
        <f>IF(J34=0,H34,AVERAGE(H34:K34))</f>
        <v>0</v>
      </c>
      <c r="M34" s="13" t="str">
        <f>IF(F34=60,IF(AND(L34&gt;=$O$26,L34&lt;$P$26),$R$26,IF(AND(L34&gt;=$O$27,L34&lt;=$P$27),$R$27,IF(AND(L34&gt;=$O$28,L34&lt;=$P$28),$R$28,IF(AND(L34&gt;=$O$29,L34&lt;=$P$29),$R$29,IF(AND(L34&gt;=$O$30,L34&lt;=$P$30),$R$30,IF(AND(L34&gt;=$O$31,L34&lt;=$P$31),$R$31,IF(AND(L34&gt;=$O$32,L34&lt;=$P$32),$R$32,IF(AND(L34&gt;=$O$33,L34&lt;$P$33),$R$33,IF(AND(L34&gt;$O$34,L34&lt;$P$34),$R$34,IF(AND(L34&lt;=$P$35),$R$35,0)))))))))),IF(F34=70,IF(AND(L34&gt;$O$39,L34&lt;$P$39),$R$39,IF(AND(L34&gt;=$O$40,L34&lt;=$P$40),$R$40,IF(AND(L34&gt;=$O$41,L34&lt;=$P$41),$R$41,IF(AND(L34&gt;=$O$42,L34&lt;=$P$42),$R$42,IF(AND(L34&gt;=$O$43,L34&lt;=$P$43),$R$43,IF(AND(L34&gt;=$O$44,L34&lt;=$P$44),$R$44,IF(AND(L34&gt;=$O$45,L34&lt;=$P$45),$R$45,IF(AND(L34&gt;=$O$46,L34&lt;$P$46),$R$46,IF(AND(L34&gt;$O$47,L34&lt;$P$47),$R$47,IF(AND(L34&lt;=$P$48),$R$48,0))))))))))))</f>
        <v>D</v>
      </c>
      <c r="O34" s="117">
        <v>54.5</v>
      </c>
      <c r="P34" s="110">
        <v>59.49</v>
      </c>
      <c r="Q34" s="33" t="s">
        <v>6</v>
      </c>
      <c r="R34" s="34" t="s">
        <v>130</v>
      </c>
    </row>
    <row r="35" spans="2:18" ht="16.5" thickBot="1" x14ac:dyDescent="0.3">
      <c r="B35" s="13">
        <v>2</v>
      </c>
      <c r="C35" s="183" t="s">
        <v>52</v>
      </c>
      <c r="D35" s="183"/>
      <c r="E35" s="183"/>
      <c r="F35" s="209">
        <f>'MP X AKL'!G21</f>
        <v>60</v>
      </c>
      <c r="G35" s="210"/>
      <c r="H35" s="211">
        <f>VLOOKUP(R9,'L X AKL'!$B$9:$BI$43,38,)</f>
        <v>0</v>
      </c>
      <c r="I35" s="212"/>
      <c r="J35" s="211">
        <f>VLOOKUP(R9,'L X AKL'!$B$9:$BI$43,39,)</f>
        <v>0</v>
      </c>
      <c r="K35" s="212"/>
      <c r="L35" s="24">
        <f t="shared" ref="L35:L37" si="4">IF(J35=0,H35,AVERAGE(H35:K35))</f>
        <v>0</v>
      </c>
      <c r="M35" s="13" t="str">
        <f t="shared" ref="M35:M37" si="5">IF(F35=60,IF(AND(L35&gt;=$O$26,L35&lt;$P$26),$R$26,IF(AND(L35&gt;=$O$27,L35&lt;=$P$27),$R$27,IF(AND(L35&gt;=$O$28,L35&lt;=$P$28),$R$28,IF(AND(L35&gt;=$O$29,L35&lt;=$P$29),$R$29,IF(AND(L35&gt;=$O$30,L35&lt;=$P$30),$R$30,IF(AND(L35&gt;=$O$31,L35&lt;=$P$31),$R$31,IF(AND(L35&gt;=$O$32,L35&lt;=$P$32),$R$32,IF(AND(L35&gt;=$O$33,L35&lt;$P$33),$R$33,IF(AND(L35&gt;$O$34,L35&lt;$P$34),$R$34,IF(AND(L35&lt;=$P$35),$R$35,0)))))))))),IF(F35=70,IF(AND(L35&gt;$O$39,L35&lt;$P$39),$R$39,IF(AND(L35&gt;=$O$40,L35&lt;=$P$40),$R$40,IF(AND(L35&gt;=$O$41,L35&lt;=$P$41),$R$41,IF(AND(L35&gt;=$O$42,L35&lt;=$P$42),$R$42,IF(AND(L35&gt;=$O$43,L35&lt;=$P$43),$R$43,IF(AND(L35&gt;=$O$44,L35&lt;=$P$44),$R$44,IF(AND(L35&gt;=$O$45,L35&lt;=$P$45),$R$45,IF(AND(L35&gt;=$O$46,L35&lt;$P$46),$R$46,IF(AND(L35&gt;$O$47,L35&lt;$P$47),$R$47,IF(AND(L35&lt;=$P$48),$R$48,0))))))))))))</f>
        <v>D</v>
      </c>
      <c r="O35" s="112">
        <v>49.5</v>
      </c>
      <c r="P35" s="111">
        <v>54.49</v>
      </c>
      <c r="Q35" s="29" t="s">
        <v>6</v>
      </c>
      <c r="R35" s="30" t="s">
        <v>129</v>
      </c>
    </row>
    <row r="36" spans="2:18" ht="16.5" thickBot="1" x14ac:dyDescent="0.3">
      <c r="B36" s="13">
        <v>3</v>
      </c>
      <c r="C36" s="183" t="s">
        <v>53</v>
      </c>
      <c r="D36" s="183"/>
      <c r="E36" s="183"/>
      <c r="F36" s="209">
        <f>'MP X AKL'!G22</f>
        <v>60</v>
      </c>
      <c r="G36" s="210"/>
      <c r="H36" s="211">
        <f>VLOOKUP(R9,'L X AKL'!$B$9:$BI$43,42,)</f>
        <v>0</v>
      </c>
      <c r="I36" s="212"/>
      <c r="J36" s="211">
        <f>VLOOKUP(R9,'L X AKL'!$B$9:$BI$43,42,)</f>
        <v>0</v>
      </c>
      <c r="K36" s="212"/>
      <c r="L36" s="24">
        <f t="shared" si="4"/>
        <v>0</v>
      </c>
      <c r="M36" s="13" t="str">
        <f t="shared" si="5"/>
        <v>D</v>
      </c>
    </row>
    <row r="37" spans="2:18" ht="15.75" x14ac:dyDescent="0.25">
      <c r="B37" s="13">
        <v>4</v>
      </c>
      <c r="C37" s="187" t="s">
        <v>54</v>
      </c>
      <c r="D37" s="187"/>
      <c r="E37" s="187"/>
      <c r="F37" s="209">
        <f>'MP X AKL'!G23</f>
        <v>60</v>
      </c>
      <c r="G37" s="210"/>
      <c r="H37" s="211">
        <f>VLOOKUP(R9,'L X AKL'!$B$9:$BI$43,44,)</f>
        <v>0</v>
      </c>
      <c r="I37" s="212"/>
      <c r="J37" s="211">
        <f>VLOOKUP(R9,'L X AKL'!$B$9:$BI$43,45,)</f>
        <v>0</v>
      </c>
      <c r="K37" s="212"/>
      <c r="L37" s="24">
        <f t="shared" si="4"/>
        <v>0</v>
      </c>
      <c r="M37" s="13" t="str">
        <f t="shared" si="5"/>
        <v>D</v>
      </c>
      <c r="O37" s="217" t="s">
        <v>140</v>
      </c>
      <c r="P37" s="218"/>
      <c r="Q37" s="218"/>
      <c r="R37" s="219"/>
    </row>
    <row r="38" spans="2:18" ht="16.5" thickBot="1" x14ac:dyDescent="0.3">
      <c r="C38" s="261" t="s">
        <v>55</v>
      </c>
      <c r="D38" s="262"/>
      <c r="E38" s="262"/>
      <c r="F38" s="262"/>
      <c r="G38" s="262"/>
      <c r="H38" s="262"/>
      <c r="I38" s="262"/>
      <c r="J38" s="262"/>
      <c r="K38" s="262"/>
      <c r="L38" s="262"/>
      <c r="M38" s="263"/>
      <c r="O38" s="118" t="s">
        <v>141</v>
      </c>
      <c r="P38" s="119" t="s">
        <v>142</v>
      </c>
      <c r="Q38" s="119"/>
      <c r="R38" s="120" t="s">
        <v>138</v>
      </c>
    </row>
    <row r="39" spans="2:18" ht="15.75" x14ac:dyDescent="0.25">
      <c r="B39" s="13">
        <v>1</v>
      </c>
      <c r="C39" s="183" t="s">
        <v>56</v>
      </c>
      <c r="D39" s="183"/>
      <c r="E39" s="183"/>
      <c r="F39" s="209">
        <f>'MP X AKL'!G25</f>
        <v>70</v>
      </c>
      <c r="G39" s="210"/>
      <c r="H39" s="211">
        <f>VLOOKUP(R9,'L X AKL'!$B$9:$BI$43,47,)</f>
        <v>0</v>
      </c>
      <c r="I39" s="212"/>
      <c r="J39" s="211">
        <f>VLOOKUP(R9,'L X AKL'!$B$9:$BI$43,48,)</f>
        <v>0</v>
      </c>
      <c r="K39" s="212"/>
      <c r="L39" s="24">
        <f>IF(J39=0,H39,AVERAGE(H39:K39))</f>
        <v>0</v>
      </c>
      <c r="M39" s="13" t="str">
        <f>IF(F39=60,IF(AND(L39&gt;=$O$26,L39&lt;$P$26),$R$26,IF(AND(L39&gt;=$O$27,L39&lt;=$P$27),$R$27,IF(AND(L39&gt;=$O$28,L39&lt;=$P$28),$R$28,IF(AND(L39&gt;=$O$29,L39&lt;=$P$29),$R$29,IF(AND(L39&gt;=$O$30,L39&lt;=$P$30),$R$30,IF(AND(L39&gt;=$O$31,L39&lt;=$P$31),$R$31,IF(AND(L39&gt;=$O$32,L39&lt;=$P$32),$R$32,IF(AND(L39&gt;=$O$33,L39&lt;$P$33),$R$33,IF(AND(L39&gt;$O$34,L39&lt;$P$34),$R$34,IF(AND(L39&lt;=$P$35),$R$35,0)))))))))),IF(F39=70,IF(AND(L39&gt;$O$39,L39&lt;$P$39),$R$39,IF(AND(L39&gt;=$O$40,L39&lt;=$P$40),$R$40,IF(AND(L39&gt;=$O$41,L39&lt;=$P$41),$R$41,IF(AND(L39&gt;=$O$42,L39&lt;=$P$42),$R$42,IF(AND(L39&gt;=$O$43,L39&lt;=$P$43),$R$43,IF(AND(L39&gt;=$O$44,L39&lt;=$P$44),$R$44,IF(AND(L39&gt;=$O$45,L39&lt;=$P$45),$R$45,IF(AND(L39&gt;=$O$46,L39&lt;$P$46),$R$46,IF(AND(L39&gt;$O$47,L39&lt;$P$47),$R$47,IF(AND(L39&lt;=$P$48),$R$48,0))))))))))))</f>
        <v>D</v>
      </c>
      <c r="O39" s="121">
        <v>96.5</v>
      </c>
      <c r="P39" s="122">
        <v>100</v>
      </c>
      <c r="Q39" s="115" t="s">
        <v>6</v>
      </c>
      <c r="R39" s="116" t="s">
        <v>137</v>
      </c>
    </row>
    <row r="40" spans="2:18" ht="15.75" x14ac:dyDescent="0.25">
      <c r="B40" s="13">
        <v>2</v>
      </c>
      <c r="C40" s="183" t="s">
        <v>57</v>
      </c>
      <c r="D40" s="183"/>
      <c r="E40" s="183"/>
      <c r="F40" s="209">
        <f>'MP X AKL'!G26</f>
        <v>70</v>
      </c>
      <c r="G40" s="210"/>
      <c r="H40" s="211">
        <f>VLOOKUP(R9,'L X AKL'!$B$9:$BI$43,50,)</f>
        <v>0</v>
      </c>
      <c r="I40" s="212"/>
      <c r="J40" s="211">
        <f>VLOOKUP(R9,'L X AKL'!$B$9:$BI$43,51,)</f>
        <v>0</v>
      </c>
      <c r="K40" s="212"/>
      <c r="L40" s="24">
        <f t="shared" ref="L40:L42" si="6">IF(J40=0,H40,AVERAGE(H40:K40))</f>
        <v>0</v>
      </c>
      <c r="M40" s="13" t="str">
        <f t="shared" ref="M40:M42" si="7">IF(F40=60,IF(AND(L40&gt;=$O$26,L40&lt;$P$26),$R$26,IF(AND(L40&gt;=$O$27,L40&lt;=$P$27),$R$27,IF(AND(L40&gt;=$O$28,L40&lt;=$P$28),$R$28,IF(AND(L40&gt;=$O$29,L40&lt;=$P$29),$R$29,IF(AND(L40&gt;=$O$30,L40&lt;=$P$30),$R$30,IF(AND(L40&gt;=$O$31,L40&lt;=$P$31),$R$31,IF(AND(L40&gt;=$O$32,L40&lt;=$P$32),$R$32,IF(AND(L40&gt;=$O$33,L40&lt;$P$33),$R$33,IF(AND(L40&gt;$O$34,L40&lt;$P$34),$R$34,IF(AND(L40&lt;=$P$35),$R$35,0)))))))))),IF(F40=70,IF(AND(L40&gt;$O$39,L40&lt;$P$39),$R$39,IF(AND(L40&gt;=$O$40,L40&lt;=$P$40),$R$40,IF(AND(L40&gt;=$O$41,L40&lt;=$P$41),$R$41,IF(AND(L40&gt;=$O$42,L40&lt;=$P$42),$R$42,IF(AND(L40&gt;=$O$43,L40&lt;=$P$43),$R$43,IF(AND(L40&gt;=$O$44,L40&lt;=$P$44),$R$44,IF(AND(L40&gt;=$O$45,L40&lt;=$P$45),$R$45,IF(AND(L40&gt;=$O$46,L40&lt;$P$46),$R$46,IF(AND(L40&gt;$O$47,L40&lt;$P$47),$R$47,IF(AND(L40&lt;=$P$48),$R$48,0))))))))))))</f>
        <v>D</v>
      </c>
      <c r="O40" s="123">
        <v>93.5</v>
      </c>
      <c r="P40" s="110">
        <v>96.49</v>
      </c>
      <c r="Q40" s="33" t="s">
        <v>6</v>
      </c>
      <c r="R40" s="34" t="s">
        <v>136</v>
      </c>
    </row>
    <row r="41" spans="2:18" ht="15.75" x14ac:dyDescent="0.25">
      <c r="B41" s="13">
        <v>3</v>
      </c>
      <c r="C41" s="183" t="s">
        <v>58</v>
      </c>
      <c r="D41" s="183"/>
      <c r="E41" s="183"/>
      <c r="F41" s="209">
        <f>'MP X AKL'!G27</f>
        <v>70</v>
      </c>
      <c r="G41" s="210"/>
      <c r="H41" s="211">
        <f>VLOOKUP(R9,'L X AKL'!$B$9:$BI$43,53,)</f>
        <v>0</v>
      </c>
      <c r="I41" s="212"/>
      <c r="J41" s="211">
        <f>VLOOKUP(R9,'L X AKL'!$B$9:$BI$43,54,)</f>
        <v>0</v>
      </c>
      <c r="K41" s="212"/>
      <c r="L41" s="24">
        <f t="shared" si="6"/>
        <v>0</v>
      </c>
      <c r="M41" s="13" t="str">
        <f t="shared" si="7"/>
        <v>D</v>
      </c>
      <c r="O41" s="123">
        <v>89.5</v>
      </c>
      <c r="P41" s="110">
        <v>93.49</v>
      </c>
      <c r="Q41" s="33" t="s">
        <v>6</v>
      </c>
      <c r="R41" s="34" t="s">
        <v>135</v>
      </c>
    </row>
    <row r="42" spans="2:18" ht="15.75" x14ac:dyDescent="0.25">
      <c r="B42" s="13">
        <v>4</v>
      </c>
      <c r="C42" s="183" t="s">
        <v>59</v>
      </c>
      <c r="D42" s="183"/>
      <c r="E42" s="183"/>
      <c r="F42" s="209">
        <f>'MP X AKL'!G28</f>
        <v>70</v>
      </c>
      <c r="G42" s="210"/>
      <c r="H42" s="211">
        <f>VLOOKUP(R9,'L X AKL'!$B$9:$BI$43,56,)</f>
        <v>0</v>
      </c>
      <c r="I42" s="212"/>
      <c r="J42" s="211">
        <f>VLOOKUP(R9,'L X AKL'!$B$9:$BI$43,57,)</f>
        <v>0</v>
      </c>
      <c r="K42" s="212"/>
      <c r="L42" s="24">
        <f t="shared" si="6"/>
        <v>0</v>
      </c>
      <c r="M42" s="13" t="str">
        <f t="shared" si="7"/>
        <v>D</v>
      </c>
      <c r="O42" s="123">
        <v>85.5</v>
      </c>
      <c r="P42" s="110">
        <v>89.49</v>
      </c>
      <c r="Q42" s="33" t="s">
        <v>6</v>
      </c>
      <c r="R42" s="34" t="s">
        <v>134</v>
      </c>
    </row>
    <row r="43" spans="2:18" ht="15.75" x14ac:dyDescent="0.25">
      <c r="B43" s="213" t="s">
        <v>60</v>
      </c>
      <c r="C43" s="214"/>
      <c r="D43" s="214"/>
      <c r="E43" s="214"/>
      <c r="F43" s="214"/>
      <c r="G43" s="215"/>
      <c r="H43" s="216">
        <f>VLOOKUP(R9,'L X AKL'!$B$9:$BI$43,59,)</f>
        <v>0</v>
      </c>
      <c r="I43" s="216"/>
      <c r="J43" s="216"/>
      <c r="K43" s="216"/>
      <c r="L43" s="216"/>
      <c r="M43" s="216"/>
      <c r="O43" s="123">
        <v>81.5</v>
      </c>
      <c r="P43" s="110">
        <v>85.49</v>
      </c>
      <c r="Q43" s="33" t="s">
        <v>6</v>
      </c>
      <c r="R43" s="34" t="s">
        <v>118</v>
      </c>
    </row>
    <row r="44" spans="2:18" ht="15.75" x14ac:dyDescent="0.25">
      <c r="B44" s="240" t="s">
        <v>61</v>
      </c>
      <c r="C44" s="241"/>
      <c r="D44" s="241"/>
      <c r="E44" s="241"/>
      <c r="F44" s="241"/>
      <c r="G44" s="242"/>
      <c r="H44" s="239">
        <f>VLOOKUP(R9,'L X AKL'!$B$9:$BI$43,60,)</f>
        <v>1</v>
      </c>
      <c r="I44" s="239"/>
      <c r="J44" s="239"/>
      <c r="K44" s="239"/>
      <c r="L44" s="239"/>
      <c r="M44" s="239"/>
      <c r="O44" s="123">
        <v>77.5</v>
      </c>
      <c r="P44" s="110">
        <v>81.489999999999995</v>
      </c>
      <c r="Q44" s="33" t="s">
        <v>6</v>
      </c>
      <c r="R44" s="34" t="s">
        <v>133</v>
      </c>
    </row>
    <row r="45" spans="2:18" ht="15.75" x14ac:dyDescent="0.25">
      <c r="B45" s="264" t="s">
        <v>165</v>
      </c>
      <c r="C45" s="264"/>
      <c r="D45" s="264"/>
      <c r="E45" s="264"/>
      <c r="F45" s="264"/>
      <c r="G45" s="264"/>
      <c r="H45" s="264"/>
      <c r="I45" s="264"/>
      <c r="J45" s="264"/>
      <c r="K45" s="264"/>
      <c r="L45" s="264"/>
      <c r="M45" s="264"/>
      <c r="O45" s="123">
        <v>73.5</v>
      </c>
      <c r="P45" s="110">
        <v>77.489999999999995</v>
      </c>
      <c r="Q45" s="33" t="s">
        <v>6</v>
      </c>
      <c r="R45" s="34" t="s">
        <v>132</v>
      </c>
    </row>
    <row r="46" spans="2:18" ht="15" x14ac:dyDescent="0.25">
      <c r="B46" s="94" t="s">
        <v>27</v>
      </c>
      <c r="C46" s="267" t="s">
        <v>36</v>
      </c>
      <c r="D46" s="268"/>
      <c r="E46" s="269"/>
      <c r="F46" s="265" t="s">
        <v>172</v>
      </c>
      <c r="G46" s="265"/>
      <c r="H46" s="265"/>
      <c r="I46" s="265"/>
      <c r="J46" s="265"/>
      <c r="K46" s="265"/>
      <c r="L46" s="265"/>
      <c r="M46" s="265"/>
      <c r="O46" s="123">
        <v>69.5</v>
      </c>
      <c r="P46" s="110">
        <v>73.489999999999995</v>
      </c>
      <c r="Q46" s="33" t="s">
        <v>6</v>
      </c>
      <c r="R46" s="34" t="s">
        <v>131</v>
      </c>
    </row>
    <row r="47" spans="2:18" ht="15" x14ac:dyDescent="0.25">
      <c r="B47" s="7">
        <v>1</v>
      </c>
      <c r="C47" s="96" t="s">
        <v>166</v>
      </c>
      <c r="D47" s="95" t="s">
        <v>6</v>
      </c>
      <c r="E47" s="109">
        <f>VLOOKUP(R9,'BK &amp; EX &amp; PKL &amp; Press'!$B$9:$BO$66,26,0)</f>
        <v>0</v>
      </c>
      <c r="F47" s="266">
        <f>VLOOKUP(R9,'BK &amp; EX &amp; PKL &amp; Press'!$B$9:$BO$66,27,0)</f>
        <v>0</v>
      </c>
      <c r="G47" s="266"/>
      <c r="H47" s="266"/>
      <c r="I47" s="266"/>
      <c r="J47" s="266"/>
      <c r="K47" s="266"/>
      <c r="L47" s="266"/>
      <c r="M47" s="266"/>
      <c r="O47" s="123">
        <v>64.5</v>
      </c>
      <c r="P47" s="110">
        <v>69.489999999999995</v>
      </c>
      <c r="Q47" s="33" t="s">
        <v>6</v>
      </c>
      <c r="R47" s="34" t="s">
        <v>130</v>
      </c>
    </row>
    <row r="48" spans="2:18" ht="15.75" thickBot="1" x14ac:dyDescent="0.3">
      <c r="B48" s="7">
        <v>2</v>
      </c>
      <c r="C48" s="96" t="s">
        <v>159</v>
      </c>
      <c r="D48" s="95" t="s">
        <v>6</v>
      </c>
      <c r="E48" s="109">
        <f>VLOOKUP(R9,'BK &amp; EX &amp; PKL &amp; Press'!$B$9:$BO$66,29,0)</f>
        <v>0</v>
      </c>
      <c r="F48" s="266">
        <f>VLOOKUP(R9,'BK &amp; EX &amp; PKL &amp; Press'!$B$9:$BO$66,30,0)</f>
        <v>0</v>
      </c>
      <c r="G48" s="266"/>
      <c r="H48" s="266"/>
      <c r="I48" s="266"/>
      <c r="J48" s="266"/>
      <c r="K48" s="266"/>
      <c r="L48" s="266"/>
      <c r="M48" s="266"/>
      <c r="O48" s="124">
        <v>60.5</v>
      </c>
      <c r="P48" s="111">
        <v>64.489999999999995</v>
      </c>
      <c r="Q48" s="29" t="s">
        <v>6</v>
      </c>
      <c r="R48" s="30" t="s">
        <v>129</v>
      </c>
    </row>
    <row r="49" spans="2:13" ht="15" x14ac:dyDescent="0.25">
      <c r="B49" s="7">
        <v>3</v>
      </c>
      <c r="C49" s="96" t="s">
        <v>167</v>
      </c>
      <c r="D49" s="95" t="s">
        <v>6</v>
      </c>
      <c r="E49" s="109">
        <f>VLOOKUP(R9,'BK &amp; EX &amp; PKL &amp; Press'!$B$9:$BO$66,32,0)</f>
        <v>0</v>
      </c>
      <c r="F49" s="266">
        <f>VLOOKUP(R9,'BK &amp; EX &amp; PKL &amp; Press'!$B$9:$BO$66,33,0)</f>
        <v>0</v>
      </c>
      <c r="G49" s="266"/>
      <c r="H49" s="266"/>
      <c r="I49" s="266"/>
      <c r="J49" s="266"/>
      <c r="K49" s="266"/>
      <c r="L49" s="266"/>
      <c r="M49" s="266"/>
    </row>
    <row r="50" spans="2:13" ht="15" x14ac:dyDescent="0.25">
      <c r="B50" s="7">
        <v>4</v>
      </c>
      <c r="C50" s="96" t="s">
        <v>168</v>
      </c>
      <c r="D50" s="95" t="s">
        <v>6</v>
      </c>
      <c r="E50" s="109">
        <f>VLOOKUP(R9,'BK &amp; EX &amp; PKL &amp; Press'!$B$9:$BO$66,35,0)</f>
        <v>0</v>
      </c>
      <c r="F50" s="266">
        <f>VLOOKUP(R9,'BK &amp; EX &amp; PKL &amp; Press'!$B$9:$BO$66,36,0)</f>
        <v>0</v>
      </c>
      <c r="G50" s="266"/>
      <c r="H50" s="266"/>
      <c r="I50" s="266"/>
      <c r="J50" s="266"/>
      <c r="K50" s="266"/>
      <c r="L50" s="266"/>
      <c r="M50" s="266"/>
    </row>
    <row r="51" spans="2:13" ht="15" x14ac:dyDescent="0.25">
      <c r="B51" s="7">
        <v>5</v>
      </c>
      <c r="C51" s="96" t="s">
        <v>169</v>
      </c>
      <c r="D51" s="95" t="s">
        <v>6</v>
      </c>
      <c r="E51" s="109">
        <f>VLOOKUP(R9,'BK &amp; EX &amp; PKL &amp; Press'!$B$9:$BO$66,38,0)</f>
        <v>0</v>
      </c>
      <c r="F51" s="266">
        <f>VLOOKUP(R9,'BK &amp; EX &amp; PKL &amp; Press'!$B$9:$BO$66,39,0)</f>
        <v>0</v>
      </c>
      <c r="G51" s="266"/>
      <c r="H51" s="266"/>
      <c r="I51" s="266"/>
      <c r="J51" s="266"/>
      <c r="K51" s="266"/>
      <c r="L51" s="266"/>
      <c r="M51" s="266"/>
    </row>
    <row r="52" spans="2:13" ht="15" x14ac:dyDescent="0.25">
      <c r="B52" s="7">
        <v>6</v>
      </c>
      <c r="C52" s="96" t="s">
        <v>160</v>
      </c>
      <c r="D52" s="95" t="s">
        <v>6</v>
      </c>
      <c r="E52" s="109">
        <f>VLOOKUP(R9,'BK &amp; EX &amp; PKL &amp; Press'!$B$9:$BO$66,41,0)</f>
        <v>0</v>
      </c>
      <c r="F52" s="266">
        <f>VLOOKUP(R9,'BK &amp; EX &amp; PKL &amp; Press'!$B$9:$BO$66,42,0)</f>
        <v>0</v>
      </c>
      <c r="G52" s="266"/>
      <c r="H52" s="266"/>
      <c r="I52" s="266"/>
      <c r="J52" s="266"/>
      <c r="K52" s="266"/>
      <c r="L52" s="266"/>
      <c r="M52" s="266"/>
    </row>
    <row r="53" spans="2:13" ht="15" x14ac:dyDescent="0.25">
      <c r="B53" s="7">
        <v>7</v>
      </c>
      <c r="C53" s="96" t="s">
        <v>170</v>
      </c>
      <c r="D53" s="95" t="s">
        <v>6</v>
      </c>
      <c r="E53" s="109" t="str">
        <f>VLOOKUP(R9,'BK &amp; EX &amp; PKL &amp; Press'!$B$9:$BO$66,44,0)</f>
        <v>A</v>
      </c>
      <c r="F53" s="266" t="str">
        <f>VLOOKUP(R9,'BK &amp; EX &amp; PKL &amp; Press'!$B$9:$BO$66,45,0)</f>
        <v>Ananda AFMALA INSAN QOIRUNISA Sangat baik dalam mengikuti kegiatan ekstrakurikuler Marching Band</v>
      </c>
      <c r="G53" s="266"/>
      <c r="H53" s="266"/>
      <c r="I53" s="266"/>
      <c r="J53" s="266"/>
      <c r="K53" s="266"/>
      <c r="L53" s="266"/>
      <c r="M53" s="266"/>
    </row>
    <row r="54" spans="2:13" ht="15" x14ac:dyDescent="0.25">
      <c r="B54" s="7">
        <v>8</v>
      </c>
      <c r="C54" s="96" t="s">
        <v>171</v>
      </c>
      <c r="D54" s="95" t="s">
        <v>6</v>
      </c>
      <c r="E54" s="109">
        <f>VLOOKUP(R9,'BK &amp; EX &amp; PKL &amp; Press'!$B$9:$BO$66,47,0)</f>
        <v>0</v>
      </c>
      <c r="F54" s="266">
        <f>VLOOKUP(R9,'BK &amp; EX &amp; PKL &amp; Press'!$B$9:$BO$66,48,0)</f>
        <v>0</v>
      </c>
      <c r="G54" s="266"/>
      <c r="H54" s="266"/>
      <c r="I54" s="266"/>
      <c r="J54" s="266"/>
      <c r="K54" s="266"/>
      <c r="L54" s="266"/>
      <c r="M54" s="266"/>
    </row>
    <row r="55" spans="2:13" ht="15" x14ac:dyDescent="0.25">
      <c r="B55" s="243" t="s">
        <v>173</v>
      </c>
      <c r="C55" s="244"/>
      <c r="D55" s="244"/>
      <c r="E55" s="245"/>
      <c r="F55" s="254" t="s">
        <v>174</v>
      </c>
      <c r="G55" s="254"/>
      <c r="H55" s="254"/>
      <c r="I55" s="97" t="s">
        <v>6</v>
      </c>
      <c r="J55" s="99">
        <f>VLOOKUP(R9,'BK &amp; EX &amp; PKL &amp; Press'!$B$9:$BO$66,56,0)</f>
        <v>0</v>
      </c>
      <c r="K55" s="254" t="s">
        <v>177</v>
      </c>
      <c r="L55" s="254"/>
      <c r="M55" s="257"/>
    </row>
    <row r="56" spans="2:13" ht="15" x14ac:dyDescent="0.25">
      <c r="B56" s="246"/>
      <c r="C56" s="247"/>
      <c r="D56" s="247"/>
      <c r="E56" s="248"/>
      <c r="F56" s="253" t="s">
        <v>175</v>
      </c>
      <c r="G56" s="253"/>
      <c r="H56" s="253"/>
      <c r="I56" s="6" t="s">
        <v>6</v>
      </c>
      <c r="J56" s="100">
        <f>VLOOKUP(R9,'BK &amp; EX &amp; PKL &amp; Press'!$B$9:$BO$66,57,0)</f>
        <v>1</v>
      </c>
      <c r="K56" s="253" t="s">
        <v>177</v>
      </c>
      <c r="L56" s="253"/>
      <c r="M56" s="256"/>
    </row>
    <row r="57" spans="2:13" ht="15" x14ac:dyDescent="0.25">
      <c r="B57" s="249"/>
      <c r="C57" s="250"/>
      <c r="D57" s="250"/>
      <c r="E57" s="251"/>
      <c r="F57" s="252" t="s">
        <v>176</v>
      </c>
      <c r="G57" s="252"/>
      <c r="H57" s="252"/>
      <c r="I57" s="98" t="s">
        <v>6</v>
      </c>
      <c r="J57" s="101">
        <f>VLOOKUP(R9,'BK &amp; EX &amp; PKL &amp; Press'!$B$9:$BO$66,58,0)</f>
        <v>0</v>
      </c>
      <c r="K57" s="252" t="s">
        <v>177</v>
      </c>
      <c r="L57" s="252"/>
      <c r="M57" s="255"/>
    </row>
    <row r="58" spans="2:13" ht="15.75" x14ac:dyDescent="0.25">
      <c r="B58" s="271" t="s">
        <v>178</v>
      </c>
      <c r="C58" s="272"/>
      <c r="D58" s="272"/>
      <c r="E58" s="272"/>
      <c r="F58" s="272"/>
      <c r="G58" s="272"/>
      <c r="H58" s="272"/>
      <c r="I58" s="272"/>
      <c r="J58" s="272"/>
      <c r="K58" s="272"/>
      <c r="L58" s="272"/>
      <c r="M58" s="273"/>
    </row>
    <row r="59" spans="2:13" ht="15" x14ac:dyDescent="0.25">
      <c r="B59" s="274"/>
      <c r="C59" s="151"/>
      <c r="D59" s="151"/>
      <c r="E59" s="151"/>
      <c r="F59" s="151"/>
      <c r="G59" s="151"/>
      <c r="H59" s="151"/>
      <c r="I59" s="151"/>
      <c r="J59" s="151"/>
      <c r="K59" s="151"/>
      <c r="L59" s="151"/>
      <c r="M59" s="275"/>
    </row>
    <row r="60" spans="2:13" ht="36" customHeight="1" x14ac:dyDescent="0.25">
      <c r="B60" s="276"/>
      <c r="C60" s="277"/>
      <c r="D60" s="277"/>
      <c r="E60" s="277"/>
      <c r="F60" s="277"/>
      <c r="G60" s="277"/>
      <c r="H60" s="277"/>
      <c r="I60" s="277"/>
      <c r="J60" s="277"/>
      <c r="K60" s="277"/>
      <c r="L60" s="277"/>
      <c r="M60" s="278"/>
    </row>
    <row r="61" spans="2:13" ht="15" x14ac:dyDescent="0.25">
      <c r="B61" s="6"/>
      <c r="C61" s="6"/>
      <c r="D61" s="6"/>
      <c r="E61" s="6"/>
      <c r="F61" s="6"/>
      <c r="G61" s="6"/>
      <c r="H61" s="6"/>
      <c r="I61" s="6"/>
      <c r="J61" s="6"/>
      <c r="K61" s="6"/>
      <c r="L61" s="6"/>
      <c r="M61" s="6"/>
    </row>
    <row r="62" spans="2:13" ht="15.75" x14ac:dyDescent="0.25">
      <c r="B62" s="1"/>
      <c r="C62" s="1"/>
      <c r="D62" s="1"/>
      <c r="E62" s="1"/>
      <c r="F62" s="1"/>
      <c r="G62" s="1"/>
      <c r="H62" s="1"/>
      <c r="I62" s="1"/>
      <c r="J62" s="129" t="str">
        <f>ID!G11</f>
        <v>31 MARET 2023</v>
      </c>
      <c r="K62" s="129"/>
      <c r="L62" s="129"/>
      <c r="M62" s="129"/>
    </row>
    <row r="63" spans="2:13" ht="15.75" x14ac:dyDescent="0.25">
      <c r="E63" s="1"/>
      <c r="F63" s="1" t="s">
        <v>67</v>
      </c>
      <c r="G63" s="1"/>
      <c r="H63" s="1"/>
      <c r="I63" s="1"/>
      <c r="J63" s="1"/>
      <c r="K63" s="1"/>
      <c r="L63" s="1"/>
      <c r="M63" s="1"/>
    </row>
    <row r="64" spans="2:13" ht="15.75" x14ac:dyDescent="0.25">
      <c r="B64" s="203" t="s">
        <v>180</v>
      </c>
      <c r="C64" s="203"/>
      <c r="D64" s="203"/>
      <c r="E64" s="203" t="s">
        <v>179</v>
      </c>
      <c r="F64" s="203"/>
      <c r="G64" s="203"/>
      <c r="H64" s="203"/>
      <c r="I64" s="203"/>
      <c r="J64" s="203" t="s">
        <v>62</v>
      </c>
      <c r="K64" s="203"/>
      <c r="L64" s="203"/>
      <c r="M64" s="203"/>
    </row>
    <row r="65" spans="2:13" ht="15.75" x14ac:dyDescent="0.25">
      <c r="B65" s="1"/>
      <c r="C65" s="1"/>
      <c r="D65" s="1"/>
      <c r="E65" s="1"/>
      <c r="F65" s="1"/>
      <c r="G65" s="1"/>
      <c r="H65" s="1"/>
      <c r="I65" s="1"/>
      <c r="J65" s="1"/>
      <c r="K65" s="1"/>
      <c r="L65" s="1"/>
      <c r="M65" s="1"/>
    </row>
    <row r="66" spans="2:13" ht="15.75" x14ac:dyDescent="0.25">
      <c r="B66" s="1"/>
      <c r="C66" s="1"/>
      <c r="D66" s="1"/>
      <c r="E66" s="1"/>
      <c r="F66" s="1"/>
      <c r="G66" s="1"/>
      <c r="H66" s="1"/>
      <c r="I66" s="1"/>
      <c r="J66" s="1"/>
      <c r="K66" s="1"/>
      <c r="L66" s="1"/>
      <c r="M66" s="1"/>
    </row>
    <row r="67" spans="2:13" ht="15.75" x14ac:dyDescent="0.25">
      <c r="B67" s="1"/>
      <c r="C67" s="1"/>
      <c r="D67" s="1"/>
      <c r="E67" s="1"/>
      <c r="F67" s="1"/>
      <c r="G67" s="1"/>
      <c r="H67" s="1"/>
      <c r="I67" s="1"/>
      <c r="J67" s="1"/>
      <c r="K67" s="1"/>
      <c r="L67" s="1"/>
      <c r="M67" s="1"/>
    </row>
    <row r="68" spans="2:13" ht="15.75" x14ac:dyDescent="0.25">
      <c r="B68" s="270" t="s">
        <v>181</v>
      </c>
      <c r="C68" s="270"/>
      <c r="D68" s="270"/>
      <c r="E68" s="204" t="str">
        <f>ID!G6</f>
        <v>Sri Rahayu, S.Pd., SE.</v>
      </c>
      <c r="F68" s="204"/>
      <c r="G68" s="204"/>
      <c r="H68" s="204"/>
      <c r="I68" s="204"/>
      <c r="J68" s="204" t="str">
        <f>ID!G10</f>
        <v>SURADI S.Pd.</v>
      </c>
      <c r="K68" s="204"/>
      <c r="L68" s="204"/>
      <c r="M68" s="204"/>
    </row>
    <row r="69" spans="2:13" ht="15.75" x14ac:dyDescent="0.25">
      <c r="B69" s="4"/>
      <c r="C69" s="4"/>
      <c r="D69" s="4"/>
      <c r="E69" s="4"/>
      <c r="F69" s="1"/>
      <c r="G69" s="1"/>
      <c r="H69" s="4"/>
      <c r="I69" s="4"/>
      <c r="J69" s="4"/>
      <c r="K69" s="4"/>
      <c r="L69" s="4"/>
      <c r="M69" s="4"/>
    </row>
    <row r="70" spans="2:13" s="21" customFormat="1" ht="7.5" customHeight="1" x14ac:dyDescent="0.25"/>
  </sheetData>
  <sheetProtection selectLockedCells="1"/>
  <mergeCells count="148">
    <mergeCell ref="J62:M62"/>
    <mergeCell ref="J64:M64"/>
    <mergeCell ref="J68:M68"/>
    <mergeCell ref="B64:D64"/>
    <mergeCell ref="E64:I64"/>
    <mergeCell ref="E68:I68"/>
    <mergeCell ref="B68:D68"/>
    <mergeCell ref="B58:M58"/>
    <mergeCell ref="B59:M60"/>
    <mergeCell ref="B55:E57"/>
    <mergeCell ref="F57:H57"/>
    <mergeCell ref="F56:H56"/>
    <mergeCell ref="F55:H55"/>
    <mergeCell ref="K57:M57"/>
    <mergeCell ref="K56:M56"/>
    <mergeCell ref="K55:M55"/>
    <mergeCell ref="B18:M18"/>
    <mergeCell ref="C33:M33"/>
    <mergeCell ref="C38:M38"/>
    <mergeCell ref="B45:M45"/>
    <mergeCell ref="F46:M46"/>
    <mergeCell ref="F54:M54"/>
    <mergeCell ref="F53:M53"/>
    <mergeCell ref="F52:M52"/>
    <mergeCell ref="F51:M51"/>
    <mergeCell ref="F50:M50"/>
    <mergeCell ref="F49:M49"/>
    <mergeCell ref="F48:M48"/>
    <mergeCell ref="F47:M47"/>
    <mergeCell ref="C46:E46"/>
    <mergeCell ref="J35:K35"/>
    <mergeCell ref="J34:K34"/>
    <mergeCell ref="J31:K31"/>
    <mergeCell ref="J25:K25"/>
    <mergeCell ref="J24:K24"/>
    <mergeCell ref="J23:K23"/>
    <mergeCell ref="J22:K22"/>
    <mergeCell ref="B32:M32"/>
    <mergeCell ref="C24:E24"/>
    <mergeCell ref="F24:G24"/>
    <mergeCell ref="H24:I24"/>
    <mergeCell ref="C25:E25"/>
    <mergeCell ref="F25:G25"/>
    <mergeCell ref="H25:I25"/>
    <mergeCell ref="C22:E22"/>
    <mergeCell ref="F22:G22"/>
    <mergeCell ref="H22:I22"/>
    <mergeCell ref="C23:E23"/>
    <mergeCell ref="F23:G23"/>
    <mergeCell ref="H23:I23"/>
    <mergeCell ref="C29:E29"/>
    <mergeCell ref="F29:G29"/>
    <mergeCell ref="H29:I29"/>
    <mergeCell ref="C30:E30"/>
    <mergeCell ref="F30:G30"/>
    <mergeCell ref="C31:E31"/>
    <mergeCell ref="F31:G31"/>
    <mergeCell ref="D2:M2"/>
    <mergeCell ref="V2:AC2"/>
    <mergeCell ref="D3:M3"/>
    <mergeCell ref="V3:AC3"/>
    <mergeCell ref="D4:M4"/>
    <mergeCell ref="V4:AC4"/>
    <mergeCell ref="D5:M5"/>
    <mergeCell ref="V5:AC5"/>
    <mergeCell ref="D6:M6"/>
    <mergeCell ref="V6:AC6"/>
    <mergeCell ref="D7:M7"/>
    <mergeCell ref="V7:AC7"/>
    <mergeCell ref="B14:C14"/>
    <mergeCell ref="E14:F14"/>
    <mergeCell ref="B15:C15"/>
    <mergeCell ref="E15:F15"/>
    <mergeCell ref="B16:C16"/>
    <mergeCell ref="E16:F16"/>
    <mergeCell ref="D8:M8"/>
    <mergeCell ref="V8:AC8"/>
    <mergeCell ref="D9:M9"/>
    <mergeCell ref="V9:AC9"/>
    <mergeCell ref="B10:M10"/>
    <mergeCell ref="B11:M11"/>
    <mergeCell ref="B12:M12"/>
    <mergeCell ref="J14:M14"/>
    <mergeCell ref="P9:Q11"/>
    <mergeCell ref="R9:R11"/>
    <mergeCell ref="P12:Q14"/>
    <mergeCell ref="R12:R14"/>
    <mergeCell ref="O7:R8"/>
    <mergeCell ref="J15:M15"/>
    <mergeCell ref="J16:M16"/>
    <mergeCell ref="C19:E19"/>
    <mergeCell ref="F19:G19"/>
    <mergeCell ref="H19:I19"/>
    <mergeCell ref="C21:E21"/>
    <mergeCell ref="F21:G21"/>
    <mergeCell ref="H21:I21"/>
    <mergeCell ref="J19:K19"/>
    <mergeCell ref="B20:M20"/>
    <mergeCell ref="J21:K21"/>
    <mergeCell ref="H31:I31"/>
    <mergeCell ref="H30:I30"/>
    <mergeCell ref="C26:E26"/>
    <mergeCell ref="F26:G26"/>
    <mergeCell ref="H26:I26"/>
    <mergeCell ref="C28:E28"/>
    <mergeCell ref="F28:G28"/>
    <mergeCell ref="H28:I28"/>
    <mergeCell ref="B27:M27"/>
    <mergeCell ref="J28:K28"/>
    <mergeCell ref="J26:K26"/>
    <mergeCell ref="J30:K30"/>
    <mergeCell ref="J29:K29"/>
    <mergeCell ref="F37:G37"/>
    <mergeCell ref="H37:I37"/>
    <mergeCell ref="J40:K40"/>
    <mergeCell ref="J39:K39"/>
    <mergeCell ref="J37:K37"/>
    <mergeCell ref="J36:K36"/>
    <mergeCell ref="C34:E34"/>
    <mergeCell ref="F34:G34"/>
    <mergeCell ref="H34:I34"/>
    <mergeCell ref="C35:E35"/>
    <mergeCell ref="F35:G35"/>
    <mergeCell ref="H35:I35"/>
    <mergeCell ref="O24:R24"/>
    <mergeCell ref="O37:R37"/>
    <mergeCell ref="H43:M43"/>
    <mergeCell ref="H44:M44"/>
    <mergeCell ref="B44:G44"/>
    <mergeCell ref="B43:G43"/>
    <mergeCell ref="C41:E41"/>
    <mergeCell ref="F41:G41"/>
    <mergeCell ref="H41:I41"/>
    <mergeCell ref="C42:E42"/>
    <mergeCell ref="F42:G42"/>
    <mergeCell ref="H42:I42"/>
    <mergeCell ref="C39:E39"/>
    <mergeCell ref="F39:G39"/>
    <mergeCell ref="H39:I39"/>
    <mergeCell ref="C40:E40"/>
    <mergeCell ref="F40:G40"/>
    <mergeCell ref="H40:I40"/>
    <mergeCell ref="J42:K42"/>
    <mergeCell ref="J41:K41"/>
    <mergeCell ref="C36:E36"/>
    <mergeCell ref="F36:G36"/>
    <mergeCell ref="H36:I36"/>
    <mergeCell ref="C37:E37"/>
  </mergeCells>
  <printOptions horizontalCentered="1" verticalCentered="1"/>
  <pageMargins left="0.31496062992126" right="0.31496062992126" top="0.35433070866141703" bottom="0.35433070866141703" header="0.31496062992126" footer="0.31496062992126"/>
  <pageSetup paperSize="10000" scale="86"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Spinner 1">
              <controlPr defaultSize="0" autoPict="0">
                <anchor moveWithCells="1" sizeWithCells="1">
                  <from>
                    <xdr:col>14</xdr:col>
                    <xdr:colOff>28575</xdr:colOff>
                    <xdr:row>8</xdr:row>
                    <xdr:rowOff>0</xdr:rowOff>
                  </from>
                  <to>
                    <xdr:col>14</xdr:col>
                    <xdr:colOff>466725</xdr:colOff>
                    <xdr:row>14</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9">
    <tabColor rgb="FF00B0F0"/>
    <pageSetUpPr fitToPage="1"/>
  </sheetPr>
  <dimension ref="A1:AC45"/>
  <sheetViews>
    <sheetView zoomScale="70" zoomScaleNormal="70" workbookViewId="0">
      <selection activeCell="N2" sqref="N2"/>
    </sheetView>
  </sheetViews>
  <sheetFormatPr defaultColWidth="0" defaultRowHeight="0" customHeight="1" zeroHeight="1" x14ac:dyDescent="0.25"/>
  <cols>
    <col min="1" max="1" width="1.5703125" style="12" customWidth="1"/>
    <col min="2" max="2" width="4.7109375" customWidth="1"/>
    <col min="3" max="3" width="16.7109375" customWidth="1"/>
    <col min="4" max="4" width="1.140625" customWidth="1"/>
    <col min="5" max="5" width="22.42578125" customWidth="1"/>
    <col min="6" max="6" width="9.42578125" customWidth="1"/>
    <col min="7" max="7" width="2.140625" customWidth="1"/>
    <col min="8" max="8" width="17.140625" customWidth="1"/>
    <col min="9" max="9" width="2.28515625" customWidth="1"/>
    <col min="10" max="10" width="16.140625" customWidth="1"/>
    <col min="11" max="11" width="1.85546875" customWidth="1"/>
    <col min="12" max="12" width="4.85546875" customWidth="1"/>
    <col min="13" max="13" width="13.7109375" customWidth="1"/>
    <col min="14" max="14" width="1.7109375" customWidth="1"/>
    <col min="15" max="16" width="9.140625" customWidth="1"/>
    <col min="17" max="17" width="2.42578125" customWidth="1"/>
    <col min="18" max="18" width="16.7109375" customWidth="1"/>
    <col min="19" max="19" width="1" customWidth="1"/>
    <col min="20" max="20" width="1.7109375" style="12" customWidth="1"/>
    <col min="21" max="29" width="0" hidden="1" customWidth="1"/>
    <col min="30" max="16384" width="9.140625" hidden="1"/>
  </cols>
  <sheetData>
    <row r="1" spans="2:29" s="21" customFormat="1" ht="7.5" customHeight="1" x14ac:dyDescent="0.25"/>
    <row r="2" spans="2:29" ht="15.75" x14ac:dyDescent="0.25">
      <c r="C2" s="3"/>
      <c r="D2" s="204" t="s">
        <v>11</v>
      </c>
      <c r="E2" s="204"/>
      <c r="F2" s="204"/>
      <c r="G2" s="204"/>
      <c r="H2" s="204"/>
      <c r="I2" s="204"/>
      <c r="J2" s="204"/>
      <c r="K2" s="204"/>
      <c r="L2" s="204"/>
      <c r="M2" s="204"/>
      <c r="N2" s="20"/>
      <c r="O2" s="20"/>
      <c r="P2" s="20"/>
      <c r="Q2" s="20"/>
      <c r="R2" s="20"/>
      <c r="V2" s="204"/>
      <c r="W2" s="204"/>
      <c r="X2" s="204"/>
      <c r="Y2" s="204"/>
      <c r="Z2" s="204"/>
      <c r="AA2" s="204"/>
      <c r="AB2" s="204"/>
      <c r="AC2" s="204"/>
    </row>
    <row r="3" spans="2:29" ht="15.75" x14ac:dyDescent="0.25">
      <c r="C3" s="3"/>
      <c r="D3" s="204" t="s">
        <v>12</v>
      </c>
      <c r="E3" s="204"/>
      <c r="F3" s="204"/>
      <c r="G3" s="204"/>
      <c r="H3" s="204"/>
      <c r="I3" s="204"/>
      <c r="J3" s="204"/>
      <c r="K3" s="204"/>
      <c r="L3" s="204"/>
      <c r="M3" s="204"/>
      <c r="N3" s="20"/>
      <c r="O3" s="20"/>
      <c r="P3" s="20"/>
      <c r="Q3" s="20"/>
      <c r="R3" s="20"/>
      <c r="V3" s="204"/>
      <c r="W3" s="204"/>
      <c r="X3" s="204"/>
      <c r="Y3" s="204"/>
      <c r="Z3" s="204"/>
      <c r="AA3" s="204"/>
      <c r="AB3" s="204"/>
      <c r="AC3" s="204"/>
    </row>
    <row r="4" spans="2:29" ht="15.75" x14ac:dyDescent="0.25">
      <c r="C4" s="1"/>
      <c r="D4" s="203" t="s">
        <v>13</v>
      </c>
      <c r="E4" s="203"/>
      <c r="F4" s="203"/>
      <c r="G4" s="203"/>
      <c r="H4" s="203"/>
      <c r="I4" s="203"/>
      <c r="J4" s="203"/>
      <c r="K4" s="203"/>
      <c r="L4" s="203"/>
      <c r="M4" s="203"/>
      <c r="N4" s="20"/>
      <c r="O4" s="20"/>
      <c r="P4" s="20"/>
      <c r="Q4" s="20"/>
      <c r="R4" s="20"/>
      <c r="V4" s="203"/>
      <c r="W4" s="203"/>
      <c r="X4" s="203"/>
      <c r="Y4" s="203"/>
      <c r="Z4" s="203"/>
      <c r="AA4" s="203"/>
      <c r="AB4" s="203"/>
      <c r="AC4" s="203"/>
    </row>
    <row r="5" spans="2:29" ht="15.75" x14ac:dyDescent="0.25">
      <c r="C5" s="1"/>
      <c r="D5" s="203" t="s">
        <v>14</v>
      </c>
      <c r="E5" s="203"/>
      <c r="F5" s="203"/>
      <c r="G5" s="203"/>
      <c r="H5" s="203"/>
      <c r="I5" s="203"/>
      <c r="J5" s="203"/>
      <c r="K5" s="203"/>
      <c r="L5" s="203"/>
      <c r="M5" s="203"/>
      <c r="N5" s="20"/>
      <c r="O5" s="20"/>
      <c r="P5" s="20"/>
      <c r="Q5" s="20"/>
      <c r="R5" s="20"/>
      <c r="V5" s="203"/>
      <c r="W5" s="203"/>
      <c r="X5" s="203"/>
      <c r="Y5" s="203"/>
      <c r="Z5" s="203"/>
      <c r="AA5" s="203"/>
      <c r="AB5" s="203"/>
      <c r="AC5" s="203"/>
    </row>
    <row r="6" spans="2:29" ht="16.5" thickBot="1" x14ac:dyDescent="0.3">
      <c r="C6" s="3"/>
      <c r="D6" s="204" t="s">
        <v>1</v>
      </c>
      <c r="E6" s="204"/>
      <c r="F6" s="204"/>
      <c r="G6" s="204"/>
      <c r="H6" s="204"/>
      <c r="I6" s="204"/>
      <c r="J6" s="204"/>
      <c r="K6" s="204"/>
      <c r="L6" s="204"/>
      <c r="M6" s="204"/>
      <c r="N6" s="20"/>
      <c r="O6" s="20"/>
      <c r="P6" s="20"/>
      <c r="Q6" s="20"/>
      <c r="R6" s="20"/>
      <c r="V6" s="204"/>
      <c r="W6" s="204"/>
      <c r="X6" s="204"/>
      <c r="Y6" s="204"/>
      <c r="Z6" s="204"/>
      <c r="AA6" s="204"/>
      <c r="AB6" s="204"/>
      <c r="AC6" s="204"/>
    </row>
    <row r="7" spans="2:29" ht="15.75" x14ac:dyDescent="0.25">
      <c r="C7" s="1"/>
      <c r="D7" s="203" t="s">
        <v>15</v>
      </c>
      <c r="E7" s="203"/>
      <c r="F7" s="203"/>
      <c r="G7" s="203"/>
      <c r="H7" s="203"/>
      <c r="I7" s="203"/>
      <c r="J7" s="203"/>
      <c r="K7" s="203"/>
      <c r="L7" s="203"/>
      <c r="M7" s="203"/>
      <c r="N7" s="20"/>
      <c r="O7" s="233" t="s">
        <v>69</v>
      </c>
      <c r="P7" s="234"/>
      <c r="Q7" s="234"/>
      <c r="R7" s="235"/>
      <c r="S7" s="19"/>
      <c r="V7" s="203"/>
      <c r="W7" s="203"/>
      <c r="X7" s="203"/>
      <c r="Y7" s="203"/>
      <c r="Z7" s="203"/>
      <c r="AA7" s="203"/>
      <c r="AB7" s="203"/>
      <c r="AC7" s="203"/>
    </row>
    <row r="8" spans="2:29" ht="15.75" x14ac:dyDescent="0.25">
      <c r="C8" s="1"/>
      <c r="D8" s="203" t="s">
        <v>16</v>
      </c>
      <c r="E8" s="203"/>
      <c r="F8" s="203"/>
      <c r="G8" s="203"/>
      <c r="H8" s="203"/>
      <c r="I8" s="203"/>
      <c r="J8" s="203"/>
      <c r="K8" s="203"/>
      <c r="L8" s="203"/>
      <c r="M8" s="203"/>
      <c r="N8" s="20"/>
      <c r="O8" s="236"/>
      <c r="P8" s="237"/>
      <c r="Q8" s="237"/>
      <c r="R8" s="238"/>
      <c r="V8" s="203"/>
      <c r="W8" s="203"/>
      <c r="X8" s="203"/>
      <c r="Y8" s="203"/>
      <c r="Z8" s="203"/>
      <c r="AA8" s="203"/>
      <c r="AB8" s="203"/>
      <c r="AC8" s="203"/>
    </row>
    <row r="9" spans="2:29" ht="16.5" thickBot="1" x14ac:dyDescent="0.3">
      <c r="C9" s="2"/>
      <c r="D9" s="230" t="s">
        <v>17</v>
      </c>
      <c r="E9" s="230"/>
      <c r="F9" s="230"/>
      <c r="G9" s="230"/>
      <c r="H9" s="230"/>
      <c r="I9" s="230"/>
      <c r="J9" s="230"/>
      <c r="K9" s="230"/>
      <c r="L9" s="230"/>
      <c r="M9" s="230"/>
      <c r="N9" s="20"/>
      <c r="O9" s="35"/>
      <c r="P9" s="227" t="s">
        <v>70</v>
      </c>
      <c r="Q9" s="227"/>
      <c r="R9" s="228">
        <v>1</v>
      </c>
      <c r="V9" s="230"/>
      <c r="W9" s="230"/>
      <c r="X9" s="230"/>
      <c r="Y9" s="230"/>
      <c r="Z9" s="230"/>
      <c r="AA9" s="230"/>
      <c r="AB9" s="230"/>
      <c r="AC9" s="230"/>
    </row>
    <row r="10" spans="2:29" ht="5.25" customHeight="1" thickTop="1" x14ac:dyDescent="0.25">
      <c r="B10" s="231"/>
      <c r="C10" s="232"/>
      <c r="D10" s="232"/>
      <c r="E10" s="232"/>
      <c r="F10" s="232"/>
      <c r="G10" s="232"/>
      <c r="H10" s="232"/>
      <c r="I10" s="232"/>
      <c r="J10" s="232"/>
      <c r="K10" s="232"/>
      <c r="L10" s="232"/>
      <c r="M10" s="232"/>
      <c r="N10" s="20"/>
      <c r="O10" s="35"/>
      <c r="P10" s="227"/>
      <c r="Q10" s="227"/>
      <c r="R10" s="228"/>
    </row>
    <row r="11" spans="2:29" ht="15.75" x14ac:dyDescent="0.25">
      <c r="B11" s="226" t="str">
        <f>HOME!G6</f>
        <v>HASIL PENILAIAN TENGAH SEMESTER GENAP</v>
      </c>
      <c r="C11" s="226"/>
      <c r="D11" s="226"/>
      <c r="E11" s="226"/>
      <c r="F11" s="226"/>
      <c r="G11" s="226"/>
      <c r="H11" s="226"/>
      <c r="I11" s="226"/>
      <c r="J11" s="226"/>
      <c r="K11" s="226"/>
      <c r="L11" s="226"/>
      <c r="M11" s="226"/>
      <c r="N11" s="20"/>
      <c r="O11" s="35"/>
      <c r="P11" s="227"/>
      <c r="Q11" s="227"/>
      <c r="R11" s="228"/>
    </row>
    <row r="12" spans="2:29" ht="15.75" x14ac:dyDescent="0.25">
      <c r="B12" s="226" t="str">
        <f>"TAHUN PELAJARAN " &amp; HOME!G7</f>
        <v>TAHUN PELAJARAN 2022/2023</v>
      </c>
      <c r="C12" s="226"/>
      <c r="D12" s="226"/>
      <c r="E12" s="226"/>
      <c r="F12" s="226"/>
      <c r="G12" s="226"/>
      <c r="H12" s="226"/>
      <c r="I12" s="226"/>
      <c r="J12" s="226"/>
      <c r="K12" s="226"/>
      <c r="L12" s="226"/>
      <c r="M12" s="226"/>
      <c r="N12" s="20"/>
      <c r="O12" s="35"/>
      <c r="P12" s="227" t="s">
        <v>71</v>
      </c>
      <c r="Q12" s="227"/>
      <c r="R12" s="228">
        <f>COUNTA(NOMINATIF!C6:C40)</f>
        <v>20</v>
      </c>
    </row>
    <row r="13" spans="2:29" ht="8.25" customHeight="1" x14ac:dyDescent="0.25">
      <c r="B13" s="16"/>
      <c r="C13" s="4"/>
      <c r="D13" s="4"/>
      <c r="E13" s="4"/>
      <c r="F13" s="4"/>
      <c r="G13" s="4"/>
      <c r="H13" s="4"/>
      <c r="I13" s="4"/>
      <c r="J13" s="4"/>
      <c r="K13" s="4"/>
      <c r="L13" s="4"/>
      <c r="M13" s="4"/>
      <c r="N13" s="20"/>
      <c r="O13" s="35"/>
      <c r="P13" s="227"/>
      <c r="Q13" s="227"/>
      <c r="R13" s="228"/>
    </row>
    <row r="14" spans="2:29" ht="15.75" x14ac:dyDescent="0.25">
      <c r="B14" s="224" t="s">
        <v>18</v>
      </c>
      <c r="C14" s="224"/>
      <c r="D14" s="1" t="s">
        <v>6</v>
      </c>
      <c r="E14" s="229" t="str">
        <f>VLOOKUP(R9,'L X AKL'!$B$9:$BI$43,2,)</f>
        <v>AFMALA INSAN QOIRUNISA</v>
      </c>
      <c r="F14" s="229"/>
      <c r="G14" s="18"/>
      <c r="H14" s="1" t="s">
        <v>63</v>
      </c>
      <c r="I14" t="s">
        <v>6</v>
      </c>
      <c r="J14" s="225" t="str">
        <f>HOME!G9</f>
        <v>Teknik Komputer dan Informatika</v>
      </c>
      <c r="K14" s="225"/>
      <c r="L14" s="225"/>
      <c r="M14" s="225"/>
      <c r="N14" s="20"/>
      <c r="O14" s="35"/>
      <c r="P14" s="227"/>
      <c r="Q14" s="227"/>
      <c r="R14" s="228"/>
    </row>
    <row r="15" spans="2:29" ht="15.75" x14ac:dyDescent="0.25">
      <c r="B15" s="224" t="s">
        <v>19</v>
      </c>
      <c r="C15" s="224"/>
      <c r="D15" s="1" t="s">
        <v>6</v>
      </c>
      <c r="E15" s="224" t="str">
        <f>VLOOKUP(R9,'L X AKL'!$B$9:$BI$43,3,)&amp;"/"&amp;VLOOKUP(R9,'L X AKL'!$B$9:$BI$43,4,)</f>
        <v>4020/0059023845</v>
      </c>
      <c r="F15" s="224"/>
      <c r="G15" s="17"/>
      <c r="H15" s="1" t="s">
        <v>10</v>
      </c>
      <c r="I15" t="s">
        <v>6</v>
      </c>
      <c r="J15" s="225" t="str">
        <f>ID!G7</f>
        <v>Akuntansi dan Keuangan Lembaga</v>
      </c>
      <c r="K15" s="225"/>
      <c r="L15" s="225"/>
      <c r="M15" s="225"/>
      <c r="N15" s="20"/>
      <c r="O15" s="35"/>
      <c r="P15" s="20"/>
      <c r="Q15" s="20"/>
      <c r="R15" s="36"/>
    </row>
    <row r="16" spans="2:29" ht="15.75" x14ac:dyDescent="0.25">
      <c r="B16" s="224" t="s">
        <v>9</v>
      </c>
      <c r="C16" s="224"/>
      <c r="D16" s="1" t="s">
        <v>6</v>
      </c>
      <c r="E16" s="224" t="str">
        <f>ID!G8</f>
        <v>XII AKL 1</v>
      </c>
      <c r="F16" s="224"/>
      <c r="G16" s="17"/>
      <c r="H16" s="1" t="s">
        <v>20</v>
      </c>
      <c r="I16" t="s">
        <v>6</v>
      </c>
      <c r="J16" s="225" t="str">
        <f>ID!G9</f>
        <v>4/GENAP</v>
      </c>
      <c r="K16" s="225"/>
      <c r="L16" s="225"/>
      <c r="M16" s="225"/>
      <c r="N16" s="20"/>
      <c r="O16" s="35"/>
      <c r="P16" s="20"/>
      <c r="Q16" s="20"/>
      <c r="R16" s="36"/>
    </row>
    <row r="17" spans="2:19" ht="15" x14ac:dyDescent="0.25">
      <c r="N17" s="20"/>
      <c r="O17" s="35"/>
      <c r="P17" s="20"/>
      <c r="Q17" s="20"/>
      <c r="R17" s="36"/>
    </row>
    <row r="18" spans="2:19" ht="39" customHeight="1" x14ac:dyDescent="0.25">
      <c r="B18" s="279" t="s">
        <v>182</v>
      </c>
      <c r="C18" s="280"/>
      <c r="D18" s="280"/>
      <c r="E18" s="280"/>
      <c r="F18" s="280"/>
      <c r="G18" s="280"/>
      <c r="H18" s="280"/>
      <c r="I18" s="280"/>
      <c r="J18" s="280"/>
      <c r="K18" s="280"/>
      <c r="L18" s="280"/>
      <c r="M18" s="281"/>
      <c r="N18" s="20"/>
      <c r="O18" s="35"/>
      <c r="P18" s="20"/>
      <c r="Q18" s="20"/>
      <c r="R18" s="36"/>
    </row>
    <row r="19" spans="2:19" s="12" customFormat="1" ht="37.5" customHeight="1" x14ac:dyDescent="0.25">
      <c r="B19" s="93" t="s">
        <v>27</v>
      </c>
      <c r="C19" s="190" t="s">
        <v>183</v>
      </c>
      <c r="D19" s="190"/>
      <c r="E19" s="190"/>
      <c r="F19" s="213" t="s">
        <v>184</v>
      </c>
      <c r="G19" s="214"/>
      <c r="H19" s="214"/>
      <c r="I19" s="215"/>
      <c r="J19" s="282" t="s">
        <v>185</v>
      </c>
      <c r="K19" s="283"/>
      <c r="L19" s="282" t="s">
        <v>186</v>
      </c>
      <c r="M19" s="283"/>
      <c r="N19" s="20"/>
      <c r="O19" s="35"/>
      <c r="P19" s="20"/>
      <c r="Q19" s="20"/>
      <c r="R19" s="36"/>
      <c r="S19"/>
    </row>
    <row r="20" spans="2:19" s="12" customFormat="1" ht="48.75" customHeight="1" thickBot="1" x14ac:dyDescent="0.3">
      <c r="B20" s="11">
        <v>1</v>
      </c>
      <c r="C20" s="284">
        <f>VLOOKUP(R9,'BK &amp; EX &amp; PKL &amp; Press'!$B$9:$BO$66,51,0)</f>
        <v>0</v>
      </c>
      <c r="D20" s="284"/>
      <c r="E20" s="284"/>
      <c r="F20" s="287">
        <f>VLOOKUP(R9,'BK &amp; EX &amp; PKL &amp; Press'!$B$9:$BO$66,52,0)</f>
        <v>0</v>
      </c>
      <c r="G20" s="288"/>
      <c r="H20" s="288"/>
      <c r="I20" s="289"/>
      <c r="J20" s="285">
        <f>VLOOKUP(R9,'BK &amp; EX &amp; PKL &amp; Press'!$B$9:$BO$66,53,0)</f>
        <v>0</v>
      </c>
      <c r="K20" s="286"/>
      <c r="L20" s="310">
        <f>VLOOKUP(R9,'BK &amp; EX &amp; PKL &amp; Press'!$B$9:$BO$66,54,0)</f>
        <v>0</v>
      </c>
      <c r="M20" s="311"/>
      <c r="N20" s="20"/>
      <c r="O20" s="37"/>
      <c r="P20" s="38"/>
      <c r="Q20" s="38"/>
      <c r="R20" s="39"/>
      <c r="S20"/>
    </row>
    <row r="21" spans="2:19" s="12" customFormat="1" ht="48.75" customHeight="1" x14ac:dyDescent="0.25">
      <c r="B21" s="11">
        <v>2</v>
      </c>
      <c r="C21" s="290"/>
      <c r="D21" s="291"/>
      <c r="E21" s="292"/>
      <c r="F21" s="296"/>
      <c r="G21" s="297"/>
      <c r="H21" s="297"/>
      <c r="I21" s="298"/>
      <c r="J21" s="285"/>
      <c r="K21" s="286"/>
      <c r="L21" s="308"/>
      <c r="M21" s="309"/>
      <c r="N21" s="20"/>
      <c r="O21" s="20"/>
      <c r="P21" s="20"/>
      <c r="Q21" s="20"/>
      <c r="R21" s="20"/>
      <c r="S21"/>
    </row>
    <row r="22" spans="2:19" s="12" customFormat="1" ht="48.75" customHeight="1" x14ac:dyDescent="0.25">
      <c r="B22" s="11">
        <v>3</v>
      </c>
      <c r="C22" s="293"/>
      <c r="D22" s="294"/>
      <c r="E22" s="295"/>
      <c r="F22" s="296"/>
      <c r="G22" s="297"/>
      <c r="H22" s="297"/>
      <c r="I22" s="298"/>
      <c r="J22" s="285"/>
      <c r="K22" s="286"/>
      <c r="L22" s="308"/>
      <c r="M22" s="309"/>
      <c r="N22"/>
      <c r="O22" s="105"/>
      <c r="P22" s="105"/>
      <c r="Q22" s="105"/>
      <c r="R22" s="105"/>
      <c r="S22"/>
    </row>
    <row r="23" spans="2:19" s="12" customFormat="1" ht="36.75" customHeight="1" x14ac:dyDescent="0.25">
      <c r="B23" s="302" t="s">
        <v>187</v>
      </c>
      <c r="C23" s="302"/>
      <c r="D23" s="302"/>
      <c r="E23" s="302"/>
      <c r="F23" s="302"/>
      <c r="G23" s="302"/>
      <c r="H23" s="302"/>
      <c r="I23" s="302"/>
      <c r="J23" s="302"/>
      <c r="K23" s="302"/>
      <c r="L23" s="302"/>
      <c r="M23" s="302"/>
      <c r="N23"/>
      <c r="O23" s="104"/>
      <c r="P23" s="104"/>
      <c r="Q23" s="102"/>
      <c r="R23" s="102"/>
      <c r="S23"/>
    </row>
    <row r="24" spans="2:19" s="12" customFormat="1" ht="20.25" customHeight="1" x14ac:dyDescent="0.25">
      <c r="B24" s="13" t="s">
        <v>27</v>
      </c>
      <c r="C24" s="303" t="s">
        <v>188</v>
      </c>
      <c r="D24" s="303"/>
      <c r="E24" s="303"/>
      <c r="F24" s="209" t="s">
        <v>172</v>
      </c>
      <c r="G24" s="304"/>
      <c r="H24" s="304"/>
      <c r="I24" s="304"/>
      <c r="J24" s="304"/>
      <c r="K24" s="304"/>
      <c r="L24" s="304"/>
      <c r="M24" s="210"/>
      <c r="N24"/>
      <c r="O24" s="104"/>
      <c r="P24" s="104"/>
      <c r="Q24" s="102"/>
      <c r="R24" s="102"/>
      <c r="S24"/>
    </row>
    <row r="25" spans="2:19" s="12" customFormat="1" ht="50.25" customHeight="1" x14ac:dyDescent="0.25">
      <c r="B25" s="13">
        <v>1</v>
      </c>
      <c r="C25" s="187" t="s">
        <v>190</v>
      </c>
      <c r="D25" s="187"/>
      <c r="E25" s="187"/>
      <c r="F25" s="299" t="str">
        <f>VLOOKUP(R9,'BK &amp; EX &amp; PKL &amp; Press'!$B$9:$Y$66,8,0)</f>
        <v>Ananda AFMALA INSAN QOIRUNISA  menunjukkan ketekunan di dalam mengerjakan pekerjaan, baik di sekolah maupun di rumah.</v>
      </c>
      <c r="G25" s="300"/>
      <c r="H25" s="300"/>
      <c r="I25" s="300"/>
      <c r="J25" s="300"/>
      <c r="K25" s="300"/>
      <c r="L25" s="300"/>
      <c r="M25" s="301"/>
      <c r="N25"/>
      <c r="O25" s="104"/>
      <c r="P25" s="104"/>
      <c r="Q25" s="102"/>
      <c r="R25" s="102"/>
      <c r="S25"/>
    </row>
    <row r="26" spans="2:19" s="12" customFormat="1" ht="50.25" customHeight="1" x14ac:dyDescent="0.25">
      <c r="B26" s="13">
        <v>2</v>
      </c>
      <c r="C26" s="187" t="s">
        <v>149</v>
      </c>
      <c r="D26" s="187"/>
      <c r="E26" s="187"/>
      <c r="F26" s="299" t="str">
        <f>VLOOKUP(R9,'BK &amp; EX &amp; PKL &amp; Press'!$B$9:$Y$66,12,0)</f>
        <v>Ananda AFMALA INSAN QOIRUNISA  menunjukkan ketekunan di dalam mengerjakan pekerjaan, baik di sekolah maupun di  rumah.</v>
      </c>
      <c r="G26" s="300"/>
      <c r="H26" s="300"/>
      <c r="I26" s="300"/>
      <c r="J26" s="300"/>
      <c r="K26" s="300"/>
      <c r="L26" s="300"/>
      <c r="M26" s="301"/>
      <c r="N26"/>
      <c r="O26" s="104"/>
      <c r="P26" s="104"/>
      <c r="Q26" s="102"/>
      <c r="R26" s="102"/>
      <c r="S26"/>
    </row>
    <row r="27" spans="2:19" s="12" customFormat="1" ht="50.25" customHeight="1" x14ac:dyDescent="0.25">
      <c r="B27" s="13">
        <v>3</v>
      </c>
      <c r="C27" s="187" t="s">
        <v>150</v>
      </c>
      <c r="D27" s="187"/>
      <c r="E27" s="187"/>
      <c r="F27" s="299" t="str">
        <f>VLOOKUP(R9,'BK &amp; EX &amp; PKL &amp; Press'!$B$9:$Y$66,16,0)</f>
        <v>Ananda AFMALA INSAN QOIRUNISA  menunjukkan ketekunan di dalam mengerjakan pekerjaan, baik di sekolah maupun di rumah.</v>
      </c>
      <c r="G27" s="300"/>
      <c r="H27" s="300"/>
      <c r="I27" s="300"/>
      <c r="J27" s="300"/>
      <c r="K27" s="300"/>
      <c r="L27" s="300"/>
      <c r="M27" s="301"/>
      <c r="N27"/>
      <c r="O27" s="104"/>
      <c r="P27" s="104"/>
      <c r="Q27" s="102"/>
      <c r="R27" s="102"/>
      <c r="S27"/>
    </row>
    <row r="28" spans="2:19" ht="50.25" customHeight="1" x14ac:dyDescent="0.25">
      <c r="B28" s="13">
        <v>4</v>
      </c>
      <c r="C28" s="187" t="s">
        <v>151</v>
      </c>
      <c r="D28" s="187"/>
      <c r="E28" s="187"/>
      <c r="F28" s="299" t="str">
        <f>VLOOKUP(R9,'BK &amp; EX &amp; PKL &amp; Press'!$B$9:$Y$66,20,0)</f>
        <v>Ananda AFMALA INSAN QOIRUNISA  menunjukkan ketekunan di dalam mengerjakan pekerjaan, baik di sekolah maupun di rumah.</v>
      </c>
      <c r="G28" s="300"/>
      <c r="H28" s="300"/>
      <c r="I28" s="300"/>
      <c r="J28" s="300"/>
      <c r="K28" s="300"/>
      <c r="L28" s="300"/>
      <c r="M28" s="301"/>
      <c r="O28" s="104"/>
      <c r="P28" s="104"/>
      <c r="Q28" s="102"/>
      <c r="R28" s="102"/>
    </row>
    <row r="29" spans="2:19" ht="50.25" customHeight="1" x14ac:dyDescent="0.25">
      <c r="B29" s="13">
        <v>5</v>
      </c>
      <c r="C29" s="183" t="s">
        <v>152</v>
      </c>
      <c r="D29" s="183"/>
      <c r="E29" s="183"/>
      <c r="F29" s="299" t="str">
        <f>VLOOKUP(R9,'BK &amp; EX &amp; PKL &amp; Press'!$B$9:$Y$43,24,0)</f>
        <v>Ananda AFMALA INSAN QOIRUNISA  menunjukkan ketekunan di dalam mengerjakan pekerjaan, baik di sekolah maupun di rumah.</v>
      </c>
      <c r="G29" s="300"/>
      <c r="H29" s="300"/>
      <c r="I29" s="300"/>
      <c r="J29" s="300"/>
      <c r="K29" s="300"/>
      <c r="L29" s="300"/>
      <c r="M29" s="301"/>
      <c r="O29" s="104"/>
      <c r="P29" s="104"/>
      <c r="Q29" s="102"/>
      <c r="R29" s="102"/>
    </row>
    <row r="30" spans="2:19" ht="22.5" customHeight="1" x14ac:dyDescent="0.25">
      <c r="B30" s="305" t="s">
        <v>191</v>
      </c>
      <c r="C30" s="306"/>
      <c r="D30" s="306"/>
      <c r="E30" s="306"/>
      <c r="F30" s="306"/>
      <c r="G30" s="306"/>
      <c r="H30" s="306"/>
      <c r="I30" s="306"/>
      <c r="J30" s="306"/>
      <c r="K30" s="306"/>
      <c r="L30" s="306"/>
      <c r="M30" s="307"/>
      <c r="O30" s="102"/>
      <c r="P30" s="102"/>
      <c r="Q30" s="102"/>
      <c r="R30" s="102"/>
    </row>
    <row r="31" spans="2:19" ht="30" customHeight="1" x14ac:dyDescent="0.25">
      <c r="B31" s="312"/>
      <c r="C31" s="313"/>
      <c r="D31" s="313"/>
      <c r="E31" s="313"/>
      <c r="F31" s="313"/>
      <c r="G31" s="313"/>
      <c r="H31" s="313"/>
      <c r="I31" s="313"/>
      <c r="J31" s="313"/>
      <c r="K31" s="313"/>
      <c r="L31" s="313"/>
      <c r="M31" s="314"/>
      <c r="O31" s="103"/>
      <c r="P31" s="103"/>
      <c r="Q31" s="102"/>
      <c r="R31" s="102"/>
    </row>
    <row r="32" spans="2:19" ht="30" customHeight="1" x14ac:dyDescent="0.25">
      <c r="B32" s="315"/>
      <c r="C32" s="316"/>
      <c r="D32" s="316"/>
      <c r="E32" s="316"/>
      <c r="F32" s="316"/>
      <c r="G32" s="316"/>
      <c r="H32" s="316"/>
      <c r="I32" s="316"/>
      <c r="J32" s="316"/>
      <c r="K32" s="316"/>
      <c r="L32" s="316"/>
      <c r="M32" s="317"/>
      <c r="O32" s="103"/>
      <c r="P32" s="103"/>
      <c r="Q32" s="102"/>
      <c r="R32" s="102"/>
    </row>
    <row r="33" spans="2:13" ht="21.75" customHeight="1" x14ac:dyDescent="0.25">
      <c r="B33" s="243" t="s">
        <v>192</v>
      </c>
      <c r="C33" s="244"/>
      <c r="D33" s="244"/>
      <c r="E33" s="244"/>
      <c r="F33" s="244"/>
      <c r="G33" s="244"/>
      <c r="H33" s="244"/>
      <c r="I33" s="244"/>
      <c r="J33" s="244"/>
      <c r="K33" s="244"/>
      <c r="L33" s="244"/>
      <c r="M33" s="245"/>
    </row>
    <row r="34" spans="2:13" ht="15" x14ac:dyDescent="0.25">
      <c r="B34" s="274"/>
      <c r="C34" s="151"/>
      <c r="D34" s="151"/>
      <c r="E34" s="151"/>
      <c r="F34" s="151"/>
      <c r="G34" s="151"/>
      <c r="H34" s="151"/>
      <c r="I34" s="151"/>
      <c r="J34" s="151"/>
      <c r="K34" s="151"/>
      <c r="L34" s="151"/>
      <c r="M34" s="275"/>
    </row>
    <row r="35" spans="2:13" ht="51" customHeight="1" x14ac:dyDescent="0.25">
      <c r="B35" s="276"/>
      <c r="C35" s="277"/>
      <c r="D35" s="277"/>
      <c r="E35" s="277"/>
      <c r="F35" s="277"/>
      <c r="G35" s="277"/>
      <c r="H35" s="277"/>
      <c r="I35" s="277"/>
      <c r="J35" s="277"/>
      <c r="K35" s="277"/>
      <c r="L35" s="277"/>
      <c r="M35" s="278"/>
    </row>
    <row r="36" spans="2:13" ht="15" x14ac:dyDescent="0.25">
      <c r="B36" s="6"/>
      <c r="C36" s="6"/>
      <c r="D36" s="6"/>
      <c r="E36" s="6"/>
      <c r="F36" s="6"/>
      <c r="G36" s="6"/>
      <c r="H36" s="6"/>
      <c r="I36" s="6"/>
      <c r="J36" s="6"/>
      <c r="K36" s="6"/>
      <c r="L36" s="6"/>
      <c r="M36" s="6"/>
    </row>
    <row r="37" spans="2:13" ht="15.75" x14ac:dyDescent="0.25">
      <c r="B37" s="1"/>
      <c r="C37" s="1"/>
      <c r="D37" s="1"/>
      <c r="E37" s="1"/>
      <c r="F37" s="1"/>
      <c r="G37" s="1"/>
      <c r="H37" s="1"/>
      <c r="I37" s="1"/>
      <c r="J37" s="129" t="str">
        <f>ID!G11</f>
        <v>31 MARET 2023</v>
      </c>
      <c r="K37" s="129"/>
      <c r="L37" s="129"/>
      <c r="M37" s="129"/>
    </row>
    <row r="38" spans="2:13" ht="15.75" x14ac:dyDescent="0.25">
      <c r="E38" s="1"/>
      <c r="F38" s="1" t="s">
        <v>67</v>
      </c>
      <c r="G38" s="1"/>
      <c r="H38" s="1"/>
      <c r="I38" s="1"/>
      <c r="J38" s="1"/>
      <c r="K38" s="1"/>
      <c r="L38" s="1"/>
      <c r="M38" s="1"/>
    </row>
    <row r="39" spans="2:13" ht="15.75" x14ac:dyDescent="0.25">
      <c r="B39" s="203" t="s">
        <v>180</v>
      </c>
      <c r="C39" s="203"/>
      <c r="D39" s="203"/>
      <c r="E39" s="203" t="s">
        <v>179</v>
      </c>
      <c r="F39" s="203"/>
      <c r="G39" s="203"/>
      <c r="H39" s="203"/>
      <c r="I39" s="203"/>
      <c r="J39" s="203" t="s">
        <v>62</v>
      </c>
      <c r="K39" s="203"/>
      <c r="L39" s="203"/>
      <c r="M39" s="203"/>
    </row>
    <row r="40" spans="2:13" ht="15.75" x14ac:dyDescent="0.25">
      <c r="B40" s="1"/>
      <c r="C40" s="1"/>
      <c r="D40" s="1"/>
      <c r="E40" s="1"/>
      <c r="F40" s="1"/>
      <c r="G40" s="1"/>
      <c r="H40" s="1"/>
      <c r="I40" s="1"/>
      <c r="J40" s="1"/>
      <c r="K40" s="1"/>
      <c r="L40" s="1"/>
      <c r="M40" s="1"/>
    </row>
    <row r="41" spans="2:13" ht="15.75" x14ac:dyDescent="0.25">
      <c r="B41" s="1"/>
      <c r="C41" s="1"/>
      <c r="D41" s="1"/>
      <c r="E41" s="1"/>
      <c r="F41" s="1"/>
      <c r="G41" s="1"/>
      <c r="H41" s="1"/>
      <c r="I41" s="1"/>
      <c r="J41" s="1"/>
      <c r="K41" s="1"/>
      <c r="L41" s="1"/>
      <c r="M41" s="1"/>
    </row>
    <row r="42" spans="2:13" ht="15.75" x14ac:dyDescent="0.25">
      <c r="B42" s="1"/>
      <c r="C42" s="1"/>
      <c r="D42" s="1"/>
      <c r="E42" s="1"/>
      <c r="F42" s="1"/>
      <c r="G42" s="1"/>
      <c r="H42" s="1"/>
      <c r="I42" s="1"/>
      <c r="J42" s="1"/>
      <c r="K42" s="1"/>
      <c r="L42" s="1"/>
      <c r="M42" s="1"/>
    </row>
    <row r="43" spans="2:13" ht="15.75" x14ac:dyDescent="0.25">
      <c r="B43" s="270" t="s">
        <v>209</v>
      </c>
      <c r="C43" s="270"/>
      <c r="D43" s="270"/>
      <c r="E43" s="204" t="str">
        <f>ID!G6</f>
        <v>Sri Rahayu, S.Pd., SE.</v>
      </c>
      <c r="F43" s="204"/>
      <c r="G43" s="204"/>
      <c r="H43" s="204"/>
      <c r="I43" s="204"/>
      <c r="J43" s="204" t="str">
        <f>ID!G10</f>
        <v>SURADI S.Pd.</v>
      </c>
      <c r="K43" s="204"/>
      <c r="L43" s="204"/>
      <c r="M43" s="204"/>
    </row>
    <row r="44" spans="2:13" ht="15.75" x14ac:dyDescent="0.25">
      <c r="B44" s="4"/>
      <c r="C44" s="4"/>
      <c r="D44" s="4"/>
      <c r="E44" s="4"/>
      <c r="F44" s="1"/>
      <c r="G44" s="1"/>
      <c r="H44" s="4"/>
      <c r="I44" s="4"/>
      <c r="J44" s="4"/>
      <c r="K44" s="4"/>
      <c r="L44" s="4"/>
      <c r="M44" s="4"/>
    </row>
    <row r="45" spans="2:13" s="21" customFormat="1" ht="7.5" customHeight="1" x14ac:dyDescent="0.25"/>
  </sheetData>
  <sheetProtection selectLockedCells="1"/>
  <mergeCells count="74">
    <mergeCell ref="B43:D43"/>
    <mergeCell ref="E43:I43"/>
    <mergeCell ref="J43:M43"/>
    <mergeCell ref="L19:M19"/>
    <mergeCell ref="F19:I19"/>
    <mergeCell ref="L22:M22"/>
    <mergeCell ref="L21:M21"/>
    <mergeCell ref="L20:M20"/>
    <mergeCell ref="F22:I22"/>
    <mergeCell ref="B33:M33"/>
    <mergeCell ref="B34:M35"/>
    <mergeCell ref="J37:M37"/>
    <mergeCell ref="B39:D39"/>
    <mergeCell ref="E39:I39"/>
    <mergeCell ref="J39:M39"/>
    <mergeCell ref="B31:M32"/>
    <mergeCell ref="B30:M30"/>
    <mergeCell ref="C29:E29"/>
    <mergeCell ref="F29:M29"/>
    <mergeCell ref="C28:E28"/>
    <mergeCell ref="F28:M28"/>
    <mergeCell ref="C26:E26"/>
    <mergeCell ref="C27:E27"/>
    <mergeCell ref="F27:M27"/>
    <mergeCell ref="F26:M26"/>
    <mergeCell ref="B23:M23"/>
    <mergeCell ref="C24:E24"/>
    <mergeCell ref="C25:E25"/>
    <mergeCell ref="F24:M24"/>
    <mergeCell ref="F25:M25"/>
    <mergeCell ref="C21:E21"/>
    <mergeCell ref="J21:K21"/>
    <mergeCell ref="C22:E22"/>
    <mergeCell ref="J22:K22"/>
    <mergeCell ref="F21:I21"/>
    <mergeCell ref="C19:E19"/>
    <mergeCell ref="J19:K19"/>
    <mergeCell ref="C20:E20"/>
    <mergeCell ref="J20:K20"/>
    <mergeCell ref="F20:I20"/>
    <mergeCell ref="B18:M18"/>
    <mergeCell ref="B15:C15"/>
    <mergeCell ref="E15:F15"/>
    <mergeCell ref="J15:M15"/>
    <mergeCell ref="B16:C16"/>
    <mergeCell ref="E16:F16"/>
    <mergeCell ref="J16:M16"/>
    <mergeCell ref="B12:M12"/>
    <mergeCell ref="P12:Q14"/>
    <mergeCell ref="R12:R14"/>
    <mergeCell ref="B14:C14"/>
    <mergeCell ref="E14:F14"/>
    <mergeCell ref="J14:M14"/>
    <mergeCell ref="D9:M9"/>
    <mergeCell ref="P9:Q11"/>
    <mergeCell ref="R9:R11"/>
    <mergeCell ref="V9:AC9"/>
    <mergeCell ref="B10:M10"/>
    <mergeCell ref="B11:M11"/>
    <mergeCell ref="D5:M5"/>
    <mergeCell ref="V5:AC5"/>
    <mergeCell ref="D6:M6"/>
    <mergeCell ref="V6:AC6"/>
    <mergeCell ref="D7:M7"/>
    <mergeCell ref="O7:R8"/>
    <mergeCell ref="V7:AC7"/>
    <mergeCell ref="D8:M8"/>
    <mergeCell ref="V8:AC8"/>
    <mergeCell ref="D2:M2"/>
    <mergeCell ref="V2:AC2"/>
    <mergeCell ref="D3:M3"/>
    <mergeCell ref="V3:AC3"/>
    <mergeCell ref="D4:M4"/>
    <mergeCell ref="V4:AC4"/>
  </mergeCells>
  <printOptions horizontalCentered="1" verticalCentered="1"/>
  <pageMargins left="0.31496062992126" right="0.31496062992126" top="0.35433070866141703" bottom="0.35433070866141703" header="0.31496062992126" footer="0.31496062992126"/>
  <pageSetup paperSize="10000" scale="86"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52225" r:id="rId4" name="Spinner 1">
              <controlPr defaultSize="0" autoPict="0">
                <anchor moveWithCells="1" sizeWithCells="1">
                  <from>
                    <xdr:col>14</xdr:col>
                    <xdr:colOff>28575</xdr:colOff>
                    <xdr:row>8</xdr:row>
                    <xdr:rowOff>0</xdr:rowOff>
                  </from>
                  <to>
                    <xdr:col>14</xdr:col>
                    <xdr:colOff>466725</xdr:colOff>
                    <xdr:row>14</xdr:row>
                    <xdr:rowOff>19050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theme="5" tint="0.39997558519241921"/>
  </sheetPr>
  <dimension ref="A1:L35"/>
  <sheetViews>
    <sheetView zoomScale="85" zoomScaleNormal="85" workbookViewId="0">
      <selection activeCell="G7" sqref="G7"/>
    </sheetView>
  </sheetViews>
  <sheetFormatPr defaultColWidth="0" defaultRowHeight="15.75" customHeight="1" zeroHeight="1" x14ac:dyDescent="0.25"/>
  <cols>
    <col min="1" max="1" width="1.5703125" style="74" customWidth="1"/>
    <col min="2" max="2" width="0.85546875" style="54" customWidth="1"/>
    <col min="3" max="3" width="4.85546875" style="54" customWidth="1"/>
    <col min="4" max="5" width="9.140625" style="54" customWidth="1"/>
    <col min="6" max="6" width="37.5703125" style="54" customWidth="1"/>
    <col min="7" max="7" width="14.5703125" style="54" customWidth="1"/>
    <col min="8" max="8" width="1" style="54" customWidth="1"/>
    <col min="9" max="9" width="1.42578125" style="74" customWidth="1"/>
    <col min="10" max="12" width="0" style="54" hidden="1" customWidth="1"/>
    <col min="13" max="16384" width="9.140625" style="54" hidden="1"/>
  </cols>
  <sheetData>
    <row r="1" spans="3:9" s="74" customFormat="1" ht="8.25" customHeight="1" x14ac:dyDescent="0.25"/>
    <row r="2" spans="3:9" ht="68.25" customHeight="1" thickBot="1" x14ac:dyDescent="0.3">
      <c r="C2" s="129"/>
      <c r="D2" s="129"/>
      <c r="E2" s="129"/>
      <c r="F2" s="129"/>
      <c r="G2" s="129"/>
    </row>
    <row r="3" spans="3:9" ht="15.75" customHeight="1" thickBot="1" x14ac:dyDescent="0.35">
      <c r="C3" s="184" t="s">
        <v>72</v>
      </c>
      <c r="D3" s="185"/>
      <c r="E3" s="185"/>
      <c r="F3" s="185"/>
      <c r="G3" s="186"/>
    </row>
    <row r="4" spans="3:9" ht="6" customHeight="1" x14ac:dyDescent="0.25"/>
    <row r="5" spans="3:9" x14ac:dyDescent="0.25">
      <c r="C5" s="15" t="s">
        <v>32</v>
      </c>
      <c r="D5" s="190" t="s">
        <v>33</v>
      </c>
      <c r="E5" s="190"/>
      <c r="F5" s="190"/>
      <c r="G5" s="15" t="s">
        <v>34</v>
      </c>
    </row>
    <row r="6" spans="3:9" x14ac:dyDescent="0.25">
      <c r="C6" s="188" t="s">
        <v>37</v>
      </c>
      <c r="D6" s="188"/>
      <c r="E6" s="188"/>
      <c r="F6" s="188"/>
      <c r="G6" s="188"/>
    </row>
    <row r="7" spans="3:9" x14ac:dyDescent="0.25">
      <c r="C7" s="11">
        <v>1</v>
      </c>
      <c r="D7" s="189" t="s">
        <v>38</v>
      </c>
      <c r="E7" s="189"/>
      <c r="F7" s="189"/>
      <c r="G7" s="76">
        <v>60</v>
      </c>
      <c r="I7" s="75"/>
    </row>
    <row r="8" spans="3:9" x14ac:dyDescent="0.25">
      <c r="C8" s="11">
        <v>2</v>
      </c>
      <c r="D8" s="189" t="s">
        <v>39</v>
      </c>
      <c r="E8" s="189"/>
      <c r="F8" s="189"/>
      <c r="G8" s="76">
        <v>60</v>
      </c>
    </row>
    <row r="9" spans="3:9" x14ac:dyDescent="0.25">
      <c r="C9" s="11">
        <v>3</v>
      </c>
      <c r="D9" s="189" t="s">
        <v>40</v>
      </c>
      <c r="E9" s="189"/>
      <c r="F9" s="189"/>
      <c r="G9" s="76">
        <v>60</v>
      </c>
    </row>
    <row r="10" spans="3:9" x14ac:dyDescent="0.25">
      <c r="C10" s="11">
        <v>4</v>
      </c>
      <c r="D10" s="187" t="s">
        <v>41</v>
      </c>
      <c r="E10" s="187"/>
      <c r="F10" s="187"/>
      <c r="G10" s="76">
        <v>60</v>
      </c>
    </row>
    <row r="11" spans="3:9" x14ac:dyDescent="0.25">
      <c r="C11" s="11">
        <v>5</v>
      </c>
      <c r="D11" s="187" t="s">
        <v>42</v>
      </c>
      <c r="E11" s="187"/>
      <c r="F11" s="187"/>
      <c r="G11" s="76">
        <v>60</v>
      </c>
    </row>
    <row r="12" spans="3:9" x14ac:dyDescent="0.25">
      <c r="C12" s="11">
        <v>6</v>
      </c>
      <c r="D12" s="187" t="s">
        <v>43</v>
      </c>
      <c r="E12" s="187"/>
      <c r="F12" s="187"/>
      <c r="G12" s="76">
        <v>60</v>
      </c>
    </row>
    <row r="13" spans="3:9" x14ac:dyDescent="0.25">
      <c r="C13" s="188" t="s">
        <v>44</v>
      </c>
      <c r="D13" s="188"/>
      <c r="E13" s="188"/>
      <c r="F13" s="188"/>
      <c r="G13" s="188"/>
    </row>
    <row r="14" spans="3:9" x14ac:dyDescent="0.25">
      <c r="C14" s="13">
        <v>1</v>
      </c>
      <c r="D14" s="187" t="s">
        <v>45</v>
      </c>
      <c r="E14" s="187"/>
      <c r="F14" s="187"/>
      <c r="G14" s="76">
        <v>70</v>
      </c>
    </row>
    <row r="15" spans="3:9" x14ac:dyDescent="0.25">
      <c r="C15" s="13">
        <v>2</v>
      </c>
      <c r="D15" s="187" t="s">
        <v>46</v>
      </c>
      <c r="E15" s="187"/>
      <c r="F15" s="187"/>
      <c r="G15" s="76">
        <v>60</v>
      </c>
    </row>
    <row r="16" spans="3:9" x14ac:dyDescent="0.25">
      <c r="C16" s="13">
        <v>3</v>
      </c>
      <c r="D16" s="187" t="s">
        <v>47</v>
      </c>
      <c r="E16" s="187"/>
      <c r="F16" s="187"/>
      <c r="G16" s="76">
        <v>60</v>
      </c>
    </row>
    <row r="17" spans="3:7" x14ac:dyDescent="0.25">
      <c r="C17" s="13">
        <v>4</v>
      </c>
      <c r="D17" s="187" t="s">
        <v>48</v>
      </c>
      <c r="E17" s="187"/>
      <c r="F17" s="187"/>
      <c r="G17" s="76">
        <v>60</v>
      </c>
    </row>
    <row r="18" spans="3:7" x14ac:dyDescent="0.25">
      <c r="C18" s="188" t="s">
        <v>49</v>
      </c>
      <c r="D18" s="188"/>
      <c r="E18" s="188"/>
      <c r="F18" s="188"/>
      <c r="G18" s="188"/>
    </row>
    <row r="19" spans="3:7" x14ac:dyDescent="0.25">
      <c r="C19" s="188" t="s">
        <v>50</v>
      </c>
      <c r="D19" s="188"/>
      <c r="E19" s="188"/>
      <c r="F19" s="188"/>
      <c r="G19" s="188"/>
    </row>
    <row r="20" spans="3:7" x14ac:dyDescent="0.25">
      <c r="C20" s="13">
        <v>1</v>
      </c>
      <c r="D20" s="187" t="s">
        <v>51</v>
      </c>
      <c r="E20" s="187"/>
      <c r="F20" s="187"/>
      <c r="G20" s="76">
        <v>60</v>
      </c>
    </row>
    <row r="21" spans="3:7" x14ac:dyDescent="0.25">
      <c r="C21" s="13">
        <v>2</v>
      </c>
      <c r="D21" s="183" t="s">
        <v>73</v>
      </c>
      <c r="E21" s="183"/>
      <c r="F21" s="183"/>
      <c r="G21" s="76">
        <v>60</v>
      </c>
    </row>
    <row r="22" spans="3:7" x14ac:dyDescent="0.25">
      <c r="C22" s="13">
        <v>3</v>
      </c>
      <c r="D22" s="183" t="s">
        <v>74</v>
      </c>
      <c r="E22" s="183"/>
      <c r="F22" s="183"/>
      <c r="G22" s="76">
        <v>60</v>
      </c>
    </row>
    <row r="23" spans="3:7" x14ac:dyDescent="0.25">
      <c r="C23" s="188" t="s">
        <v>55</v>
      </c>
      <c r="D23" s="188"/>
      <c r="E23" s="188"/>
      <c r="F23" s="188"/>
      <c r="G23" s="188"/>
    </row>
    <row r="24" spans="3:7" x14ac:dyDescent="0.25">
      <c r="C24" s="13">
        <v>1</v>
      </c>
      <c r="D24" s="183" t="s">
        <v>75</v>
      </c>
      <c r="E24" s="183"/>
      <c r="F24" s="183"/>
      <c r="G24" s="76">
        <v>70</v>
      </c>
    </row>
    <row r="25" spans="3:7" x14ac:dyDescent="0.25">
      <c r="C25" s="13">
        <v>2</v>
      </c>
      <c r="D25" s="183" t="s">
        <v>77</v>
      </c>
      <c r="E25" s="183"/>
      <c r="F25" s="183"/>
      <c r="G25" s="76">
        <v>70</v>
      </c>
    </row>
    <row r="26" spans="3:7" x14ac:dyDescent="0.25">
      <c r="C26" s="13">
        <v>3</v>
      </c>
      <c r="D26" s="183" t="s">
        <v>76</v>
      </c>
      <c r="E26" s="183"/>
      <c r="F26" s="183"/>
      <c r="G26" s="76">
        <v>70</v>
      </c>
    </row>
    <row r="27" spans="3:7" x14ac:dyDescent="0.25">
      <c r="C27" s="92">
        <v>4</v>
      </c>
      <c r="D27" s="318" t="s">
        <v>155</v>
      </c>
      <c r="E27" s="318"/>
      <c r="F27" s="318"/>
      <c r="G27" s="92">
        <v>70</v>
      </c>
    </row>
    <row r="28" spans="3:7" x14ac:dyDescent="0.25"/>
    <row r="29" spans="3:7" s="74" customFormat="1" ht="9.75" customHeight="1" x14ac:dyDescent="0.25"/>
    <row r="30" spans="3:7" hidden="1" x14ac:dyDescent="0.25"/>
    <row r="31" spans="3:7" hidden="1" x14ac:dyDescent="0.25"/>
    <row r="32" spans="3:7" hidden="1" x14ac:dyDescent="0.25"/>
    <row r="33" hidden="1" x14ac:dyDescent="0.25"/>
    <row r="34" hidden="1" x14ac:dyDescent="0.25"/>
    <row r="35" hidden="1" x14ac:dyDescent="0.25"/>
  </sheetData>
  <sheetProtection selectLockedCells="1"/>
  <mergeCells count="25">
    <mergeCell ref="D27:F27"/>
    <mergeCell ref="D8:F8"/>
    <mergeCell ref="C2:G2"/>
    <mergeCell ref="C3:G3"/>
    <mergeCell ref="D5:F5"/>
    <mergeCell ref="C6:G6"/>
    <mergeCell ref="D7:F7"/>
    <mergeCell ref="D20:F20"/>
    <mergeCell ref="D9:F9"/>
    <mergeCell ref="D10:F10"/>
    <mergeCell ref="D11:F11"/>
    <mergeCell ref="D12:F12"/>
    <mergeCell ref="C13:G13"/>
    <mergeCell ref="D14:F14"/>
    <mergeCell ref="D15:F15"/>
    <mergeCell ref="D16:F16"/>
    <mergeCell ref="D17:F17"/>
    <mergeCell ref="C18:G18"/>
    <mergeCell ref="C19:G19"/>
    <mergeCell ref="D26:F26"/>
    <mergeCell ref="D21:F21"/>
    <mergeCell ref="D22:F22"/>
    <mergeCell ref="C23:G23"/>
    <mergeCell ref="D24:F24"/>
    <mergeCell ref="D25:F25"/>
  </mergeCell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theme="4" tint="-0.249977111117893"/>
  </sheetPr>
  <dimension ref="A1:BJ46"/>
  <sheetViews>
    <sheetView zoomScale="55" zoomScaleNormal="55" workbookViewId="0">
      <selection activeCell="F10" sqref="F10"/>
    </sheetView>
  </sheetViews>
  <sheetFormatPr defaultColWidth="0" defaultRowHeight="15.75" customHeight="1" zeroHeight="1" x14ac:dyDescent="0.25"/>
  <cols>
    <col min="1" max="1" width="1.42578125" style="54" customWidth="1"/>
    <col min="2" max="2" width="6.42578125" style="54" customWidth="1"/>
    <col min="3" max="3" width="27.28515625" style="54" customWidth="1"/>
    <col min="4" max="4" width="5.5703125" style="54" bestFit="1" customWidth="1"/>
    <col min="5" max="5" width="13.85546875" style="54" bestFit="1" customWidth="1"/>
    <col min="6" max="56" width="4.7109375" style="55" customWidth="1"/>
    <col min="57" max="59" width="4.7109375" style="55" hidden="1" customWidth="1"/>
    <col min="60" max="61" width="9.28515625" style="54" bestFit="1" customWidth="1"/>
    <col min="62" max="62" width="9.140625" style="54" customWidth="1"/>
    <col min="63" max="16384" width="9.140625" style="54" hidden="1"/>
  </cols>
  <sheetData>
    <row r="1" spans="2:61" ht="7.5" customHeight="1" x14ac:dyDescent="0.25"/>
    <row r="2" spans="2:61" ht="78.75" customHeight="1" thickBot="1" x14ac:dyDescent="0.3"/>
    <row r="3" spans="2:61" ht="24" thickBot="1" x14ac:dyDescent="0.4">
      <c r="B3" s="197" t="s">
        <v>95</v>
      </c>
      <c r="C3" s="198"/>
      <c r="D3" s="198"/>
      <c r="E3" s="198"/>
      <c r="F3" s="198"/>
      <c r="G3" s="198"/>
      <c r="H3" s="198"/>
      <c r="I3" s="198"/>
      <c r="J3" s="198"/>
      <c r="K3" s="198"/>
      <c r="L3" s="198"/>
      <c r="M3" s="198"/>
      <c r="N3" s="198"/>
      <c r="O3" s="198"/>
      <c r="P3" s="198"/>
      <c r="Q3" s="198"/>
      <c r="R3" s="198"/>
      <c r="S3" s="198"/>
      <c r="T3" s="198"/>
      <c r="U3" s="198"/>
      <c r="V3" s="198"/>
      <c r="W3" s="198"/>
      <c r="X3" s="198"/>
      <c r="Y3" s="198"/>
      <c r="Z3" s="198"/>
      <c r="AA3" s="198"/>
      <c r="AB3" s="198"/>
      <c r="AC3" s="198"/>
      <c r="AD3" s="198"/>
      <c r="AE3" s="198"/>
      <c r="AF3" s="198"/>
      <c r="AG3" s="198"/>
      <c r="AH3" s="198"/>
      <c r="AI3" s="198"/>
      <c r="AJ3" s="198"/>
      <c r="AK3" s="198"/>
      <c r="AL3" s="198"/>
      <c r="AM3" s="198"/>
      <c r="AN3" s="198"/>
      <c r="AO3" s="198"/>
      <c r="AP3" s="198"/>
      <c r="AQ3" s="198"/>
      <c r="AR3" s="198"/>
      <c r="AS3" s="198"/>
      <c r="AT3" s="198"/>
      <c r="AU3" s="198"/>
      <c r="AV3" s="198"/>
      <c r="AW3" s="198"/>
      <c r="AX3" s="198"/>
      <c r="AY3" s="198"/>
      <c r="AZ3" s="198"/>
      <c r="BA3" s="198"/>
      <c r="BB3" s="198"/>
      <c r="BC3" s="198"/>
      <c r="BD3" s="198"/>
      <c r="BE3" s="198"/>
      <c r="BF3" s="198"/>
      <c r="BG3" s="198"/>
      <c r="BH3" s="198"/>
      <c r="BI3" s="199"/>
    </row>
    <row r="4" spans="2:61" ht="6" customHeight="1" x14ac:dyDescent="0.25"/>
    <row r="5" spans="2:61" x14ac:dyDescent="0.25">
      <c r="B5" s="165" t="s">
        <v>27</v>
      </c>
      <c r="C5" s="165" t="s">
        <v>88</v>
      </c>
      <c r="D5" s="165" t="s">
        <v>29</v>
      </c>
      <c r="E5" s="165" t="s">
        <v>30</v>
      </c>
      <c r="F5" s="56" t="s">
        <v>89</v>
      </c>
      <c r="G5" s="57"/>
      <c r="H5" s="57"/>
      <c r="I5" s="57"/>
      <c r="J5" s="57"/>
      <c r="K5" s="57"/>
      <c r="L5" s="57"/>
      <c r="M5" s="57"/>
      <c r="N5" s="57"/>
      <c r="O5" s="57"/>
      <c r="P5" s="57"/>
      <c r="Q5" s="57"/>
      <c r="R5" s="57"/>
      <c r="S5" s="57"/>
      <c r="T5" s="57"/>
      <c r="U5" s="57"/>
      <c r="V5" s="57"/>
      <c r="W5" s="57"/>
      <c r="X5" s="57"/>
      <c r="Y5" s="57"/>
      <c r="Z5" s="57"/>
      <c r="AA5" s="57"/>
      <c r="AB5" s="57"/>
      <c r="AC5" s="57"/>
      <c r="AD5" s="57"/>
      <c r="AE5" s="57"/>
      <c r="AF5" s="57"/>
      <c r="AG5" s="57"/>
      <c r="AH5" s="57"/>
      <c r="AI5" s="57"/>
      <c r="AJ5" s="57"/>
      <c r="AK5" s="57"/>
      <c r="AL5" s="57"/>
      <c r="AM5" s="57"/>
      <c r="AN5" s="57"/>
      <c r="AO5" s="57"/>
      <c r="AP5" s="57"/>
      <c r="AQ5" s="57"/>
      <c r="AR5" s="57"/>
      <c r="AS5" s="57"/>
      <c r="AT5" s="57"/>
      <c r="AU5" s="57"/>
      <c r="AV5" s="57"/>
      <c r="AW5" s="57"/>
      <c r="AX5" s="57"/>
      <c r="AY5" s="57"/>
      <c r="AZ5" s="57"/>
      <c r="BA5" s="57"/>
      <c r="BB5" s="57"/>
      <c r="BC5" s="57"/>
      <c r="BD5" s="57"/>
      <c r="BE5" s="57"/>
      <c r="BF5" s="57"/>
      <c r="BG5" s="58"/>
      <c r="BH5" s="168" t="s">
        <v>93</v>
      </c>
      <c r="BI5" s="170" t="s">
        <v>94</v>
      </c>
    </row>
    <row r="6" spans="2:61" ht="98.25" customHeight="1" x14ac:dyDescent="0.25">
      <c r="B6" s="166"/>
      <c r="C6" s="166"/>
      <c r="D6" s="166"/>
      <c r="E6" s="166"/>
      <c r="F6" s="194" t="s">
        <v>90</v>
      </c>
      <c r="G6" s="195"/>
      <c r="H6" s="196"/>
      <c r="I6" s="194" t="s">
        <v>92</v>
      </c>
      <c r="J6" s="195"/>
      <c r="K6" s="196"/>
      <c r="L6" s="191" t="s">
        <v>99</v>
      </c>
      <c r="M6" s="192"/>
      <c r="N6" s="193"/>
      <c r="O6" s="194" t="s">
        <v>91</v>
      </c>
      <c r="P6" s="195"/>
      <c r="Q6" s="196"/>
      <c r="R6" s="200" t="s">
        <v>100</v>
      </c>
      <c r="S6" s="201"/>
      <c r="T6" s="202"/>
      <c r="U6" s="194" t="s">
        <v>101</v>
      </c>
      <c r="V6" s="195"/>
      <c r="W6" s="196"/>
      <c r="X6" s="191" t="s">
        <v>102</v>
      </c>
      <c r="Y6" s="192"/>
      <c r="Z6" s="193"/>
      <c r="AA6" s="194" t="s">
        <v>103</v>
      </c>
      <c r="AB6" s="195"/>
      <c r="AC6" s="196"/>
      <c r="AD6" s="191" t="s">
        <v>104</v>
      </c>
      <c r="AE6" s="192"/>
      <c r="AF6" s="193"/>
      <c r="AG6" s="194" t="s">
        <v>105</v>
      </c>
      <c r="AH6" s="195"/>
      <c r="AI6" s="196"/>
      <c r="AJ6" s="194" t="s">
        <v>106</v>
      </c>
      <c r="AK6" s="195"/>
      <c r="AL6" s="196"/>
      <c r="AM6" s="194" t="s">
        <v>113</v>
      </c>
      <c r="AN6" s="195"/>
      <c r="AO6" s="196"/>
      <c r="AP6" s="194" t="s">
        <v>114</v>
      </c>
      <c r="AQ6" s="195"/>
      <c r="AR6" s="196"/>
      <c r="AS6" s="200" t="s">
        <v>115</v>
      </c>
      <c r="AT6" s="201"/>
      <c r="AU6" s="202"/>
      <c r="AV6" s="194" t="s">
        <v>116</v>
      </c>
      <c r="AW6" s="195"/>
      <c r="AX6" s="196"/>
      <c r="AY6" s="191" t="s">
        <v>117</v>
      </c>
      <c r="AZ6" s="192"/>
      <c r="BA6" s="193"/>
      <c r="BB6" s="191" t="s">
        <v>156</v>
      </c>
      <c r="BC6" s="192"/>
      <c r="BD6" s="193"/>
      <c r="BE6" s="191" t="s">
        <v>112</v>
      </c>
      <c r="BF6" s="192"/>
      <c r="BG6" s="193"/>
      <c r="BH6" s="169"/>
      <c r="BI6" s="171"/>
    </row>
    <row r="7" spans="2:61" ht="24" customHeight="1" x14ac:dyDescent="0.25">
      <c r="B7" s="167"/>
      <c r="C7" s="167"/>
      <c r="D7" s="167"/>
      <c r="E7" s="167"/>
      <c r="F7" s="59" t="s">
        <v>96</v>
      </c>
      <c r="G7" s="59" t="s">
        <v>97</v>
      </c>
      <c r="H7" s="59" t="s">
        <v>98</v>
      </c>
      <c r="I7" s="59" t="s">
        <v>96</v>
      </c>
      <c r="J7" s="59" t="s">
        <v>97</v>
      </c>
      <c r="K7" s="59" t="s">
        <v>98</v>
      </c>
      <c r="L7" s="59" t="s">
        <v>96</v>
      </c>
      <c r="M7" s="59" t="s">
        <v>97</v>
      </c>
      <c r="N7" s="59" t="s">
        <v>98</v>
      </c>
      <c r="O7" s="59" t="s">
        <v>96</v>
      </c>
      <c r="P7" s="59" t="s">
        <v>97</v>
      </c>
      <c r="Q7" s="59" t="s">
        <v>98</v>
      </c>
      <c r="R7" s="59" t="s">
        <v>96</v>
      </c>
      <c r="S7" s="59" t="s">
        <v>97</v>
      </c>
      <c r="T7" s="59" t="s">
        <v>98</v>
      </c>
      <c r="U7" s="59" t="s">
        <v>96</v>
      </c>
      <c r="V7" s="59" t="s">
        <v>97</v>
      </c>
      <c r="W7" s="59" t="s">
        <v>98</v>
      </c>
      <c r="X7" s="59" t="s">
        <v>96</v>
      </c>
      <c r="Y7" s="59" t="s">
        <v>97</v>
      </c>
      <c r="Z7" s="59" t="s">
        <v>98</v>
      </c>
      <c r="AA7" s="59" t="s">
        <v>96</v>
      </c>
      <c r="AB7" s="59" t="s">
        <v>97</v>
      </c>
      <c r="AC7" s="59" t="s">
        <v>98</v>
      </c>
      <c r="AD7" s="59" t="s">
        <v>96</v>
      </c>
      <c r="AE7" s="59" t="s">
        <v>97</v>
      </c>
      <c r="AF7" s="59" t="s">
        <v>98</v>
      </c>
      <c r="AG7" s="59" t="s">
        <v>96</v>
      </c>
      <c r="AH7" s="59" t="s">
        <v>97</v>
      </c>
      <c r="AI7" s="59" t="s">
        <v>98</v>
      </c>
      <c r="AJ7" s="59" t="s">
        <v>96</v>
      </c>
      <c r="AK7" s="59" t="s">
        <v>97</v>
      </c>
      <c r="AL7" s="59" t="s">
        <v>98</v>
      </c>
      <c r="AM7" s="59" t="s">
        <v>96</v>
      </c>
      <c r="AN7" s="59" t="s">
        <v>97</v>
      </c>
      <c r="AO7" s="59" t="s">
        <v>98</v>
      </c>
      <c r="AP7" s="59" t="s">
        <v>96</v>
      </c>
      <c r="AQ7" s="59" t="s">
        <v>97</v>
      </c>
      <c r="AR7" s="59" t="s">
        <v>98</v>
      </c>
      <c r="AS7" s="59" t="s">
        <v>96</v>
      </c>
      <c r="AT7" s="59" t="s">
        <v>97</v>
      </c>
      <c r="AU7" s="59" t="s">
        <v>98</v>
      </c>
      <c r="AV7" s="59" t="s">
        <v>96</v>
      </c>
      <c r="AW7" s="59" t="s">
        <v>97</v>
      </c>
      <c r="AX7" s="59" t="s">
        <v>98</v>
      </c>
      <c r="AY7" s="59" t="s">
        <v>96</v>
      </c>
      <c r="AZ7" s="59" t="s">
        <v>97</v>
      </c>
      <c r="BA7" s="59" t="s">
        <v>98</v>
      </c>
      <c r="BB7" s="59" t="s">
        <v>96</v>
      </c>
      <c r="BC7" s="59" t="s">
        <v>97</v>
      </c>
      <c r="BD7" s="59" t="s">
        <v>98</v>
      </c>
      <c r="BE7" s="59" t="s">
        <v>96</v>
      </c>
      <c r="BF7" s="59" t="s">
        <v>97</v>
      </c>
      <c r="BG7" s="59" t="s">
        <v>98</v>
      </c>
      <c r="BH7" s="60"/>
      <c r="BI7" s="61"/>
    </row>
    <row r="8" spans="2:61" x14ac:dyDescent="0.25">
      <c r="B8" s="62">
        <v>1</v>
      </c>
      <c r="C8" s="62">
        <v>2</v>
      </c>
      <c r="D8" s="62">
        <v>3</v>
      </c>
      <c r="E8" s="62">
        <v>4</v>
      </c>
      <c r="F8" s="77">
        <v>5</v>
      </c>
      <c r="G8" s="77">
        <v>6</v>
      </c>
      <c r="H8" s="77">
        <v>7</v>
      </c>
      <c r="I8" s="77">
        <v>8</v>
      </c>
      <c r="J8" s="77">
        <v>9</v>
      </c>
      <c r="K8" s="77">
        <v>10</v>
      </c>
      <c r="L8" s="77">
        <v>11</v>
      </c>
      <c r="M8" s="77">
        <v>12</v>
      </c>
      <c r="N8" s="77">
        <v>13</v>
      </c>
      <c r="O8" s="77">
        <v>14</v>
      </c>
      <c r="P8" s="77">
        <v>15</v>
      </c>
      <c r="Q8" s="77">
        <v>16</v>
      </c>
      <c r="R8" s="77">
        <v>17</v>
      </c>
      <c r="S8" s="77">
        <v>18</v>
      </c>
      <c r="T8" s="77">
        <v>19</v>
      </c>
      <c r="U8" s="77">
        <v>20</v>
      </c>
      <c r="V8" s="77">
        <v>21</v>
      </c>
      <c r="W8" s="77">
        <v>22</v>
      </c>
      <c r="X8" s="77">
        <v>23</v>
      </c>
      <c r="Y8" s="77">
        <v>24</v>
      </c>
      <c r="Z8" s="77">
        <v>25</v>
      </c>
      <c r="AA8" s="77">
        <v>26</v>
      </c>
      <c r="AB8" s="77">
        <v>27</v>
      </c>
      <c r="AC8" s="77">
        <v>28</v>
      </c>
      <c r="AD8" s="77">
        <v>29</v>
      </c>
      <c r="AE8" s="77">
        <v>30</v>
      </c>
      <c r="AF8" s="77">
        <v>31</v>
      </c>
      <c r="AG8" s="77">
        <v>32</v>
      </c>
      <c r="AH8" s="77">
        <v>33</v>
      </c>
      <c r="AI8" s="77">
        <v>34</v>
      </c>
      <c r="AJ8" s="77">
        <v>35</v>
      </c>
      <c r="AK8" s="77">
        <v>36</v>
      </c>
      <c r="AL8" s="77">
        <v>37</v>
      </c>
      <c r="AM8" s="77">
        <v>38</v>
      </c>
      <c r="AN8" s="77">
        <v>39</v>
      </c>
      <c r="AO8" s="77">
        <v>40</v>
      </c>
      <c r="AP8" s="77">
        <v>41</v>
      </c>
      <c r="AQ8" s="77">
        <v>42</v>
      </c>
      <c r="AR8" s="77">
        <v>43</v>
      </c>
      <c r="AS8" s="77">
        <v>44</v>
      </c>
      <c r="AT8" s="77">
        <v>45</v>
      </c>
      <c r="AU8" s="77">
        <v>46</v>
      </c>
      <c r="AV8" s="77">
        <v>47</v>
      </c>
      <c r="AW8" s="77">
        <v>48</v>
      </c>
      <c r="AX8" s="77">
        <v>49</v>
      </c>
      <c r="AY8" s="77">
        <v>50</v>
      </c>
      <c r="AZ8" s="77">
        <v>51</v>
      </c>
      <c r="BA8" s="77">
        <v>52</v>
      </c>
      <c r="BB8" s="77">
        <v>53</v>
      </c>
      <c r="BC8" s="77">
        <v>54</v>
      </c>
      <c r="BD8" s="77">
        <v>55</v>
      </c>
      <c r="BE8" s="77">
        <v>56</v>
      </c>
      <c r="BF8" s="77">
        <v>57</v>
      </c>
      <c r="BG8" s="77">
        <v>58</v>
      </c>
      <c r="BH8" s="77">
        <v>59</v>
      </c>
      <c r="BI8" s="77">
        <v>60</v>
      </c>
    </row>
    <row r="9" spans="2:61" x14ac:dyDescent="0.25">
      <c r="B9" s="63">
        <v>1</v>
      </c>
      <c r="C9" s="64" t="str">
        <f>NOMINATIF!C6</f>
        <v>AFMALA INSAN QOIRUNISA</v>
      </c>
      <c r="D9" s="65">
        <f>NOMINATIF!D6</f>
        <v>4020</v>
      </c>
      <c r="E9" s="65" t="str">
        <f>NOMINATIF!E6</f>
        <v>0059023845</v>
      </c>
      <c r="F9" s="53">
        <v>0</v>
      </c>
      <c r="G9" s="53"/>
      <c r="H9" s="53"/>
      <c r="I9" s="53">
        <f>IFERROR(VLOOKUP(C9,$BO$8:$BP$101,2,0),0)</f>
        <v>0</v>
      </c>
      <c r="J9" s="53"/>
      <c r="K9" s="53"/>
      <c r="L9" s="53">
        <f>IFERROR(VLOOKUP(C9,$BQ$8:$BR$101,2,0),0)</f>
        <v>0</v>
      </c>
      <c r="M9" s="53"/>
      <c r="N9" s="53"/>
      <c r="O9" s="53">
        <f>IFERROR(VLOOKUP(C9,$BS$8:$BT$39,2,0),0)</f>
        <v>0</v>
      </c>
      <c r="P9" s="53"/>
      <c r="Q9" s="53"/>
      <c r="R9" s="53">
        <f>IFERROR(VLOOKUP(C9,$BU$8:$BV$101,2,0),0)</f>
        <v>0</v>
      </c>
      <c r="S9" s="53"/>
      <c r="T9" s="53"/>
      <c r="U9" s="53">
        <f>IFERROR(VLOOKUP(C9,$BW$8:$BX$101,2,0),0)</f>
        <v>0</v>
      </c>
      <c r="V9" s="53"/>
      <c r="W9" s="53"/>
      <c r="X9" s="53">
        <f>IFERROR(VLOOKUP(C9,$BY$8:$BZ$101,2,0),0)</f>
        <v>0</v>
      </c>
      <c r="Y9" s="53"/>
      <c r="Z9" s="53"/>
      <c r="AA9" s="53">
        <f>IFERROR(VLOOKUP(C9,$CA$8:$CB$39,2,0),0)</f>
        <v>0</v>
      </c>
      <c r="AB9" s="53"/>
      <c r="AC9" s="53"/>
      <c r="AD9" s="53">
        <f>IFERROR(VLOOKUP(C9,$CC$8:$CD$101,2,0),0)</f>
        <v>0</v>
      </c>
      <c r="AE9" s="53"/>
      <c r="AF9" s="53"/>
      <c r="AG9" s="53">
        <f>IFERROR(VLOOKUP(C9,$CE$8:$CF$101,2,0),0)</f>
        <v>0</v>
      </c>
      <c r="AH9" s="53"/>
      <c r="AI9" s="53"/>
      <c r="AJ9" s="53">
        <f>IFERROR(VLOOKUP(C9,$CG$8:$CH$101,2,0),0)</f>
        <v>0</v>
      </c>
      <c r="AK9" s="53"/>
      <c r="AL9" s="53"/>
      <c r="AM9" s="53">
        <f>IFERROR(VLOOKUP(C9,$CI$8:$CJ$39,2,0),0)</f>
        <v>0</v>
      </c>
      <c r="AN9" s="53"/>
      <c r="AO9" s="53"/>
      <c r="AP9" s="53">
        <f>IFERROR(VLOOKUP(C9,$CK$8:$CL$101,2,0),0)</f>
        <v>0</v>
      </c>
      <c r="AQ9" s="53"/>
      <c r="AR9" s="53"/>
      <c r="AS9" s="53">
        <f>IFERROR(VLOOKUP(C9,$CM$8:$CN$101,2,0),0)</f>
        <v>0</v>
      </c>
      <c r="AT9" s="53"/>
      <c r="AU9" s="53"/>
      <c r="AV9" s="53">
        <f>IFERROR(VLOOKUP(C9,$CO$8:$CP$101,2,0),0)</f>
        <v>0</v>
      </c>
      <c r="AW9" s="53"/>
      <c r="AX9" s="53"/>
      <c r="AY9" s="53">
        <f>IFERROR(VLOOKUP(C9,$CQ$8:$CR$101,2,0),0)</f>
        <v>0</v>
      </c>
      <c r="AZ9" s="53"/>
      <c r="BA9" s="53"/>
      <c r="BB9" s="53">
        <f>IFERROR(VLOOKUP(C9,$CS$8:$CT$101,2,0),0)</f>
        <v>0</v>
      </c>
      <c r="BC9" s="53"/>
      <c r="BD9" s="53"/>
      <c r="BE9" s="66">
        <f>IFERROR(VLOOKUP(C9,$CU$8:$CV$101,2,0),0)</f>
        <v>0</v>
      </c>
      <c r="BF9" s="66"/>
      <c r="BG9" s="66"/>
      <c r="BH9" s="67">
        <f>SUM(F9:BE9)</f>
        <v>0</v>
      </c>
      <c r="BI9" s="68">
        <f>RANK(BH9,$BH$9:$BH$43)</f>
        <v>1</v>
      </c>
    </row>
    <row r="10" spans="2:61" x14ac:dyDescent="0.25">
      <c r="B10" s="63">
        <v>2</v>
      </c>
      <c r="C10" s="64" t="str">
        <f>NOMINATIF!C7</f>
        <v>Bella Febriyan</v>
      </c>
      <c r="D10" s="65">
        <f>NOMINATIF!D7</f>
        <v>4044</v>
      </c>
      <c r="E10" s="65" t="str">
        <f>NOMINATIF!E7</f>
        <v>0063121607</v>
      </c>
      <c r="F10" s="53">
        <f t="shared" ref="F10:F43" si="0">IFERROR(VLOOKUP(C10,$BM$8:$BN$101,2,0),0)</f>
        <v>0</v>
      </c>
      <c r="G10" s="53"/>
      <c r="H10" s="53"/>
      <c r="I10" s="53">
        <f t="shared" ref="I10:I43" si="1">IFERROR(VLOOKUP(C10,$BO$8:$BP$101,2,0),0)</f>
        <v>0</v>
      </c>
      <c r="J10" s="53"/>
      <c r="K10" s="53"/>
      <c r="L10" s="53">
        <f t="shared" ref="L10:L43" si="2">IFERROR(VLOOKUP(C10,$BQ$8:$BR$101,2,0),0)</f>
        <v>0</v>
      </c>
      <c r="M10" s="53"/>
      <c r="N10" s="53"/>
      <c r="O10" s="53">
        <f t="shared" ref="O10:O43" si="3">IFERROR(VLOOKUP(C10,$BS$8:$BT$39,2,0),0)</f>
        <v>0</v>
      </c>
      <c r="P10" s="53"/>
      <c r="Q10" s="53"/>
      <c r="R10" s="53">
        <f t="shared" ref="R10:R43" si="4">IFERROR(VLOOKUP(C10,$BU$8:$BV$101,2,0),0)</f>
        <v>0</v>
      </c>
      <c r="S10" s="53"/>
      <c r="T10" s="53"/>
      <c r="U10" s="53">
        <f t="shared" ref="U10:U43" si="5">IFERROR(VLOOKUP(C10,$BW$8:$BX$101,2,0),0)</f>
        <v>0</v>
      </c>
      <c r="V10" s="53"/>
      <c r="W10" s="53"/>
      <c r="X10" s="53">
        <f t="shared" ref="X10:X43" si="6">IFERROR(VLOOKUP(C10,$BY$8:$BZ$101,2,0),0)</f>
        <v>0</v>
      </c>
      <c r="Y10" s="53"/>
      <c r="Z10" s="53"/>
      <c r="AA10" s="53">
        <f t="shared" ref="AA10:AA43" si="7">IFERROR(VLOOKUP(C10,$CA$8:$CB$39,2,0),0)</f>
        <v>0</v>
      </c>
      <c r="AB10" s="53"/>
      <c r="AC10" s="53"/>
      <c r="AD10" s="53">
        <f t="shared" ref="AD10:AD43" si="8">IFERROR(VLOOKUP(C10,$CC$8:$CD$101,2,0),0)</f>
        <v>0</v>
      </c>
      <c r="AE10" s="53"/>
      <c r="AF10" s="53"/>
      <c r="AG10" s="53">
        <f t="shared" ref="AG10:AG43" si="9">IFERROR(VLOOKUP(C10,$CE$8:$CF$101,2,0),0)</f>
        <v>0</v>
      </c>
      <c r="AH10" s="53"/>
      <c r="AI10" s="53"/>
      <c r="AJ10" s="53">
        <f t="shared" ref="AJ10:AJ43" si="10">IFERROR(VLOOKUP(C10,$CG$8:$CH$101,2,0),0)</f>
        <v>0</v>
      </c>
      <c r="AK10" s="53"/>
      <c r="AL10" s="53"/>
      <c r="AM10" s="53">
        <f t="shared" ref="AM10:AM43" si="11">IFERROR(VLOOKUP(C10,$CI$8:$CJ$39,2,0),0)</f>
        <v>0</v>
      </c>
      <c r="AN10" s="53"/>
      <c r="AO10" s="53"/>
      <c r="AP10" s="53">
        <f t="shared" ref="AP10:AP43" si="12">IFERROR(VLOOKUP(C10,$CK$8:$CL$101,2,0),0)</f>
        <v>0</v>
      </c>
      <c r="AQ10" s="53"/>
      <c r="AR10" s="53"/>
      <c r="AS10" s="53">
        <f t="shared" ref="AS10:AS43" si="13">IFERROR(VLOOKUP(C10,$CM$8:$CN$101,2,0),0)</f>
        <v>0</v>
      </c>
      <c r="AT10" s="53"/>
      <c r="AU10" s="53"/>
      <c r="AV10" s="53">
        <f t="shared" ref="AV10:AV43" si="14">IFERROR(VLOOKUP(C10,$CO$8:$CP$101,2,0),0)</f>
        <v>0</v>
      </c>
      <c r="AW10" s="53"/>
      <c r="AX10" s="53"/>
      <c r="AY10" s="53">
        <f t="shared" ref="AY10:AY43" si="15">IFERROR(VLOOKUP(C10,$CQ$8:$CR$101,2,0),0)</f>
        <v>0</v>
      </c>
      <c r="AZ10" s="53"/>
      <c r="BA10" s="53"/>
      <c r="BB10" s="53">
        <f t="shared" ref="BB10:BB43" si="16">IFERROR(VLOOKUP(C10,$CS$8:$CT$101,2,0),0)</f>
        <v>0</v>
      </c>
      <c r="BC10" s="53"/>
      <c r="BD10" s="53"/>
      <c r="BE10" s="66">
        <f t="shared" ref="BE10:BE43" si="17">IFERROR(VLOOKUP(C10,$CU$8:$CV$101,2,0),0)</f>
        <v>0</v>
      </c>
      <c r="BF10" s="66"/>
      <c r="BG10" s="66"/>
      <c r="BH10" s="67">
        <f t="shared" ref="BH10:BH43" si="18">SUM(F10:BE10)</f>
        <v>0</v>
      </c>
      <c r="BI10" s="68">
        <f t="shared" ref="BI10:BI43" si="19">RANK(BH10,$BH$9:$BH$43)</f>
        <v>1</v>
      </c>
    </row>
    <row r="11" spans="2:61" x14ac:dyDescent="0.25">
      <c r="B11" s="63">
        <v>3</v>
      </c>
      <c r="C11" s="64" t="str">
        <f>NOMINATIF!C8</f>
        <v>CHINTIA WIDYA PUTRI</v>
      </c>
      <c r="D11" s="65">
        <f>NOMINATIF!D8</f>
        <v>4024</v>
      </c>
      <c r="E11" s="65" t="str">
        <f>NOMINATIF!E8</f>
        <v>0064862293</v>
      </c>
      <c r="F11" s="53">
        <f t="shared" si="0"/>
        <v>0</v>
      </c>
      <c r="G11" s="53"/>
      <c r="H11" s="53"/>
      <c r="I11" s="53">
        <f t="shared" si="1"/>
        <v>0</v>
      </c>
      <c r="J11" s="53"/>
      <c r="K11" s="53"/>
      <c r="L11" s="53">
        <f t="shared" si="2"/>
        <v>0</v>
      </c>
      <c r="M11" s="53"/>
      <c r="N11" s="53"/>
      <c r="O11" s="53">
        <f t="shared" si="3"/>
        <v>0</v>
      </c>
      <c r="P11" s="53"/>
      <c r="Q11" s="53"/>
      <c r="R11" s="53">
        <f t="shared" si="4"/>
        <v>0</v>
      </c>
      <c r="S11" s="53"/>
      <c r="T11" s="53"/>
      <c r="U11" s="53">
        <f t="shared" si="5"/>
        <v>0</v>
      </c>
      <c r="V11" s="53"/>
      <c r="W11" s="53"/>
      <c r="X11" s="53">
        <f t="shared" si="6"/>
        <v>0</v>
      </c>
      <c r="Y11" s="53"/>
      <c r="Z11" s="53"/>
      <c r="AA11" s="53">
        <f t="shared" si="7"/>
        <v>0</v>
      </c>
      <c r="AB11" s="53"/>
      <c r="AC11" s="53"/>
      <c r="AD11" s="53">
        <f t="shared" si="8"/>
        <v>0</v>
      </c>
      <c r="AE11" s="53"/>
      <c r="AF11" s="53"/>
      <c r="AG11" s="53">
        <f t="shared" si="9"/>
        <v>0</v>
      </c>
      <c r="AH11" s="53"/>
      <c r="AI11" s="53"/>
      <c r="AJ11" s="53">
        <f t="shared" si="10"/>
        <v>0</v>
      </c>
      <c r="AK11" s="53"/>
      <c r="AL11" s="53"/>
      <c r="AM11" s="53">
        <f t="shared" si="11"/>
        <v>0</v>
      </c>
      <c r="AN11" s="53"/>
      <c r="AO11" s="53"/>
      <c r="AP11" s="53">
        <f t="shared" si="12"/>
        <v>0</v>
      </c>
      <c r="AQ11" s="53"/>
      <c r="AR11" s="53"/>
      <c r="AS11" s="53">
        <f t="shared" si="13"/>
        <v>0</v>
      </c>
      <c r="AT11" s="53"/>
      <c r="AU11" s="53"/>
      <c r="AV11" s="53">
        <f t="shared" si="14"/>
        <v>0</v>
      </c>
      <c r="AW11" s="53"/>
      <c r="AX11" s="53"/>
      <c r="AY11" s="53">
        <f t="shared" si="15"/>
        <v>0</v>
      </c>
      <c r="AZ11" s="53"/>
      <c r="BA11" s="53"/>
      <c r="BB11" s="53">
        <f t="shared" si="16"/>
        <v>0</v>
      </c>
      <c r="BC11" s="53"/>
      <c r="BD11" s="53"/>
      <c r="BE11" s="66">
        <f t="shared" si="17"/>
        <v>0</v>
      </c>
      <c r="BF11" s="66"/>
      <c r="BG11" s="66"/>
      <c r="BH11" s="67">
        <f t="shared" si="18"/>
        <v>0</v>
      </c>
      <c r="BI11" s="68">
        <f t="shared" si="19"/>
        <v>1</v>
      </c>
    </row>
    <row r="12" spans="2:61" x14ac:dyDescent="0.25">
      <c r="B12" s="63">
        <v>4</v>
      </c>
      <c r="C12" s="64" t="str">
        <f>NOMINATIF!C9</f>
        <v>DAVINA AZAHRA</v>
      </c>
      <c r="D12" s="65">
        <f>NOMINATIF!D9</f>
        <v>4048</v>
      </c>
      <c r="E12" s="65" t="str">
        <f>NOMINATIF!E9</f>
        <v>0063299654</v>
      </c>
      <c r="F12" s="53">
        <f t="shared" si="0"/>
        <v>0</v>
      </c>
      <c r="G12" s="53"/>
      <c r="H12" s="53"/>
      <c r="I12" s="53">
        <f t="shared" si="1"/>
        <v>0</v>
      </c>
      <c r="J12" s="53"/>
      <c r="K12" s="53"/>
      <c r="L12" s="53">
        <f t="shared" si="2"/>
        <v>0</v>
      </c>
      <c r="M12" s="53"/>
      <c r="N12" s="53"/>
      <c r="O12" s="53">
        <f t="shared" si="3"/>
        <v>0</v>
      </c>
      <c r="P12" s="53"/>
      <c r="Q12" s="53"/>
      <c r="R12" s="53">
        <f t="shared" si="4"/>
        <v>0</v>
      </c>
      <c r="S12" s="53"/>
      <c r="T12" s="53"/>
      <c r="U12" s="53">
        <f t="shared" si="5"/>
        <v>0</v>
      </c>
      <c r="V12" s="53"/>
      <c r="W12" s="53"/>
      <c r="X12" s="53">
        <f t="shared" si="6"/>
        <v>0</v>
      </c>
      <c r="Y12" s="53"/>
      <c r="Z12" s="53"/>
      <c r="AA12" s="53">
        <f t="shared" si="7"/>
        <v>0</v>
      </c>
      <c r="AB12" s="53"/>
      <c r="AC12" s="53"/>
      <c r="AD12" s="53">
        <f t="shared" si="8"/>
        <v>0</v>
      </c>
      <c r="AE12" s="53"/>
      <c r="AF12" s="53"/>
      <c r="AG12" s="53">
        <f t="shared" si="9"/>
        <v>0</v>
      </c>
      <c r="AH12" s="53"/>
      <c r="AI12" s="53"/>
      <c r="AJ12" s="53">
        <f t="shared" si="10"/>
        <v>0</v>
      </c>
      <c r="AK12" s="53"/>
      <c r="AL12" s="53"/>
      <c r="AM12" s="53">
        <f t="shared" si="11"/>
        <v>0</v>
      </c>
      <c r="AN12" s="53"/>
      <c r="AO12" s="53"/>
      <c r="AP12" s="53">
        <f t="shared" si="12"/>
        <v>0</v>
      </c>
      <c r="AQ12" s="53"/>
      <c r="AR12" s="53"/>
      <c r="AS12" s="53">
        <f t="shared" si="13"/>
        <v>0</v>
      </c>
      <c r="AT12" s="53"/>
      <c r="AU12" s="53"/>
      <c r="AV12" s="53">
        <f t="shared" si="14"/>
        <v>0</v>
      </c>
      <c r="AW12" s="53"/>
      <c r="AX12" s="53"/>
      <c r="AY12" s="53">
        <f t="shared" si="15"/>
        <v>0</v>
      </c>
      <c r="AZ12" s="53"/>
      <c r="BA12" s="53"/>
      <c r="BB12" s="53">
        <f t="shared" si="16"/>
        <v>0</v>
      </c>
      <c r="BC12" s="53"/>
      <c r="BD12" s="53"/>
      <c r="BE12" s="66">
        <f t="shared" si="17"/>
        <v>0</v>
      </c>
      <c r="BF12" s="66"/>
      <c r="BG12" s="66"/>
      <c r="BH12" s="67">
        <f t="shared" si="18"/>
        <v>0</v>
      </c>
      <c r="BI12" s="68">
        <f t="shared" si="19"/>
        <v>1</v>
      </c>
    </row>
    <row r="13" spans="2:61" x14ac:dyDescent="0.25">
      <c r="B13" s="63">
        <v>5</v>
      </c>
      <c r="C13" s="64" t="str">
        <f>NOMINATIF!C10</f>
        <v>DELIA TRI ASTUTI</v>
      </c>
      <c r="D13" s="65">
        <f>NOMINATIF!D10</f>
        <v>4049</v>
      </c>
      <c r="E13" s="65" t="str">
        <f>NOMINATIF!E10</f>
        <v>0051684703</v>
      </c>
      <c r="F13" s="53">
        <v>0</v>
      </c>
      <c r="G13" s="53"/>
      <c r="H13" s="53"/>
      <c r="I13" s="53">
        <f t="shared" si="1"/>
        <v>0</v>
      </c>
      <c r="J13" s="53"/>
      <c r="K13" s="53"/>
      <c r="L13" s="53">
        <f t="shared" si="2"/>
        <v>0</v>
      </c>
      <c r="M13" s="53"/>
      <c r="N13" s="53"/>
      <c r="O13" s="53">
        <f t="shared" si="3"/>
        <v>0</v>
      </c>
      <c r="P13" s="53"/>
      <c r="Q13" s="53"/>
      <c r="R13" s="53">
        <f t="shared" si="4"/>
        <v>0</v>
      </c>
      <c r="S13" s="53"/>
      <c r="T13" s="53"/>
      <c r="U13" s="53">
        <f t="shared" si="5"/>
        <v>0</v>
      </c>
      <c r="V13" s="53"/>
      <c r="W13" s="53"/>
      <c r="X13" s="53">
        <f t="shared" si="6"/>
        <v>0</v>
      </c>
      <c r="Y13" s="53"/>
      <c r="Z13" s="53"/>
      <c r="AA13" s="53">
        <f t="shared" si="7"/>
        <v>0</v>
      </c>
      <c r="AB13" s="53"/>
      <c r="AC13" s="53"/>
      <c r="AD13" s="53">
        <f t="shared" si="8"/>
        <v>0</v>
      </c>
      <c r="AE13" s="53"/>
      <c r="AF13" s="53"/>
      <c r="AG13" s="53">
        <f t="shared" si="9"/>
        <v>0</v>
      </c>
      <c r="AH13" s="53"/>
      <c r="AI13" s="53"/>
      <c r="AJ13" s="53">
        <f t="shared" si="10"/>
        <v>0</v>
      </c>
      <c r="AK13" s="53"/>
      <c r="AL13" s="53"/>
      <c r="AM13" s="53">
        <f t="shared" si="11"/>
        <v>0</v>
      </c>
      <c r="AN13" s="53"/>
      <c r="AO13" s="53"/>
      <c r="AP13" s="53">
        <f t="shared" si="12"/>
        <v>0</v>
      </c>
      <c r="AQ13" s="53"/>
      <c r="AR13" s="53"/>
      <c r="AS13" s="53">
        <f t="shared" si="13"/>
        <v>0</v>
      </c>
      <c r="AT13" s="53"/>
      <c r="AU13" s="53"/>
      <c r="AV13" s="53">
        <f t="shared" si="14"/>
        <v>0</v>
      </c>
      <c r="AW13" s="53"/>
      <c r="AX13" s="53"/>
      <c r="AY13" s="53">
        <f t="shared" si="15"/>
        <v>0</v>
      </c>
      <c r="AZ13" s="53"/>
      <c r="BA13" s="53"/>
      <c r="BB13" s="53">
        <f t="shared" si="16"/>
        <v>0</v>
      </c>
      <c r="BC13" s="53"/>
      <c r="BD13" s="53"/>
      <c r="BE13" s="66">
        <f t="shared" si="17"/>
        <v>0</v>
      </c>
      <c r="BF13" s="66"/>
      <c r="BG13" s="66"/>
      <c r="BH13" s="67">
        <f t="shared" si="18"/>
        <v>0</v>
      </c>
      <c r="BI13" s="68">
        <f t="shared" si="19"/>
        <v>1</v>
      </c>
    </row>
    <row r="14" spans="2:61" x14ac:dyDescent="0.25">
      <c r="B14" s="63">
        <v>6</v>
      </c>
      <c r="C14" s="64" t="str">
        <f>NOMINATIF!C11</f>
        <v>ELVA AYU SAPUTRI</v>
      </c>
      <c r="D14" s="65">
        <f>NOMINATIF!D11</f>
        <v>4027</v>
      </c>
      <c r="E14" s="65" t="str">
        <f>NOMINATIF!E11</f>
        <v>0067175983</v>
      </c>
      <c r="F14" s="53">
        <f t="shared" si="0"/>
        <v>0</v>
      </c>
      <c r="G14" s="53"/>
      <c r="H14" s="53"/>
      <c r="I14" s="53">
        <f t="shared" si="1"/>
        <v>0</v>
      </c>
      <c r="J14" s="53"/>
      <c r="K14" s="53"/>
      <c r="L14" s="53">
        <f t="shared" si="2"/>
        <v>0</v>
      </c>
      <c r="M14" s="53"/>
      <c r="N14" s="53"/>
      <c r="O14" s="53">
        <f t="shared" si="3"/>
        <v>0</v>
      </c>
      <c r="P14" s="53"/>
      <c r="Q14" s="53"/>
      <c r="R14" s="53">
        <f t="shared" si="4"/>
        <v>0</v>
      </c>
      <c r="S14" s="53"/>
      <c r="T14" s="53"/>
      <c r="U14" s="53">
        <f t="shared" si="5"/>
        <v>0</v>
      </c>
      <c r="V14" s="53"/>
      <c r="W14" s="53"/>
      <c r="X14" s="53">
        <f t="shared" si="6"/>
        <v>0</v>
      </c>
      <c r="Y14" s="53"/>
      <c r="Z14" s="53"/>
      <c r="AA14" s="53">
        <f t="shared" si="7"/>
        <v>0</v>
      </c>
      <c r="AB14" s="53"/>
      <c r="AC14" s="53"/>
      <c r="AD14" s="53">
        <f t="shared" si="8"/>
        <v>0</v>
      </c>
      <c r="AE14" s="53"/>
      <c r="AF14" s="53"/>
      <c r="AG14" s="53">
        <f t="shared" si="9"/>
        <v>0</v>
      </c>
      <c r="AH14" s="53"/>
      <c r="AI14" s="53"/>
      <c r="AJ14" s="53">
        <f t="shared" si="10"/>
        <v>0</v>
      </c>
      <c r="AK14" s="53"/>
      <c r="AL14" s="53"/>
      <c r="AM14" s="53">
        <f t="shared" si="11"/>
        <v>0</v>
      </c>
      <c r="AN14" s="53"/>
      <c r="AO14" s="53"/>
      <c r="AP14" s="53">
        <f t="shared" si="12"/>
        <v>0</v>
      </c>
      <c r="AQ14" s="53"/>
      <c r="AR14" s="53"/>
      <c r="AS14" s="53">
        <f t="shared" si="13"/>
        <v>0</v>
      </c>
      <c r="AT14" s="53"/>
      <c r="AU14" s="53"/>
      <c r="AV14" s="53">
        <f t="shared" si="14"/>
        <v>0</v>
      </c>
      <c r="AW14" s="53"/>
      <c r="AX14" s="53"/>
      <c r="AY14" s="53">
        <f t="shared" si="15"/>
        <v>0</v>
      </c>
      <c r="AZ14" s="53"/>
      <c r="BA14" s="53"/>
      <c r="BB14" s="53">
        <f t="shared" si="16"/>
        <v>0</v>
      </c>
      <c r="BC14" s="53"/>
      <c r="BD14" s="53"/>
      <c r="BE14" s="66">
        <f t="shared" si="17"/>
        <v>0</v>
      </c>
      <c r="BF14" s="66"/>
      <c r="BG14" s="66"/>
      <c r="BH14" s="67">
        <f t="shared" si="18"/>
        <v>0</v>
      </c>
      <c r="BI14" s="68">
        <f t="shared" si="19"/>
        <v>1</v>
      </c>
    </row>
    <row r="15" spans="2:61" x14ac:dyDescent="0.25">
      <c r="B15" s="63">
        <v>7</v>
      </c>
      <c r="C15" s="64" t="str">
        <f>NOMINATIF!C12</f>
        <v>Irlyn May Ardhiyana</v>
      </c>
      <c r="D15" s="65">
        <f>NOMINATIF!D12</f>
        <v>4030</v>
      </c>
      <c r="E15" s="65" t="str">
        <f>NOMINATIF!E12</f>
        <v>0068161646</v>
      </c>
      <c r="F15" s="53">
        <f t="shared" si="0"/>
        <v>0</v>
      </c>
      <c r="G15" s="53"/>
      <c r="H15" s="53"/>
      <c r="I15" s="53">
        <f t="shared" si="1"/>
        <v>0</v>
      </c>
      <c r="J15" s="53"/>
      <c r="K15" s="53"/>
      <c r="L15" s="53">
        <f t="shared" si="2"/>
        <v>0</v>
      </c>
      <c r="M15" s="53"/>
      <c r="N15" s="53"/>
      <c r="O15" s="53">
        <f t="shared" si="3"/>
        <v>0</v>
      </c>
      <c r="P15" s="53"/>
      <c r="Q15" s="53"/>
      <c r="R15" s="53">
        <f t="shared" si="4"/>
        <v>0</v>
      </c>
      <c r="S15" s="53"/>
      <c r="T15" s="53"/>
      <c r="U15" s="53">
        <f t="shared" si="5"/>
        <v>0</v>
      </c>
      <c r="V15" s="53"/>
      <c r="W15" s="53"/>
      <c r="X15" s="53">
        <f t="shared" si="6"/>
        <v>0</v>
      </c>
      <c r="Y15" s="53"/>
      <c r="Z15" s="53"/>
      <c r="AA15" s="53">
        <f t="shared" si="7"/>
        <v>0</v>
      </c>
      <c r="AB15" s="53"/>
      <c r="AC15" s="53"/>
      <c r="AD15" s="53">
        <f t="shared" si="8"/>
        <v>0</v>
      </c>
      <c r="AE15" s="53"/>
      <c r="AF15" s="53"/>
      <c r="AG15" s="53">
        <f t="shared" si="9"/>
        <v>0</v>
      </c>
      <c r="AH15" s="53"/>
      <c r="AI15" s="53"/>
      <c r="AJ15" s="53">
        <f t="shared" si="10"/>
        <v>0</v>
      </c>
      <c r="AK15" s="53"/>
      <c r="AL15" s="53"/>
      <c r="AM15" s="53">
        <f t="shared" si="11"/>
        <v>0</v>
      </c>
      <c r="AN15" s="53"/>
      <c r="AO15" s="53"/>
      <c r="AP15" s="53">
        <f t="shared" si="12"/>
        <v>0</v>
      </c>
      <c r="AQ15" s="53"/>
      <c r="AR15" s="53"/>
      <c r="AS15" s="53">
        <f t="shared" si="13"/>
        <v>0</v>
      </c>
      <c r="AT15" s="53"/>
      <c r="AU15" s="53"/>
      <c r="AV15" s="53">
        <f t="shared" si="14"/>
        <v>0</v>
      </c>
      <c r="AW15" s="53"/>
      <c r="AX15" s="53"/>
      <c r="AY15" s="53">
        <f t="shared" si="15"/>
        <v>0</v>
      </c>
      <c r="AZ15" s="53"/>
      <c r="BA15" s="53"/>
      <c r="BB15" s="53">
        <f t="shared" si="16"/>
        <v>0</v>
      </c>
      <c r="BC15" s="53"/>
      <c r="BD15" s="53"/>
      <c r="BE15" s="66">
        <f t="shared" si="17"/>
        <v>0</v>
      </c>
      <c r="BF15" s="66"/>
      <c r="BG15" s="66"/>
      <c r="BH15" s="67">
        <f t="shared" si="18"/>
        <v>0</v>
      </c>
      <c r="BI15" s="68">
        <f t="shared" si="19"/>
        <v>1</v>
      </c>
    </row>
    <row r="16" spans="2:61" x14ac:dyDescent="0.25">
      <c r="B16" s="63">
        <v>8</v>
      </c>
      <c r="C16" s="64" t="str">
        <f>NOMINATIF!C13</f>
        <v>Milla Safira</v>
      </c>
      <c r="D16" s="65">
        <f>NOMINATIF!D13</f>
        <v>4053</v>
      </c>
      <c r="E16" s="65" t="str">
        <f>NOMINATIF!E13</f>
        <v>0057801643</v>
      </c>
      <c r="F16" s="53">
        <f t="shared" si="0"/>
        <v>0</v>
      </c>
      <c r="G16" s="53"/>
      <c r="H16" s="53"/>
      <c r="I16" s="53">
        <f t="shared" si="1"/>
        <v>0</v>
      </c>
      <c r="J16" s="53"/>
      <c r="K16" s="53"/>
      <c r="L16" s="53">
        <f t="shared" si="2"/>
        <v>0</v>
      </c>
      <c r="M16" s="53"/>
      <c r="N16" s="53"/>
      <c r="O16" s="53">
        <f t="shared" si="3"/>
        <v>0</v>
      </c>
      <c r="P16" s="53"/>
      <c r="Q16" s="53"/>
      <c r="R16" s="53">
        <f t="shared" si="4"/>
        <v>0</v>
      </c>
      <c r="S16" s="53"/>
      <c r="T16" s="53"/>
      <c r="U16" s="53">
        <f t="shared" si="5"/>
        <v>0</v>
      </c>
      <c r="V16" s="53"/>
      <c r="W16" s="53"/>
      <c r="X16" s="53">
        <f t="shared" si="6"/>
        <v>0</v>
      </c>
      <c r="Y16" s="53"/>
      <c r="Z16" s="53"/>
      <c r="AA16" s="53">
        <f t="shared" si="7"/>
        <v>0</v>
      </c>
      <c r="AB16" s="53"/>
      <c r="AC16" s="53"/>
      <c r="AD16" s="53">
        <f t="shared" si="8"/>
        <v>0</v>
      </c>
      <c r="AE16" s="53"/>
      <c r="AF16" s="53"/>
      <c r="AG16" s="53">
        <f t="shared" si="9"/>
        <v>0</v>
      </c>
      <c r="AH16" s="53"/>
      <c r="AI16" s="53"/>
      <c r="AJ16" s="53">
        <f t="shared" si="10"/>
        <v>0</v>
      </c>
      <c r="AK16" s="53"/>
      <c r="AL16" s="53"/>
      <c r="AM16" s="53">
        <f t="shared" si="11"/>
        <v>0</v>
      </c>
      <c r="AN16" s="53"/>
      <c r="AO16" s="53"/>
      <c r="AP16" s="53">
        <f t="shared" si="12"/>
        <v>0</v>
      </c>
      <c r="AQ16" s="53"/>
      <c r="AR16" s="53"/>
      <c r="AS16" s="53">
        <f t="shared" si="13"/>
        <v>0</v>
      </c>
      <c r="AT16" s="53"/>
      <c r="AU16" s="53"/>
      <c r="AV16" s="53">
        <f t="shared" si="14"/>
        <v>0</v>
      </c>
      <c r="AW16" s="53"/>
      <c r="AX16" s="53"/>
      <c r="AY16" s="53">
        <f t="shared" si="15"/>
        <v>0</v>
      </c>
      <c r="AZ16" s="53"/>
      <c r="BA16" s="53"/>
      <c r="BB16" s="53">
        <f t="shared" si="16"/>
        <v>0</v>
      </c>
      <c r="BC16" s="53"/>
      <c r="BD16" s="53"/>
      <c r="BE16" s="66">
        <f t="shared" si="17"/>
        <v>0</v>
      </c>
      <c r="BF16" s="66"/>
      <c r="BG16" s="66"/>
      <c r="BH16" s="67">
        <f t="shared" si="18"/>
        <v>0</v>
      </c>
      <c r="BI16" s="68">
        <f t="shared" si="19"/>
        <v>1</v>
      </c>
    </row>
    <row r="17" spans="2:61" x14ac:dyDescent="0.25">
      <c r="B17" s="63">
        <v>9</v>
      </c>
      <c r="C17" s="64" t="str">
        <f>NOMINATIF!C14</f>
        <v>NATASYA EVI ARIFAH</v>
      </c>
      <c r="D17" s="65">
        <f>NOMINATIF!D14</f>
        <v>4033</v>
      </c>
      <c r="E17" s="65" t="str">
        <f>NOMINATIF!E14</f>
        <v>0066680260</v>
      </c>
      <c r="F17" s="53">
        <f t="shared" si="0"/>
        <v>0</v>
      </c>
      <c r="G17" s="53"/>
      <c r="H17" s="53"/>
      <c r="I17" s="53">
        <f t="shared" si="1"/>
        <v>0</v>
      </c>
      <c r="J17" s="53"/>
      <c r="K17" s="53"/>
      <c r="L17" s="53">
        <f t="shared" si="2"/>
        <v>0</v>
      </c>
      <c r="M17" s="53"/>
      <c r="N17" s="53"/>
      <c r="O17" s="53">
        <f t="shared" si="3"/>
        <v>0</v>
      </c>
      <c r="P17" s="53"/>
      <c r="Q17" s="53"/>
      <c r="R17" s="53">
        <f t="shared" si="4"/>
        <v>0</v>
      </c>
      <c r="S17" s="53"/>
      <c r="T17" s="53"/>
      <c r="U17" s="53">
        <f t="shared" si="5"/>
        <v>0</v>
      </c>
      <c r="V17" s="53"/>
      <c r="W17" s="53"/>
      <c r="X17" s="53">
        <f t="shared" si="6"/>
        <v>0</v>
      </c>
      <c r="Y17" s="53"/>
      <c r="Z17" s="53"/>
      <c r="AA17" s="53">
        <f t="shared" si="7"/>
        <v>0</v>
      </c>
      <c r="AB17" s="53"/>
      <c r="AC17" s="53"/>
      <c r="AD17" s="53">
        <f t="shared" si="8"/>
        <v>0</v>
      </c>
      <c r="AE17" s="53"/>
      <c r="AF17" s="53"/>
      <c r="AG17" s="53">
        <f t="shared" si="9"/>
        <v>0</v>
      </c>
      <c r="AH17" s="53"/>
      <c r="AI17" s="53"/>
      <c r="AJ17" s="53">
        <f t="shared" si="10"/>
        <v>0</v>
      </c>
      <c r="AK17" s="53"/>
      <c r="AL17" s="53"/>
      <c r="AM17" s="53">
        <f t="shared" si="11"/>
        <v>0</v>
      </c>
      <c r="AN17" s="53"/>
      <c r="AO17" s="53"/>
      <c r="AP17" s="53">
        <f t="shared" si="12"/>
        <v>0</v>
      </c>
      <c r="AQ17" s="53"/>
      <c r="AR17" s="53"/>
      <c r="AS17" s="53">
        <f t="shared" si="13"/>
        <v>0</v>
      </c>
      <c r="AT17" s="53"/>
      <c r="AU17" s="53"/>
      <c r="AV17" s="53">
        <f t="shared" si="14"/>
        <v>0</v>
      </c>
      <c r="AW17" s="53"/>
      <c r="AX17" s="53"/>
      <c r="AY17" s="53">
        <f t="shared" si="15"/>
        <v>0</v>
      </c>
      <c r="AZ17" s="53"/>
      <c r="BA17" s="53"/>
      <c r="BB17" s="53">
        <f t="shared" si="16"/>
        <v>0</v>
      </c>
      <c r="BC17" s="53"/>
      <c r="BD17" s="53"/>
      <c r="BE17" s="66">
        <f t="shared" si="17"/>
        <v>0</v>
      </c>
      <c r="BF17" s="66"/>
      <c r="BG17" s="66"/>
      <c r="BH17" s="67">
        <f t="shared" si="18"/>
        <v>0</v>
      </c>
      <c r="BI17" s="68">
        <f t="shared" si="19"/>
        <v>1</v>
      </c>
    </row>
    <row r="18" spans="2:61" x14ac:dyDescent="0.25">
      <c r="B18" s="63">
        <v>10</v>
      </c>
      <c r="C18" s="64" t="str">
        <f>NOMINATIF!C15</f>
        <v>Nensyih Widyawati Maharani</v>
      </c>
      <c r="D18" s="65">
        <f>NOMINATIF!D15</f>
        <v>4054</v>
      </c>
      <c r="E18" s="65" t="str">
        <f>NOMINATIF!E15</f>
        <v>0064476649</v>
      </c>
      <c r="F18" s="53">
        <f t="shared" si="0"/>
        <v>0</v>
      </c>
      <c r="G18" s="53"/>
      <c r="H18" s="53"/>
      <c r="I18" s="53">
        <f t="shared" si="1"/>
        <v>0</v>
      </c>
      <c r="J18" s="53"/>
      <c r="K18" s="53"/>
      <c r="L18" s="53">
        <f t="shared" si="2"/>
        <v>0</v>
      </c>
      <c r="M18" s="53"/>
      <c r="N18" s="53"/>
      <c r="O18" s="53">
        <f t="shared" si="3"/>
        <v>0</v>
      </c>
      <c r="P18" s="53"/>
      <c r="Q18" s="53"/>
      <c r="R18" s="53">
        <f t="shared" si="4"/>
        <v>0</v>
      </c>
      <c r="S18" s="53"/>
      <c r="T18" s="53"/>
      <c r="U18" s="53">
        <f t="shared" si="5"/>
        <v>0</v>
      </c>
      <c r="V18" s="53"/>
      <c r="W18" s="53"/>
      <c r="X18" s="53">
        <f t="shared" si="6"/>
        <v>0</v>
      </c>
      <c r="Y18" s="53"/>
      <c r="Z18" s="53"/>
      <c r="AA18" s="53">
        <f t="shared" si="7"/>
        <v>0</v>
      </c>
      <c r="AB18" s="53"/>
      <c r="AC18" s="53"/>
      <c r="AD18" s="53">
        <f t="shared" si="8"/>
        <v>0</v>
      </c>
      <c r="AE18" s="53"/>
      <c r="AF18" s="53"/>
      <c r="AG18" s="53">
        <f t="shared" si="9"/>
        <v>0</v>
      </c>
      <c r="AH18" s="53"/>
      <c r="AI18" s="53"/>
      <c r="AJ18" s="53">
        <f t="shared" si="10"/>
        <v>0</v>
      </c>
      <c r="AK18" s="53"/>
      <c r="AL18" s="53"/>
      <c r="AM18" s="53">
        <f t="shared" si="11"/>
        <v>0</v>
      </c>
      <c r="AN18" s="53"/>
      <c r="AO18" s="53"/>
      <c r="AP18" s="53">
        <f t="shared" si="12"/>
        <v>0</v>
      </c>
      <c r="AQ18" s="53"/>
      <c r="AR18" s="53"/>
      <c r="AS18" s="53">
        <f t="shared" si="13"/>
        <v>0</v>
      </c>
      <c r="AT18" s="53"/>
      <c r="AU18" s="53"/>
      <c r="AV18" s="53">
        <f t="shared" si="14"/>
        <v>0</v>
      </c>
      <c r="AW18" s="53"/>
      <c r="AX18" s="53"/>
      <c r="AY18" s="53">
        <f t="shared" si="15"/>
        <v>0</v>
      </c>
      <c r="AZ18" s="53"/>
      <c r="BA18" s="53"/>
      <c r="BB18" s="53">
        <f t="shared" si="16"/>
        <v>0</v>
      </c>
      <c r="BC18" s="53"/>
      <c r="BD18" s="53"/>
      <c r="BE18" s="66">
        <f t="shared" si="17"/>
        <v>0</v>
      </c>
      <c r="BF18" s="66"/>
      <c r="BG18" s="66"/>
      <c r="BH18" s="67">
        <f t="shared" si="18"/>
        <v>0</v>
      </c>
      <c r="BI18" s="68">
        <f t="shared" si="19"/>
        <v>1</v>
      </c>
    </row>
    <row r="19" spans="2:61" x14ac:dyDescent="0.25">
      <c r="B19" s="63">
        <v>11</v>
      </c>
      <c r="C19" s="64" t="str">
        <f>NOMINATIF!C16</f>
        <v>Olifah Hiasianjeng Prehatin</v>
      </c>
      <c r="D19" s="65">
        <f>NOMINATIF!D16</f>
        <v>4056</v>
      </c>
      <c r="E19" s="65" t="str">
        <f>NOMINATIF!E16</f>
        <v>0056102322</v>
      </c>
      <c r="F19" s="53">
        <f t="shared" si="0"/>
        <v>0</v>
      </c>
      <c r="G19" s="53"/>
      <c r="H19" s="53"/>
      <c r="I19" s="53">
        <f t="shared" si="1"/>
        <v>0</v>
      </c>
      <c r="J19" s="53"/>
      <c r="K19" s="53"/>
      <c r="L19" s="53">
        <f t="shared" si="2"/>
        <v>0</v>
      </c>
      <c r="M19" s="53"/>
      <c r="N19" s="53"/>
      <c r="O19" s="53">
        <f t="shared" si="3"/>
        <v>0</v>
      </c>
      <c r="P19" s="53"/>
      <c r="Q19" s="53"/>
      <c r="R19" s="53">
        <f t="shared" si="4"/>
        <v>0</v>
      </c>
      <c r="S19" s="53"/>
      <c r="T19" s="53"/>
      <c r="U19" s="53">
        <f t="shared" si="5"/>
        <v>0</v>
      </c>
      <c r="V19" s="53"/>
      <c r="W19" s="53"/>
      <c r="X19" s="53">
        <f t="shared" si="6"/>
        <v>0</v>
      </c>
      <c r="Y19" s="53"/>
      <c r="Z19" s="53"/>
      <c r="AA19" s="53">
        <f t="shared" si="7"/>
        <v>0</v>
      </c>
      <c r="AB19" s="53"/>
      <c r="AC19" s="53"/>
      <c r="AD19" s="53">
        <f t="shared" si="8"/>
        <v>0</v>
      </c>
      <c r="AE19" s="53"/>
      <c r="AF19" s="53"/>
      <c r="AG19" s="53">
        <f t="shared" si="9"/>
        <v>0</v>
      </c>
      <c r="AH19" s="53"/>
      <c r="AI19" s="53"/>
      <c r="AJ19" s="53">
        <f t="shared" si="10"/>
        <v>0</v>
      </c>
      <c r="AK19" s="53"/>
      <c r="AL19" s="53"/>
      <c r="AM19" s="53">
        <f t="shared" si="11"/>
        <v>0</v>
      </c>
      <c r="AN19" s="53"/>
      <c r="AO19" s="53"/>
      <c r="AP19" s="53">
        <f t="shared" si="12"/>
        <v>0</v>
      </c>
      <c r="AQ19" s="53"/>
      <c r="AR19" s="53"/>
      <c r="AS19" s="53">
        <f t="shared" si="13"/>
        <v>0</v>
      </c>
      <c r="AT19" s="53"/>
      <c r="AU19" s="53"/>
      <c r="AV19" s="53">
        <f t="shared" si="14"/>
        <v>0</v>
      </c>
      <c r="AW19" s="53"/>
      <c r="AX19" s="53"/>
      <c r="AY19" s="53">
        <f t="shared" si="15"/>
        <v>0</v>
      </c>
      <c r="AZ19" s="53"/>
      <c r="BA19" s="53"/>
      <c r="BB19" s="53">
        <f t="shared" si="16"/>
        <v>0</v>
      </c>
      <c r="BC19" s="53"/>
      <c r="BD19" s="53"/>
      <c r="BE19" s="66">
        <f t="shared" si="17"/>
        <v>0</v>
      </c>
      <c r="BF19" s="66"/>
      <c r="BG19" s="66"/>
      <c r="BH19" s="67">
        <f t="shared" si="18"/>
        <v>0</v>
      </c>
      <c r="BI19" s="68">
        <f t="shared" si="19"/>
        <v>1</v>
      </c>
    </row>
    <row r="20" spans="2:61" x14ac:dyDescent="0.25">
      <c r="B20" s="63">
        <v>12</v>
      </c>
      <c r="C20" s="64" t="str">
        <f>NOMINATIF!C17</f>
        <v>Putri Wijayanti</v>
      </c>
      <c r="D20" s="65">
        <f>NOMINATIF!D17</f>
        <v>4057</v>
      </c>
      <c r="E20" s="65" t="str">
        <f>NOMINATIF!E17</f>
        <v>0065546535</v>
      </c>
      <c r="F20" s="53">
        <f t="shared" si="0"/>
        <v>0</v>
      </c>
      <c r="G20" s="53"/>
      <c r="H20" s="53"/>
      <c r="I20" s="53">
        <f t="shared" si="1"/>
        <v>0</v>
      </c>
      <c r="J20" s="53"/>
      <c r="K20" s="53"/>
      <c r="L20" s="53">
        <f t="shared" si="2"/>
        <v>0</v>
      </c>
      <c r="M20" s="53"/>
      <c r="N20" s="53"/>
      <c r="O20" s="53">
        <f t="shared" si="3"/>
        <v>0</v>
      </c>
      <c r="P20" s="53"/>
      <c r="Q20" s="53"/>
      <c r="R20" s="53">
        <f t="shared" si="4"/>
        <v>0</v>
      </c>
      <c r="S20" s="53"/>
      <c r="T20" s="53"/>
      <c r="U20" s="53">
        <f t="shared" si="5"/>
        <v>0</v>
      </c>
      <c r="V20" s="53"/>
      <c r="W20" s="53"/>
      <c r="X20" s="53">
        <f t="shared" si="6"/>
        <v>0</v>
      </c>
      <c r="Y20" s="53"/>
      <c r="Z20" s="53"/>
      <c r="AA20" s="53">
        <f t="shared" si="7"/>
        <v>0</v>
      </c>
      <c r="AB20" s="53"/>
      <c r="AC20" s="53"/>
      <c r="AD20" s="53">
        <f t="shared" si="8"/>
        <v>0</v>
      </c>
      <c r="AE20" s="53"/>
      <c r="AF20" s="53"/>
      <c r="AG20" s="53">
        <f t="shared" si="9"/>
        <v>0</v>
      </c>
      <c r="AH20" s="53"/>
      <c r="AI20" s="53"/>
      <c r="AJ20" s="53">
        <f t="shared" si="10"/>
        <v>0</v>
      </c>
      <c r="AK20" s="53"/>
      <c r="AL20" s="53"/>
      <c r="AM20" s="53">
        <f t="shared" si="11"/>
        <v>0</v>
      </c>
      <c r="AN20" s="53"/>
      <c r="AO20" s="53"/>
      <c r="AP20" s="53">
        <f t="shared" si="12"/>
        <v>0</v>
      </c>
      <c r="AQ20" s="53"/>
      <c r="AR20" s="53"/>
      <c r="AS20" s="53">
        <f t="shared" si="13"/>
        <v>0</v>
      </c>
      <c r="AT20" s="53"/>
      <c r="AU20" s="53"/>
      <c r="AV20" s="53">
        <f t="shared" si="14"/>
        <v>0</v>
      </c>
      <c r="AW20" s="53"/>
      <c r="AX20" s="53"/>
      <c r="AY20" s="53">
        <f t="shared" si="15"/>
        <v>0</v>
      </c>
      <c r="AZ20" s="53"/>
      <c r="BA20" s="53"/>
      <c r="BB20" s="53">
        <f t="shared" si="16"/>
        <v>0</v>
      </c>
      <c r="BC20" s="53"/>
      <c r="BD20" s="53"/>
      <c r="BE20" s="66">
        <f t="shared" si="17"/>
        <v>0</v>
      </c>
      <c r="BF20" s="66"/>
      <c r="BG20" s="66"/>
      <c r="BH20" s="67">
        <f t="shared" si="18"/>
        <v>0</v>
      </c>
      <c r="BI20" s="68">
        <f t="shared" si="19"/>
        <v>1</v>
      </c>
    </row>
    <row r="21" spans="2:61" x14ac:dyDescent="0.25">
      <c r="B21" s="63">
        <v>13</v>
      </c>
      <c r="C21" s="64" t="str">
        <f>NOMINATIF!C18</f>
        <v>Rafli Ramadani</v>
      </c>
      <c r="D21" s="65">
        <f>NOMINATIF!D18</f>
        <v>4058</v>
      </c>
      <c r="E21" s="65" t="str">
        <f>NOMINATIF!E18</f>
        <v>0055462823</v>
      </c>
      <c r="F21" s="53">
        <f t="shared" ref="F21:I21" si="20">IFERROR(VLOOKUP(#REF!,$BQ$8:$BR$101,2,0),0)</f>
        <v>0</v>
      </c>
      <c r="G21" s="53"/>
      <c r="H21" s="53"/>
      <c r="I21" s="53">
        <f t="shared" si="20"/>
        <v>0</v>
      </c>
      <c r="J21" s="53"/>
      <c r="K21" s="53"/>
      <c r="L21" s="53">
        <f t="shared" si="2"/>
        <v>0</v>
      </c>
      <c r="M21" s="53"/>
      <c r="N21" s="53"/>
      <c r="O21" s="53">
        <f t="shared" si="3"/>
        <v>0</v>
      </c>
      <c r="P21" s="53"/>
      <c r="Q21" s="53"/>
      <c r="R21" s="53">
        <f t="shared" si="4"/>
        <v>0</v>
      </c>
      <c r="S21" s="53"/>
      <c r="T21" s="53"/>
      <c r="U21" s="53">
        <f t="shared" si="5"/>
        <v>0</v>
      </c>
      <c r="V21" s="53"/>
      <c r="W21" s="53"/>
      <c r="X21" s="53">
        <f t="shared" si="6"/>
        <v>0</v>
      </c>
      <c r="Y21" s="53"/>
      <c r="Z21" s="53"/>
      <c r="AA21" s="53">
        <f t="shared" si="7"/>
        <v>0</v>
      </c>
      <c r="AB21" s="53"/>
      <c r="AC21" s="53"/>
      <c r="AD21" s="53">
        <f t="shared" si="8"/>
        <v>0</v>
      </c>
      <c r="AE21" s="53"/>
      <c r="AF21" s="53"/>
      <c r="AG21" s="53">
        <f t="shared" si="9"/>
        <v>0</v>
      </c>
      <c r="AH21" s="53"/>
      <c r="AI21" s="53"/>
      <c r="AJ21" s="53">
        <f t="shared" si="10"/>
        <v>0</v>
      </c>
      <c r="AK21" s="53"/>
      <c r="AL21" s="53"/>
      <c r="AM21" s="53">
        <f t="shared" si="11"/>
        <v>0</v>
      </c>
      <c r="AN21" s="53"/>
      <c r="AO21" s="53"/>
      <c r="AP21" s="53">
        <f t="shared" si="12"/>
        <v>0</v>
      </c>
      <c r="AQ21" s="53"/>
      <c r="AR21" s="53"/>
      <c r="AS21" s="53">
        <f t="shared" si="13"/>
        <v>0</v>
      </c>
      <c r="AT21" s="53"/>
      <c r="AU21" s="53"/>
      <c r="AV21" s="53">
        <f t="shared" si="14"/>
        <v>0</v>
      </c>
      <c r="AW21" s="53"/>
      <c r="AX21" s="53"/>
      <c r="AY21" s="53">
        <f t="shared" si="15"/>
        <v>0</v>
      </c>
      <c r="AZ21" s="53"/>
      <c r="BA21" s="53"/>
      <c r="BB21" s="53">
        <f t="shared" si="16"/>
        <v>0</v>
      </c>
      <c r="BC21" s="53"/>
      <c r="BD21" s="53"/>
      <c r="BE21" s="66">
        <f t="shared" si="17"/>
        <v>0</v>
      </c>
      <c r="BF21" s="66"/>
      <c r="BG21" s="66"/>
      <c r="BH21" s="67">
        <f t="shared" si="18"/>
        <v>0</v>
      </c>
      <c r="BI21" s="68">
        <f t="shared" si="19"/>
        <v>1</v>
      </c>
    </row>
    <row r="22" spans="2:61" x14ac:dyDescent="0.25">
      <c r="B22" s="63">
        <v>14</v>
      </c>
      <c r="C22" s="64" t="str">
        <f>NOMINATIF!C19</f>
        <v>Rheiva Elfa Rossidah</v>
      </c>
      <c r="D22" s="65">
        <f>NOMINATIF!D19</f>
        <v>4036</v>
      </c>
      <c r="E22" s="65" t="str">
        <f>NOMINATIF!E19</f>
        <v>0072838616</v>
      </c>
      <c r="F22" s="53">
        <f t="shared" si="0"/>
        <v>0</v>
      </c>
      <c r="G22" s="53"/>
      <c r="H22" s="53"/>
      <c r="I22" s="53">
        <f t="shared" si="1"/>
        <v>0</v>
      </c>
      <c r="J22" s="53"/>
      <c r="K22" s="53"/>
      <c r="L22" s="53">
        <f t="shared" si="2"/>
        <v>0</v>
      </c>
      <c r="M22" s="53"/>
      <c r="N22" s="53"/>
      <c r="O22" s="53">
        <f t="shared" si="3"/>
        <v>0</v>
      </c>
      <c r="P22" s="53"/>
      <c r="Q22" s="53"/>
      <c r="R22" s="53">
        <f t="shared" si="4"/>
        <v>0</v>
      </c>
      <c r="S22" s="53"/>
      <c r="T22" s="53"/>
      <c r="U22" s="53">
        <f t="shared" si="5"/>
        <v>0</v>
      </c>
      <c r="V22" s="53"/>
      <c r="W22" s="53"/>
      <c r="X22" s="53">
        <f t="shared" si="6"/>
        <v>0</v>
      </c>
      <c r="Y22" s="53"/>
      <c r="Z22" s="53"/>
      <c r="AA22" s="53">
        <f t="shared" si="7"/>
        <v>0</v>
      </c>
      <c r="AB22" s="53"/>
      <c r="AC22" s="53"/>
      <c r="AD22" s="53">
        <f t="shared" si="8"/>
        <v>0</v>
      </c>
      <c r="AE22" s="53"/>
      <c r="AF22" s="53"/>
      <c r="AG22" s="53">
        <f t="shared" si="9"/>
        <v>0</v>
      </c>
      <c r="AH22" s="53"/>
      <c r="AI22" s="53"/>
      <c r="AJ22" s="53">
        <f t="shared" si="10"/>
        <v>0</v>
      </c>
      <c r="AK22" s="53"/>
      <c r="AL22" s="53"/>
      <c r="AM22" s="53">
        <f t="shared" si="11"/>
        <v>0</v>
      </c>
      <c r="AN22" s="53"/>
      <c r="AO22" s="53"/>
      <c r="AP22" s="53">
        <f t="shared" si="12"/>
        <v>0</v>
      </c>
      <c r="AQ22" s="53"/>
      <c r="AR22" s="53"/>
      <c r="AS22" s="53">
        <f t="shared" si="13"/>
        <v>0</v>
      </c>
      <c r="AT22" s="53"/>
      <c r="AU22" s="53"/>
      <c r="AV22" s="53">
        <f t="shared" si="14"/>
        <v>0</v>
      </c>
      <c r="AW22" s="53"/>
      <c r="AX22" s="53"/>
      <c r="AY22" s="53">
        <f t="shared" si="15"/>
        <v>0</v>
      </c>
      <c r="AZ22" s="53"/>
      <c r="BA22" s="53"/>
      <c r="BB22" s="53">
        <f t="shared" si="16"/>
        <v>0</v>
      </c>
      <c r="BC22" s="53"/>
      <c r="BD22" s="53"/>
      <c r="BE22" s="66">
        <f t="shared" si="17"/>
        <v>0</v>
      </c>
      <c r="BF22" s="66"/>
      <c r="BG22" s="66"/>
      <c r="BH22" s="67">
        <f t="shared" si="18"/>
        <v>0</v>
      </c>
      <c r="BI22" s="68">
        <f t="shared" si="19"/>
        <v>1</v>
      </c>
    </row>
    <row r="23" spans="2:61" x14ac:dyDescent="0.25">
      <c r="B23" s="63">
        <v>15</v>
      </c>
      <c r="C23" s="64" t="str">
        <f>NOMINATIF!C20</f>
        <v>Selvia Indah Fitriani</v>
      </c>
      <c r="D23" s="65">
        <f>NOMINATIF!D20</f>
        <v>4037</v>
      </c>
      <c r="E23" s="65" t="str">
        <f>NOMINATIF!E20</f>
        <v>0052393386</v>
      </c>
      <c r="F23" s="53">
        <f t="shared" si="0"/>
        <v>0</v>
      </c>
      <c r="G23" s="53"/>
      <c r="H23" s="53"/>
      <c r="I23" s="53">
        <f t="shared" si="1"/>
        <v>0</v>
      </c>
      <c r="J23" s="53"/>
      <c r="K23" s="53"/>
      <c r="L23" s="53">
        <f t="shared" si="2"/>
        <v>0</v>
      </c>
      <c r="M23" s="53"/>
      <c r="N23" s="53"/>
      <c r="O23" s="53">
        <f t="shared" si="3"/>
        <v>0</v>
      </c>
      <c r="P23" s="53"/>
      <c r="Q23" s="53"/>
      <c r="R23" s="53">
        <f t="shared" si="4"/>
        <v>0</v>
      </c>
      <c r="S23" s="53"/>
      <c r="T23" s="53"/>
      <c r="U23" s="53">
        <f t="shared" si="5"/>
        <v>0</v>
      </c>
      <c r="V23" s="53"/>
      <c r="W23" s="53"/>
      <c r="X23" s="53">
        <f t="shared" si="6"/>
        <v>0</v>
      </c>
      <c r="Y23" s="53"/>
      <c r="Z23" s="53"/>
      <c r="AA23" s="53">
        <f t="shared" si="7"/>
        <v>0</v>
      </c>
      <c r="AB23" s="53"/>
      <c r="AC23" s="53"/>
      <c r="AD23" s="53">
        <f t="shared" si="8"/>
        <v>0</v>
      </c>
      <c r="AE23" s="53"/>
      <c r="AF23" s="53"/>
      <c r="AG23" s="53">
        <f t="shared" si="9"/>
        <v>0</v>
      </c>
      <c r="AH23" s="53"/>
      <c r="AI23" s="53"/>
      <c r="AJ23" s="53">
        <f t="shared" si="10"/>
        <v>0</v>
      </c>
      <c r="AK23" s="53"/>
      <c r="AL23" s="53"/>
      <c r="AM23" s="53">
        <f t="shared" si="11"/>
        <v>0</v>
      </c>
      <c r="AN23" s="53"/>
      <c r="AO23" s="53"/>
      <c r="AP23" s="53">
        <f t="shared" si="12"/>
        <v>0</v>
      </c>
      <c r="AQ23" s="53"/>
      <c r="AR23" s="53"/>
      <c r="AS23" s="53">
        <f t="shared" si="13"/>
        <v>0</v>
      </c>
      <c r="AT23" s="53"/>
      <c r="AU23" s="53"/>
      <c r="AV23" s="53">
        <f t="shared" si="14"/>
        <v>0</v>
      </c>
      <c r="AW23" s="53"/>
      <c r="AX23" s="53"/>
      <c r="AY23" s="53">
        <f t="shared" si="15"/>
        <v>0</v>
      </c>
      <c r="AZ23" s="53"/>
      <c r="BA23" s="53"/>
      <c r="BB23" s="53">
        <f t="shared" si="16"/>
        <v>0</v>
      </c>
      <c r="BC23" s="53"/>
      <c r="BD23" s="53"/>
      <c r="BE23" s="66">
        <f t="shared" si="17"/>
        <v>0</v>
      </c>
      <c r="BF23" s="66"/>
      <c r="BG23" s="66"/>
      <c r="BH23" s="67">
        <f t="shared" si="18"/>
        <v>0</v>
      </c>
      <c r="BI23" s="68">
        <f t="shared" si="19"/>
        <v>1</v>
      </c>
    </row>
    <row r="24" spans="2:61" x14ac:dyDescent="0.25">
      <c r="B24" s="63">
        <v>16</v>
      </c>
      <c r="C24" s="64" t="str">
        <f>NOMINATIF!C21</f>
        <v>TIA APRILIA</v>
      </c>
      <c r="D24" s="65">
        <f>NOMINATIF!D21</f>
        <v>4038</v>
      </c>
      <c r="E24" s="65" t="str">
        <f>NOMINATIF!E21</f>
        <v>0066060316</v>
      </c>
      <c r="F24" s="53">
        <f t="shared" si="0"/>
        <v>0</v>
      </c>
      <c r="G24" s="53"/>
      <c r="H24" s="53"/>
      <c r="I24" s="53">
        <f t="shared" si="1"/>
        <v>0</v>
      </c>
      <c r="J24" s="53"/>
      <c r="K24" s="53"/>
      <c r="L24" s="53">
        <f t="shared" si="2"/>
        <v>0</v>
      </c>
      <c r="M24" s="53"/>
      <c r="N24" s="53"/>
      <c r="O24" s="53">
        <f t="shared" si="3"/>
        <v>0</v>
      </c>
      <c r="P24" s="53"/>
      <c r="Q24" s="53"/>
      <c r="R24" s="53">
        <f t="shared" si="4"/>
        <v>0</v>
      </c>
      <c r="S24" s="53"/>
      <c r="T24" s="53"/>
      <c r="U24" s="53">
        <f t="shared" si="5"/>
        <v>0</v>
      </c>
      <c r="V24" s="53"/>
      <c r="W24" s="53"/>
      <c r="X24" s="53">
        <f t="shared" si="6"/>
        <v>0</v>
      </c>
      <c r="Y24" s="53"/>
      <c r="Z24" s="53"/>
      <c r="AA24" s="53">
        <f t="shared" si="7"/>
        <v>0</v>
      </c>
      <c r="AB24" s="53"/>
      <c r="AC24" s="53"/>
      <c r="AD24" s="53">
        <f t="shared" si="8"/>
        <v>0</v>
      </c>
      <c r="AE24" s="53"/>
      <c r="AF24" s="53"/>
      <c r="AG24" s="53">
        <f t="shared" si="9"/>
        <v>0</v>
      </c>
      <c r="AH24" s="53"/>
      <c r="AI24" s="53"/>
      <c r="AJ24" s="53">
        <f t="shared" si="10"/>
        <v>0</v>
      </c>
      <c r="AK24" s="53"/>
      <c r="AL24" s="53"/>
      <c r="AM24" s="53">
        <f t="shared" si="11"/>
        <v>0</v>
      </c>
      <c r="AN24" s="53"/>
      <c r="AO24" s="53"/>
      <c r="AP24" s="53">
        <f t="shared" si="12"/>
        <v>0</v>
      </c>
      <c r="AQ24" s="53"/>
      <c r="AR24" s="53"/>
      <c r="AS24" s="53">
        <f t="shared" si="13"/>
        <v>0</v>
      </c>
      <c r="AT24" s="53"/>
      <c r="AU24" s="53"/>
      <c r="AV24" s="53">
        <f t="shared" si="14"/>
        <v>0</v>
      </c>
      <c r="AW24" s="53"/>
      <c r="AX24" s="53"/>
      <c r="AY24" s="53">
        <f t="shared" si="15"/>
        <v>0</v>
      </c>
      <c r="AZ24" s="53"/>
      <c r="BA24" s="53"/>
      <c r="BB24" s="53">
        <f t="shared" si="16"/>
        <v>0</v>
      </c>
      <c r="BC24" s="53"/>
      <c r="BD24" s="53"/>
      <c r="BE24" s="66">
        <f t="shared" si="17"/>
        <v>0</v>
      </c>
      <c r="BF24" s="66"/>
      <c r="BG24" s="66"/>
      <c r="BH24" s="67">
        <f t="shared" si="18"/>
        <v>0</v>
      </c>
      <c r="BI24" s="68">
        <f t="shared" si="19"/>
        <v>1</v>
      </c>
    </row>
    <row r="25" spans="2:61" x14ac:dyDescent="0.25">
      <c r="B25" s="63">
        <v>17</v>
      </c>
      <c r="C25" s="64" t="str">
        <f>NOMINATIF!C22</f>
        <v>Tri Yulianti</v>
      </c>
      <c r="D25" s="65">
        <f>NOMINATIF!D22</f>
        <v>4060</v>
      </c>
      <c r="E25" s="65" t="str">
        <f>NOMINATIF!E22</f>
        <v>0068674216</v>
      </c>
      <c r="F25" s="53">
        <f t="shared" si="0"/>
        <v>0</v>
      </c>
      <c r="G25" s="53"/>
      <c r="H25" s="53"/>
      <c r="I25" s="53">
        <f t="shared" si="1"/>
        <v>0</v>
      </c>
      <c r="J25" s="53"/>
      <c r="K25" s="53"/>
      <c r="L25" s="53">
        <f t="shared" si="2"/>
        <v>0</v>
      </c>
      <c r="M25" s="53"/>
      <c r="N25" s="53"/>
      <c r="O25" s="53">
        <f t="shared" si="3"/>
        <v>0</v>
      </c>
      <c r="P25" s="53"/>
      <c r="Q25" s="53"/>
      <c r="R25" s="53">
        <f t="shared" si="4"/>
        <v>0</v>
      </c>
      <c r="S25" s="53"/>
      <c r="T25" s="53"/>
      <c r="U25" s="53">
        <f t="shared" si="5"/>
        <v>0</v>
      </c>
      <c r="V25" s="53"/>
      <c r="W25" s="53"/>
      <c r="X25" s="53">
        <f t="shared" si="6"/>
        <v>0</v>
      </c>
      <c r="Y25" s="53"/>
      <c r="Z25" s="53"/>
      <c r="AA25" s="53">
        <f t="shared" si="7"/>
        <v>0</v>
      </c>
      <c r="AB25" s="53"/>
      <c r="AC25" s="53"/>
      <c r="AD25" s="53">
        <f t="shared" si="8"/>
        <v>0</v>
      </c>
      <c r="AE25" s="53"/>
      <c r="AF25" s="53"/>
      <c r="AG25" s="53">
        <f t="shared" si="9"/>
        <v>0</v>
      </c>
      <c r="AH25" s="53"/>
      <c r="AI25" s="53"/>
      <c r="AJ25" s="53">
        <f t="shared" si="10"/>
        <v>0</v>
      </c>
      <c r="AK25" s="53"/>
      <c r="AL25" s="53"/>
      <c r="AM25" s="53">
        <f t="shared" si="11"/>
        <v>0</v>
      </c>
      <c r="AN25" s="53"/>
      <c r="AO25" s="53"/>
      <c r="AP25" s="53">
        <f t="shared" si="12"/>
        <v>0</v>
      </c>
      <c r="AQ25" s="53"/>
      <c r="AR25" s="53"/>
      <c r="AS25" s="53">
        <f t="shared" si="13"/>
        <v>0</v>
      </c>
      <c r="AT25" s="53"/>
      <c r="AU25" s="53"/>
      <c r="AV25" s="53">
        <f t="shared" si="14"/>
        <v>0</v>
      </c>
      <c r="AW25" s="53"/>
      <c r="AX25" s="53"/>
      <c r="AY25" s="53">
        <f t="shared" si="15"/>
        <v>0</v>
      </c>
      <c r="AZ25" s="53"/>
      <c r="BA25" s="53"/>
      <c r="BB25" s="53">
        <f t="shared" si="16"/>
        <v>0</v>
      </c>
      <c r="BC25" s="53"/>
      <c r="BD25" s="53"/>
      <c r="BE25" s="66">
        <f t="shared" si="17"/>
        <v>0</v>
      </c>
      <c r="BF25" s="66"/>
      <c r="BG25" s="66"/>
      <c r="BH25" s="67">
        <f t="shared" si="18"/>
        <v>0</v>
      </c>
      <c r="BI25" s="68">
        <f t="shared" si="19"/>
        <v>1</v>
      </c>
    </row>
    <row r="26" spans="2:61" x14ac:dyDescent="0.25">
      <c r="B26" s="63">
        <v>18</v>
      </c>
      <c r="C26" s="64" t="str">
        <f>NOMINATIF!C23</f>
        <v>Triya Wulandari</v>
      </c>
      <c r="D26" s="65">
        <f>NOMINATIF!D23</f>
        <v>4039</v>
      </c>
      <c r="E26" s="65" t="str">
        <f>NOMINATIF!E23</f>
        <v>0051300903</v>
      </c>
      <c r="F26" s="53">
        <f t="shared" si="0"/>
        <v>0</v>
      </c>
      <c r="G26" s="53"/>
      <c r="H26" s="53"/>
      <c r="I26" s="53">
        <f t="shared" si="1"/>
        <v>0</v>
      </c>
      <c r="J26" s="53"/>
      <c r="K26" s="53"/>
      <c r="L26" s="53">
        <f t="shared" si="2"/>
        <v>0</v>
      </c>
      <c r="M26" s="53"/>
      <c r="N26" s="53"/>
      <c r="O26" s="53">
        <f t="shared" si="3"/>
        <v>0</v>
      </c>
      <c r="P26" s="53"/>
      <c r="Q26" s="53"/>
      <c r="R26" s="53">
        <f t="shared" si="4"/>
        <v>0</v>
      </c>
      <c r="S26" s="53"/>
      <c r="T26" s="53"/>
      <c r="U26" s="53">
        <f t="shared" si="5"/>
        <v>0</v>
      </c>
      <c r="V26" s="53"/>
      <c r="W26" s="53"/>
      <c r="X26" s="53">
        <f t="shared" si="6"/>
        <v>0</v>
      </c>
      <c r="Y26" s="53"/>
      <c r="Z26" s="53"/>
      <c r="AA26" s="53">
        <f t="shared" si="7"/>
        <v>0</v>
      </c>
      <c r="AB26" s="53"/>
      <c r="AC26" s="53"/>
      <c r="AD26" s="53">
        <f t="shared" si="8"/>
        <v>0</v>
      </c>
      <c r="AE26" s="53"/>
      <c r="AF26" s="53"/>
      <c r="AG26" s="53">
        <f t="shared" si="9"/>
        <v>0</v>
      </c>
      <c r="AH26" s="53"/>
      <c r="AI26" s="53"/>
      <c r="AJ26" s="53">
        <f t="shared" si="10"/>
        <v>0</v>
      </c>
      <c r="AK26" s="53"/>
      <c r="AL26" s="53"/>
      <c r="AM26" s="53">
        <f t="shared" si="11"/>
        <v>0</v>
      </c>
      <c r="AN26" s="53"/>
      <c r="AO26" s="53"/>
      <c r="AP26" s="53">
        <f t="shared" si="12"/>
        <v>0</v>
      </c>
      <c r="AQ26" s="53"/>
      <c r="AR26" s="53"/>
      <c r="AS26" s="53">
        <f t="shared" si="13"/>
        <v>0</v>
      </c>
      <c r="AT26" s="53"/>
      <c r="AU26" s="53"/>
      <c r="AV26" s="53">
        <f t="shared" si="14"/>
        <v>0</v>
      </c>
      <c r="AW26" s="53"/>
      <c r="AX26" s="53"/>
      <c r="AY26" s="53">
        <f t="shared" si="15"/>
        <v>0</v>
      </c>
      <c r="AZ26" s="53"/>
      <c r="BA26" s="53"/>
      <c r="BB26" s="53">
        <f t="shared" si="16"/>
        <v>0</v>
      </c>
      <c r="BC26" s="53"/>
      <c r="BD26" s="53"/>
      <c r="BE26" s="66">
        <f t="shared" si="17"/>
        <v>0</v>
      </c>
      <c r="BF26" s="66"/>
      <c r="BG26" s="66"/>
      <c r="BH26" s="67">
        <f t="shared" si="18"/>
        <v>0</v>
      </c>
      <c r="BI26" s="68">
        <f t="shared" si="19"/>
        <v>1</v>
      </c>
    </row>
    <row r="27" spans="2:61" x14ac:dyDescent="0.25">
      <c r="B27" s="63">
        <v>19</v>
      </c>
      <c r="C27" s="64" t="str">
        <f>NOMINATIF!C24</f>
        <v>VANESZA PUTRI PATRECIA</v>
      </c>
      <c r="D27" s="65">
        <f>NOMINATIF!D24</f>
        <v>4040</v>
      </c>
      <c r="E27" s="65" t="str">
        <f>NOMINATIF!E24</f>
        <v>0064416027</v>
      </c>
      <c r="F27" s="53">
        <f t="shared" si="0"/>
        <v>0</v>
      </c>
      <c r="G27" s="53"/>
      <c r="H27" s="53"/>
      <c r="I27" s="53">
        <f t="shared" si="1"/>
        <v>0</v>
      </c>
      <c r="J27" s="53"/>
      <c r="K27" s="53"/>
      <c r="L27" s="53">
        <f t="shared" si="2"/>
        <v>0</v>
      </c>
      <c r="M27" s="53"/>
      <c r="N27" s="53"/>
      <c r="O27" s="53">
        <f t="shared" si="3"/>
        <v>0</v>
      </c>
      <c r="P27" s="53"/>
      <c r="Q27" s="53"/>
      <c r="R27" s="53">
        <f t="shared" si="4"/>
        <v>0</v>
      </c>
      <c r="S27" s="53"/>
      <c r="T27" s="53"/>
      <c r="U27" s="53">
        <f t="shared" si="5"/>
        <v>0</v>
      </c>
      <c r="V27" s="53"/>
      <c r="W27" s="53"/>
      <c r="X27" s="53">
        <f t="shared" si="6"/>
        <v>0</v>
      </c>
      <c r="Y27" s="53"/>
      <c r="Z27" s="53"/>
      <c r="AA27" s="53">
        <f t="shared" si="7"/>
        <v>0</v>
      </c>
      <c r="AB27" s="53"/>
      <c r="AC27" s="53"/>
      <c r="AD27" s="53">
        <f t="shared" si="8"/>
        <v>0</v>
      </c>
      <c r="AE27" s="53"/>
      <c r="AF27" s="53"/>
      <c r="AG27" s="53">
        <f t="shared" si="9"/>
        <v>0</v>
      </c>
      <c r="AH27" s="53"/>
      <c r="AI27" s="53"/>
      <c r="AJ27" s="53">
        <f t="shared" si="10"/>
        <v>0</v>
      </c>
      <c r="AK27" s="53"/>
      <c r="AL27" s="53"/>
      <c r="AM27" s="53">
        <f t="shared" si="11"/>
        <v>0</v>
      </c>
      <c r="AN27" s="53"/>
      <c r="AO27" s="53"/>
      <c r="AP27" s="53">
        <f t="shared" si="12"/>
        <v>0</v>
      </c>
      <c r="AQ27" s="53"/>
      <c r="AR27" s="53"/>
      <c r="AS27" s="53">
        <f t="shared" si="13"/>
        <v>0</v>
      </c>
      <c r="AT27" s="53"/>
      <c r="AU27" s="53"/>
      <c r="AV27" s="53">
        <f t="shared" si="14"/>
        <v>0</v>
      </c>
      <c r="AW27" s="53"/>
      <c r="AX27" s="53"/>
      <c r="AY27" s="53">
        <f t="shared" si="15"/>
        <v>0</v>
      </c>
      <c r="AZ27" s="53"/>
      <c r="BA27" s="53"/>
      <c r="BB27" s="53">
        <f t="shared" si="16"/>
        <v>0</v>
      </c>
      <c r="BC27" s="53"/>
      <c r="BD27" s="53"/>
      <c r="BE27" s="66">
        <f t="shared" si="17"/>
        <v>0</v>
      </c>
      <c r="BF27" s="66"/>
      <c r="BG27" s="66"/>
      <c r="BH27" s="67">
        <f t="shared" si="18"/>
        <v>0</v>
      </c>
      <c r="BI27" s="68">
        <f t="shared" si="19"/>
        <v>1</v>
      </c>
    </row>
    <row r="28" spans="2:61" x14ac:dyDescent="0.25">
      <c r="B28" s="63">
        <v>20</v>
      </c>
      <c r="C28" s="64" t="str">
        <f>NOMINATIF!C25</f>
        <v>Yanuar Diah Lestari</v>
      </c>
      <c r="D28" s="65">
        <f>NOMINATIF!D25</f>
        <v>4061</v>
      </c>
      <c r="E28" s="65" t="str">
        <f>NOMINATIF!E25</f>
        <v>0052554227</v>
      </c>
      <c r="F28" s="53">
        <f t="shared" si="0"/>
        <v>0</v>
      </c>
      <c r="G28" s="53"/>
      <c r="H28" s="53"/>
      <c r="I28" s="53">
        <f t="shared" si="1"/>
        <v>0</v>
      </c>
      <c r="J28" s="53"/>
      <c r="K28" s="53"/>
      <c r="L28" s="53">
        <f t="shared" si="2"/>
        <v>0</v>
      </c>
      <c r="M28" s="53"/>
      <c r="N28" s="53"/>
      <c r="O28" s="53">
        <f t="shared" si="3"/>
        <v>0</v>
      </c>
      <c r="P28" s="53"/>
      <c r="Q28" s="53"/>
      <c r="R28" s="53">
        <f t="shared" si="4"/>
        <v>0</v>
      </c>
      <c r="S28" s="53"/>
      <c r="T28" s="53"/>
      <c r="U28" s="53">
        <f t="shared" si="5"/>
        <v>0</v>
      </c>
      <c r="V28" s="53"/>
      <c r="W28" s="53"/>
      <c r="X28" s="53">
        <f t="shared" si="6"/>
        <v>0</v>
      </c>
      <c r="Y28" s="53"/>
      <c r="Z28" s="53"/>
      <c r="AA28" s="53">
        <f t="shared" si="7"/>
        <v>0</v>
      </c>
      <c r="AB28" s="53"/>
      <c r="AC28" s="53"/>
      <c r="AD28" s="53">
        <f t="shared" si="8"/>
        <v>0</v>
      </c>
      <c r="AE28" s="53"/>
      <c r="AF28" s="53"/>
      <c r="AG28" s="53">
        <f t="shared" si="9"/>
        <v>0</v>
      </c>
      <c r="AH28" s="53"/>
      <c r="AI28" s="53"/>
      <c r="AJ28" s="53">
        <f t="shared" si="10"/>
        <v>0</v>
      </c>
      <c r="AK28" s="53"/>
      <c r="AL28" s="53"/>
      <c r="AM28" s="53">
        <f t="shared" si="11"/>
        <v>0</v>
      </c>
      <c r="AN28" s="53"/>
      <c r="AO28" s="53"/>
      <c r="AP28" s="53">
        <f t="shared" si="12"/>
        <v>0</v>
      </c>
      <c r="AQ28" s="53"/>
      <c r="AR28" s="53"/>
      <c r="AS28" s="53">
        <f t="shared" si="13"/>
        <v>0</v>
      </c>
      <c r="AT28" s="53"/>
      <c r="AU28" s="53"/>
      <c r="AV28" s="53">
        <f t="shared" si="14"/>
        <v>0</v>
      </c>
      <c r="AW28" s="53"/>
      <c r="AX28" s="53"/>
      <c r="AY28" s="53">
        <f t="shared" si="15"/>
        <v>0</v>
      </c>
      <c r="AZ28" s="53"/>
      <c r="BA28" s="53"/>
      <c r="BB28" s="53">
        <f t="shared" si="16"/>
        <v>0</v>
      </c>
      <c r="BC28" s="53"/>
      <c r="BD28" s="53"/>
      <c r="BE28" s="66">
        <f t="shared" si="17"/>
        <v>0</v>
      </c>
      <c r="BF28" s="66"/>
      <c r="BG28" s="66"/>
      <c r="BH28" s="67">
        <f t="shared" si="18"/>
        <v>0</v>
      </c>
      <c r="BI28" s="68">
        <f t="shared" si="19"/>
        <v>1</v>
      </c>
    </row>
    <row r="29" spans="2:61" x14ac:dyDescent="0.25">
      <c r="B29" s="63">
        <v>21</v>
      </c>
      <c r="C29" s="64">
        <f>NOMINATIF!C26</f>
        <v>0</v>
      </c>
      <c r="D29" s="65">
        <f>NOMINATIF!D26</f>
        <v>0</v>
      </c>
      <c r="E29" s="65">
        <f>NOMINATIF!E26</f>
        <v>0</v>
      </c>
      <c r="F29" s="53">
        <f t="shared" si="0"/>
        <v>0</v>
      </c>
      <c r="G29" s="53"/>
      <c r="H29" s="53"/>
      <c r="I29" s="53">
        <f t="shared" si="1"/>
        <v>0</v>
      </c>
      <c r="J29" s="53"/>
      <c r="K29" s="53"/>
      <c r="L29" s="53">
        <f t="shared" si="2"/>
        <v>0</v>
      </c>
      <c r="M29" s="53"/>
      <c r="N29" s="53"/>
      <c r="O29" s="53">
        <f t="shared" si="3"/>
        <v>0</v>
      </c>
      <c r="P29" s="53"/>
      <c r="Q29" s="53"/>
      <c r="R29" s="53">
        <f t="shared" si="4"/>
        <v>0</v>
      </c>
      <c r="S29" s="53"/>
      <c r="T29" s="53"/>
      <c r="U29" s="53">
        <f t="shared" si="5"/>
        <v>0</v>
      </c>
      <c r="V29" s="53"/>
      <c r="W29" s="53"/>
      <c r="X29" s="53">
        <f t="shared" si="6"/>
        <v>0</v>
      </c>
      <c r="Y29" s="53"/>
      <c r="Z29" s="53"/>
      <c r="AA29" s="53">
        <f t="shared" si="7"/>
        <v>0</v>
      </c>
      <c r="AB29" s="53"/>
      <c r="AC29" s="53"/>
      <c r="AD29" s="53">
        <f t="shared" si="8"/>
        <v>0</v>
      </c>
      <c r="AE29" s="53"/>
      <c r="AF29" s="53"/>
      <c r="AG29" s="53">
        <f t="shared" si="9"/>
        <v>0</v>
      </c>
      <c r="AH29" s="53"/>
      <c r="AI29" s="53"/>
      <c r="AJ29" s="53">
        <f t="shared" si="10"/>
        <v>0</v>
      </c>
      <c r="AK29" s="53"/>
      <c r="AL29" s="53"/>
      <c r="AM29" s="53">
        <f t="shared" si="11"/>
        <v>0</v>
      </c>
      <c r="AN29" s="53"/>
      <c r="AO29" s="53"/>
      <c r="AP29" s="53">
        <f t="shared" si="12"/>
        <v>0</v>
      </c>
      <c r="AQ29" s="53"/>
      <c r="AR29" s="53"/>
      <c r="AS29" s="53">
        <f t="shared" si="13"/>
        <v>0</v>
      </c>
      <c r="AT29" s="53"/>
      <c r="AU29" s="53"/>
      <c r="AV29" s="53">
        <f t="shared" si="14"/>
        <v>0</v>
      </c>
      <c r="AW29" s="53"/>
      <c r="AX29" s="53"/>
      <c r="AY29" s="53">
        <f t="shared" si="15"/>
        <v>0</v>
      </c>
      <c r="AZ29" s="53"/>
      <c r="BA29" s="53"/>
      <c r="BB29" s="53">
        <f t="shared" si="16"/>
        <v>0</v>
      </c>
      <c r="BC29" s="53"/>
      <c r="BD29" s="53"/>
      <c r="BE29" s="66">
        <f t="shared" si="17"/>
        <v>0</v>
      </c>
      <c r="BF29" s="66"/>
      <c r="BG29" s="66"/>
      <c r="BH29" s="67">
        <f t="shared" si="18"/>
        <v>0</v>
      </c>
      <c r="BI29" s="68">
        <f t="shared" si="19"/>
        <v>1</v>
      </c>
    </row>
    <row r="30" spans="2:61" x14ac:dyDescent="0.25">
      <c r="B30" s="63">
        <v>22</v>
      </c>
      <c r="C30" s="64">
        <f>NOMINATIF!C27</f>
        <v>0</v>
      </c>
      <c r="D30" s="65">
        <f>NOMINATIF!D27</f>
        <v>0</v>
      </c>
      <c r="E30" s="65">
        <f>NOMINATIF!E27</f>
        <v>0</v>
      </c>
      <c r="F30" s="53">
        <f t="shared" si="0"/>
        <v>0</v>
      </c>
      <c r="G30" s="53"/>
      <c r="H30" s="53"/>
      <c r="I30" s="53">
        <f t="shared" si="1"/>
        <v>0</v>
      </c>
      <c r="J30" s="53"/>
      <c r="K30" s="53"/>
      <c r="L30" s="53">
        <f t="shared" si="2"/>
        <v>0</v>
      </c>
      <c r="M30" s="53"/>
      <c r="N30" s="53"/>
      <c r="O30" s="53">
        <f t="shared" si="3"/>
        <v>0</v>
      </c>
      <c r="P30" s="53"/>
      <c r="Q30" s="53"/>
      <c r="R30" s="53">
        <f t="shared" si="4"/>
        <v>0</v>
      </c>
      <c r="S30" s="53"/>
      <c r="T30" s="53"/>
      <c r="U30" s="53">
        <f t="shared" si="5"/>
        <v>0</v>
      </c>
      <c r="V30" s="53"/>
      <c r="W30" s="53"/>
      <c r="X30" s="53">
        <f t="shared" si="6"/>
        <v>0</v>
      </c>
      <c r="Y30" s="53"/>
      <c r="Z30" s="53"/>
      <c r="AA30" s="53">
        <f t="shared" si="7"/>
        <v>0</v>
      </c>
      <c r="AB30" s="53"/>
      <c r="AC30" s="53"/>
      <c r="AD30" s="53">
        <f t="shared" si="8"/>
        <v>0</v>
      </c>
      <c r="AE30" s="53"/>
      <c r="AF30" s="53"/>
      <c r="AG30" s="53">
        <f t="shared" si="9"/>
        <v>0</v>
      </c>
      <c r="AH30" s="53"/>
      <c r="AI30" s="53"/>
      <c r="AJ30" s="53">
        <f t="shared" si="10"/>
        <v>0</v>
      </c>
      <c r="AK30" s="53"/>
      <c r="AL30" s="53"/>
      <c r="AM30" s="53">
        <f t="shared" si="11"/>
        <v>0</v>
      </c>
      <c r="AN30" s="53"/>
      <c r="AO30" s="53"/>
      <c r="AP30" s="53">
        <f t="shared" si="12"/>
        <v>0</v>
      </c>
      <c r="AQ30" s="53"/>
      <c r="AR30" s="53"/>
      <c r="AS30" s="53">
        <f t="shared" si="13"/>
        <v>0</v>
      </c>
      <c r="AT30" s="53"/>
      <c r="AU30" s="53"/>
      <c r="AV30" s="53">
        <f t="shared" si="14"/>
        <v>0</v>
      </c>
      <c r="AW30" s="53"/>
      <c r="AX30" s="53"/>
      <c r="AY30" s="53">
        <f t="shared" si="15"/>
        <v>0</v>
      </c>
      <c r="AZ30" s="53"/>
      <c r="BA30" s="53"/>
      <c r="BB30" s="53">
        <f t="shared" si="16"/>
        <v>0</v>
      </c>
      <c r="BC30" s="53"/>
      <c r="BD30" s="53"/>
      <c r="BE30" s="66">
        <f t="shared" si="17"/>
        <v>0</v>
      </c>
      <c r="BF30" s="66"/>
      <c r="BG30" s="66"/>
      <c r="BH30" s="67">
        <f t="shared" si="18"/>
        <v>0</v>
      </c>
      <c r="BI30" s="68">
        <f t="shared" si="19"/>
        <v>1</v>
      </c>
    </row>
    <row r="31" spans="2:61" x14ac:dyDescent="0.25">
      <c r="B31" s="63">
        <v>23</v>
      </c>
      <c r="C31" s="64">
        <f>NOMINATIF!C28</f>
        <v>0</v>
      </c>
      <c r="D31" s="65">
        <f>NOMINATIF!D28</f>
        <v>0</v>
      </c>
      <c r="E31" s="65">
        <f>NOMINATIF!E28</f>
        <v>0</v>
      </c>
      <c r="F31" s="53">
        <f t="shared" si="0"/>
        <v>0</v>
      </c>
      <c r="G31" s="53"/>
      <c r="H31" s="53"/>
      <c r="I31" s="53">
        <f t="shared" si="1"/>
        <v>0</v>
      </c>
      <c r="J31" s="53"/>
      <c r="K31" s="53"/>
      <c r="L31" s="53">
        <f t="shared" si="2"/>
        <v>0</v>
      </c>
      <c r="M31" s="53"/>
      <c r="N31" s="53"/>
      <c r="O31" s="53">
        <f t="shared" si="3"/>
        <v>0</v>
      </c>
      <c r="P31" s="53"/>
      <c r="Q31" s="53"/>
      <c r="R31" s="53">
        <f t="shared" si="4"/>
        <v>0</v>
      </c>
      <c r="S31" s="53"/>
      <c r="T31" s="53"/>
      <c r="U31" s="53">
        <f t="shared" si="5"/>
        <v>0</v>
      </c>
      <c r="V31" s="53"/>
      <c r="W31" s="53"/>
      <c r="X31" s="53">
        <f t="shared" si="6"/>
        <v>0</v>
      </c>
      <c r="Y31" s="53"/>
      <c r="Z31" s="53"/>
      <c r="AA31" s="53">
        <f t="shared" si="7"/>
        <v>0</v>
      </c>
      <c r="AB31" s="53"/>
      <c r="AC31" s="53"/>
      <c r="AD31" s="53">
        <f t="shared" si="8"/>
        <v>0</v>
      </c>
      <c r="AE31" s="53"/>
      <c r="AF31" s="53"/>
      <c r="AG31" s="53">
        <f t="shared" si="9"/>
        <v>0</v>
      </c>
      <c r="AH31" s="53"/>
      <c r="AI31" s="53"/>
      <c r="AJ31" s="53">
        <f t="shared" si="10"/>
        <v>0</v>
      </c>
      <c r="AK31" s="53"/>
      <c r="AL31" s="53"/>
      <c r="AM31" s="53">
        <f t="shared" si="11"/>
        <v>0</v>
      </c>
      <c r="AN31" s="53"/>
      <c r="AO31" s="53"/>
      <c r="AP31" s="53">
        <f t="shared" si="12"/>
        <v>0</v>
      </c>
      <c r="AQ31" s="53"/>
      <c r="AR31" s="53"/>
      <c r="AS31" s="53">
        <f t="shared" si="13"/>
        <v>0</v>
      </c>
      <c r="AT31" s="53"/>
      <c r="AU31" s="53"/>
      <c r="AV31" s="53">
        <f t="shared" si="14"/>
        <v>0</v>
      </c>
      <c r="AW31" s="53"/>
      <c r="AX31" s="53"/>
      <c r="AY31" s="53">
        <f t="shared" si="15"/>
        <v>0</v>
      </c>
      <c r="AZ31" s="53"/>
      <c r="BA31" s="53"/>
      <c r="BB31" s="53">
        <f t="shared" si="16"/>
        <v>0</v>
      </c>
      <c r="BC31" s="53"/>
      <c r="BD31" s="53"/>
      <c r="BE31" s="66">
        <f t="shared" si="17"/>
        <v>0</v>
      </c>
      <c r="BF31" s="66"/>
      <c r="BG31" s="66"/>
      <c r="BH31" s="67">
        <f t="shared" si="18"/>
        <v>0</v>
      </c>
      <c r="BI31" s="68">
        <f t="shared" si="19"/>
        <v>1</v>
      </c>
    </row>
    <row r="32" spans="2:61" x14ac:dyDescent="0.25">
      <c r="B32" s="63">
        <v>24</v>
      </c>
      <c r="C32" s="64">
        <f>NOMINATIF!C29</f>
        <v>0</v>
      </c>
      <c r="D32" s="65">
        <f>NOMINATIF!D29</f>
        <v>0</v>
      </c>
      <c r="E32" s="65">
        <f>NOMINATIF!E29</f>
        <v>0</v>
      </c>
      <c r="F32" s="53">
        <f t="shared" si="0"/>
        <v>0</v>
      </c>
      <c r="G32" s="53"/>
      <c r="H32" s="53"/>
      <c r="I32" s="53">
        <f t="shared" si="1"/>
        <v>0</v>
      </c>
      <c r="J32" s="53"/>
      <c r="K32" s="53"/>
      <c r="L32" s="53">
        <f t="shared" si="2"/>
        <v>0</v>
      </c>
      <c r="M32" s="53"/>
      <c r="N32" s="53"/>
      <c r="O32" s="53">
        <f t="shared" si="3"/>
        <v>0</v>
      </c>
      <c r="P32" s="53"/>
      <c r="Q32" s="53"/>
      <c r="R32" s="53">
        <f t="shared" si="4"/>
        <v>0</v>
      </c>
      <c r="S32" s="53"/>
      <c r="T32" s="53"/>
      <c r="U32" s="53">
        <f t="shared" si="5"/>
        <v>0</v>
      </c>
      <c r="V32" s="53"/>
      <c r="W32" s="53"/>
      <c r="X32" s="53">
        <f t="shared" si="6"/>
        <v>0</v>
      </c>
      <c r="Y32" s="53"/>
      <c r="Z32" s="53"/>
      <c r="AA32" s="53">
        <f t="shared" si="7"/>
        <v>0</v>
      </c>
      <c r="AB32" s="53"/>
      <c r="AC32" s="53"/>
      <c r="AD32" s="53">
        <f t="shared" si="8"/>
        <v>0</v>
      </c>
      <c r="AE32" s="53"/>
      <c r="AF32" s="53"/>
      <c r="AG32" s="53">
        <f t="shared" si="9"/>
        <v>0</v>
      </c>
      <c r="AH32" s="53"/>
      <c r="AI32" s="53"/>
      <c r="AJ32" s="53">
        <f t="shared" si="10"/>
        <v>0</v>
      </c>
      <c r="AK32" s="53"/>
      <c r="AL32" s="53"/>
      <c r="AM32" s="53">
        <f t="shared" si="11"/>
        <v>0</v>
      </c>
      <c r="AN32" s="53"/>
      <c r="AO32" s="53"/>
      <c r="AP32" s="53">
        <f t="shared" si="12"/>
        <v>0</v>
      </c>
      <c r="AQ32" s="53"/>
      <c r="AR32" s="53"/>
      <c r="AS32" s="53">
        <f t="shared" si="13"/>
        <v>0</v>
      </c>
      <c r="AT32" s="53"/>
      <c r="AU32" s="53"/>
      <c r="AV32" s="53">
        <f t="shared" si="14"/>
        <v>0</v>
      </c>
      <c r="AW32" s="53"/>
      <c r="AX32" s="53"/>
      <c r="AY32" s="53">
        <f t="shared" si="15"/>
        <v>0</v>
      </c>
      <c r="AZ32" s="53"/>
      <c r="BA32" s="53"/>
      <c r="BB32" s="53">
        <f t="shared" si="16"/>
        <v>0</v>
      </c>
      <c r="BC32" s="53"/>
      <c r="BD32" s="53"/>
      <c r="BE32" s="66">
        <f t="shared" si="17"/>
        <v>0</v>
      </c>
      <c r="BF32" s="66"/>
      <c r="BG32" s="66"/>
      <c r="BH32" s="67">
        <f t="shared" si="18"/>
        <v>0</v>
      </c>
      <c r="BI32" s="68">
        <f t="shared" si="19"/>
        <v>1</v>
      </c>
    </row>
    <row r="33" spans="2:61" x14ac:dyDescent="0.25">
      <c r="B33" s="63">
        <v>25</v>
      </c>
      <c r="C33" s="64">
        <f>NOMINATIF!C30</f>
        <v>0</v>
      </c>
      <c r="D33" s="65">
        <f>NOMINATIF!D30</f>
        <v>0</v>
      </c>
      <c r="E33" s="65">
        <f>NOMINATIF!E30</f>
        <v>0</v>
      </c>
      <c r="F33" s="53">
        <f t="shared" si="0"/>
        <v>0</v>
      </c>
      <c r="G33" s="53"/>
      <c r="H33" s="53"/>
      <c r="I33" s="53">
        <f t="shared" si="1"/>
        <v>0</v>
      </c>
      <c r="J33" s="53"/>
      <c r="K33" s="53"/>
      <c r="L33" s="53">
        <f t="shared" si="2"/>
        <v>0</v>
      </c>
      <c r="M33" s="53"/>
      <c r="N33" s="53"/>
      <c r="O33" s="53">
        <f t="shared" si="3"/>
        <v>0</v>
      </c>
      <c r="P33" s="53"/>
      <c r="Q33" s="53"/>
      <c r="R33" s="53">
        <f t="shared" si="4"/>
        <v>0</v>
      </c>
      <c r="S33" s="53"/>
      <c r="T33" s="53"/>
      <c r="U33" s="53">
        <f t="shared" si="5"/>
        <v>0</v>
      </c>
      <c r="V33" s="53"/>
      <c r="W33" s="53"/>
      <c r="X33" s="53">
        <f t="shared" si="6"/>
        <v>0</v>
      </c>
      <c r="Y33" s="53"/>
      <c r="Z33" s="53"/>
      <c r="AA33" s="53">
        <f t="shared" si="7"/>
        <v>0</v>
      </c>
      <c r="AB33" s="53"/>
      <c r="AC33" s="53"/>
      <c r="AD33" s="53">
        <f t="shared" si="8"/>
        <v>0</v>
      </c>
      <c r="AE33" s="53"/>
      <c r="AF33" s="53"/>
      <c r="AG33" s="53">
        <f t="shared" si="9"/>
        <v>0</v>
      </c>
      <c r="AH33" s="53"/>
      <c r="AI33" s="53"/>
      <c r="AJ33" s="53">
        <f t="shared" si="10"/>
        <v>0</v>
      </c>
      <c r="AK33" s="53"/>
      <c r="AL33" s="53"/>
      <c r="AM33" s="53">
        <f t="shared" si="11"/>
        <v>0</v>
      </c>
      <c r="AN33" s="53"/>
      <c r="AO33" s="53"/>
      <c r="AP33" s="53">
        <f t="shared" si="12"/>
        <v>0</v>
      </c>
      <c r="AQ33" s="53"/>
      <c r="AR33" s="53"/>
      <c r="AS33" s="53">
        <f t="shared" si="13"/>
        <v>0</v>
      </c>
      <c r="AT33" s="53"/>
      <c r="AU33" s="53"/>
      <c r="AV33" s="53">
        <f t="shared" si="14"/>
        <v>0</v>
      </c>
      <c r="AW33" s="53"/>
      <c r="AX33" s="53"/>
      <c r="AY33" s="53">
        <f t="shared" si="15"/>
        <v>0</v>
      </c>
      <c r="AZ33" s="53"/>
      <c r="BA33" s="53"/>
      <c r="BB33" s="53">
        <f t="shared" si="16"/>
        <v>0</v>
      </c>
      <c r="BC33" s="53"/>
      <c r="BD33" s="53"/>
      <c r="BE33" s="66">
        <f t="shared" si="17"/>
        <v>0</v>
      </c>
      <c r="BF33" s="66"/>
      <c r="BG33" s="66"/>
      <c r="BH33" s="67">
        <f t="shared" si="18"/>
        <v>0</v>
      </c>
      <c r="BI33" s="68">
        <f t="shared" si="19"/>
        <v>1</v>
      </c>
    </row>
    <row r="34" spans="2:61" x14ac:dyDescent="0.25">
      <c r="B34" s="63">
        <v>26</v>
      </c>
      <c r="C34" s="64">
        <f>NOMINATIF!C31</f>
        <v>0</v>
      </c>
      <c r="D34" s="65">
        <f>NOMINATIF!D31</f>
        <v>0</v>
      </c>
      <c r="E34" s="65">
        <f>NOMINATIF!E31</f>
        <v>0</v>
      </c>
      <c r="F34" s="53">
        <f t="shared" si="0"/>
        <v>0</v>
      </c>
      <c r="G34" s="53"/>
      <c r="H34" s="53"/>
      <c r="I34" s="53">
        <f t="shared" si="1"/>
        <v>0</v>
      </c>
      <c r="J34" s="53"/>
      <c r="K34" s="53"/>
      <c r="L34" s="53">
        <f t="shared" si="2"/>
        <v>0</v>
      </c>
      <c r="M34" s="53"/>
      <c r="N34" s="53"/>
      <c r="O34" s="53">
        <f t="shared" si="3"/>
        <v>0</v>
      </c>
      <c r="P34" s="53"/>
      <c r="Q34" s="53"/>
      <c r="R34" s="53">
        <f t="shared" si="4"/>
        <v>0</v>
      </c>
      <c r="S34" s="53"/>
      <c r="T34" s="53"/>
      <c r="U34" s="53">
        <f t="shared" si="5"/>
        <v>0</v>
      </c>
      <c r="V34" s="53"/>
      <c r="W34" s="53"/>
      <c r="X34" s="53">
        <f t="shared" si="6"/>
        <v>0</v>
      </c>
      <c r="Y34" s="53"/>
      <c r="Z34" s="53"/>
      <c r="AA34" s="53">
        <f t="shared" si="7"/>
        <v>0</v>
      </c>
      <c r="AB34" s="53"/>
      <c r="AC34" s="53"/>
      <c r="AD34" s="53">
        <f t="shared" si="8"/>
        <v>0</v>
      </c>
      <c r="AE34" s="53"/>
      <c r="AF34" s="53"/>
      <c r="AG34" s="53">
        <f t="shared" si="9"/>
        <v>0</v>
      </c>
      <c r="AH34" s="53"/>
      <c r="AI34" s="53"/>
      <c r="AJ34" s="53">
        <f t="shared" si="10"/>
        <v>0</v>
      </c>
      <c r="AK34" s="53"/>
      <c r="AL34" s="53"/>
      <c r="AM34" s="53">
        <f t="shared" si="11"/>
        <v>0</v>
      </c>
      <c r="AN34" s="53"/>
      <c r="AO34" s="53"/>
      <c r="AP34" s="53">
        <f t="shared" si="12"/>
        <v>0</v>
      </c>
      <c r="AQ34" s="53"/>
      <c r="AR34" s="53"/>
      <c r="AS34" s="53">
        <f t="shared" si="13"/>
        <v>0</v>
      </c>
      <c r="AT34" s="53"/>
      <c r="AU34" s="53"/>
      <c r="AV34" s="53">
        <f t="shared" si="14"/>
        <v>0</v>
      </c>
      <c r="AW34" s="53"/>
      <c r="AX34" s="53"/>
      <c r="AY34" s="53">
        <f t="shared" si="15"/>
        <v>0</v>
      </c>
      <c r="AZ34" s="53"/>
      <c r="BA34" s="53"/>
      <c r="BB34" s="53">
        <f t="shared" si="16"/>
        <v>0</v>
      </c>
      <c r="BC34" s="53"/>
      <c r="BD34" s="53"/>
      <c r="BE34" s="66">
        <f t="shared" si="17"/>
        <v>0</v>
      </c>
      <c r="BF34" s="66"/>
      <c r="BG34" s="66"/>
      <c r="BH34" s="67">
        <f t="shared" si="18"/>
        <v>0</v>
      </c>
      <c r="BI34" s="68">
        <f t="shared" si="19"/>
        <v>1</v>
      </c>
    </row>
    <row r="35" spans="2:61" x14ac:dyDescent="0.25">
      <c r="B35" s="63">
        <v>27</v>
      </c>
      <c r="C35" s="64">
        <f>NOMINATIF!C32</f>
        <v>0</v>
      </c>
      <c r="D35" s="65">
        <f>NOMINATIF!D32</f>
        <v>0</v>
      </c>
      <c r="E35" s="65">
        <f>NOMINATIF!E32</f>
        <v>0</v>
      </c>
      <c r="F35" s="53">
        <f t="shared" si="0"/>
        <v>0</v>
      </c>
      <c r="G35" s="53"/>
      <c r="H35" s="53"/>
      <c r="I35" s="53">
        <f t="shared" si="1"/>
        <v>0</v>
      </c>
      <c r="J35" s="53"/>
      <c r="K35" s="53"/>
      <c r="L35" s="53">
        <f t="shared" si="2"/>
        <v>0</v>
      </c>
      <c r="M35" s="53"/>
      <c r="N35" s="53"/>
      <c r="O35" s="53">
        <f t="shared" si="3"/>
        <v>0</v>
      </c>
      <c r="P35" s="53"/>
      <c r="Q35" s="53"/>
      <c r="R35" s="53">
        <f t="shared" si="4"/>
        <v>0</v>
      </c>
      <c r="S35" s="53"/>
      <c r="T35" s="53"/>
      <c r="U35" s="53">
        <f t="shared" si="5"/>
        <v>0</v>
      </c>
      <c r="V35" s="53"/>
      <c r="W35" s="53"/>
      <c r="X35" s="53">
        <f t="shared" si="6"/>
        <v>0</v>
      </c>
      <c r="Y35" s="53"/>
      <c r="Z35" s="53"/>
      <c r="AA35" s="53">
        <f t="shared" si="7"/>
        <v>0</v>
      </c>
      <c r="AB35" s="53"/>
      <c r="AC35" s="53"/>
      <c r="AD35" s="53">
        <f t="shared" si="8"/>
        <v>0</v>
      </c>
      <c r="AE35" s="53"/>
      <c r="AF35" s="53"/>
      <c r="AG35" s="53">
        <f t="shared" si="9"/>
        <v>0</v>
      </c>
      <c r="AH35" s="53"/>
      <c r="AI35" s="53"/>
      <c r="AJ35" s="53">
        <f t="shared" si="10"/>
        <v>0</v>
      </c>
      <c r="AK35" s="53"/>
      <c r="AL35" s="53"/>
      <c r="AM35" s="53">
        <f t="shared" si="11"/>
        <v>0</v>
      </c>
      <c r="AN35" s="53"/>
      <c r="AO35" s="53"/>
      <c r="AP35" s="53">
        <f t="shared" si="12"/>
        <v>0</v>
      </c>
      <c r="AQ35" s="53"/>
      <c r="AR35" s="53"/>
      <c r="AS35" s="53">
        <f t="shared" si="13"/>
        <v>0</v>
      </c>
      <c r="AT35" s="53"/>
      <c r="AU35" s="53"/>
      <c r="AV35" s="53">
        <f t="shared" si="14"/>
        <v>0</v>
      </c>
      <c r="AW35" s="53"/>
      <c r="AX35" s="53"/>
      <c r="AY35" s="53">
        <f t="shared" si="15"/>
        <v>0</v>
      </c>
      <c r="AZ35" s="53"/>
      <c r="BA35" s="53"/>
      <c r="BB35" s="53">
        <f t="shared" si="16"/>
        <v>0</v>
      </c>
      <c r="BC35" s="53"/>
      <c r="BD35" s="53"/>
      <c r="BE35" s="66">
        <f t="shared" si="17"/>
        <v>0</v>
      </c>
      <c r="BF35" s="66"/>
      <c r="BG35" s="66"/>
      <c r="BH35" s="67">
        <f t="shared" si="18"/>
        <v>0</v>
      </c>
      <c r="BI35" s="68">
        <f t="shared" si="19"/>
        <v>1</v>
      </c>
    </row>
    <row r="36" spans="2:61" x14ac:dyDescent="0.25">
      <c r="B36" s="63">
        <v>28</v>
      </c>
      <c r="C36" s="64">
        <f>NOMINATIF!C33</f>
        <v>0</v>
      </c>
      <c r="D36" s="65">
        <f>NOMINATIF!D33</f>
        <v>0</v>
      </c>
      <c r="E36" s="65">
        <f>NOMINATIF!E33</f>
        <v>0</v>
      </c>
      <c r="F36" s="53">
        <f t="shared" si="0"/>
        <v>0</v>
      </c>
      <c r="G36" s="53"/>
      <c r="H36" s="53"/>
      <c r="I36" s="53">
        <f t="shared" si="1"/>
        <v>0</v>
      </c>
      <c r="J36" s="53"/>
      <c r="K36" s="53"/>
      <c r="L36" s="53">
        <f t="shared" si="2"/>
        <v>0</v>
      </c>
      <c r="M36" s="53"/>
      <c r="N36" s="53"/>
      <c r="O36" s="53">
        <f t="shared" si="3"/>
        <v>0</v>
      </c>
      <c r="P36" s="53"/>
      <c r="Q36" s="53"/>
      <c r="R36" s="53">
        <f t="shared" si="4"/>
        <v>0</v>
      </c>
      <c r="S36" s="53"/>
      <c r="T36" s="53"/>
      <c r="U36" s="53">
        <f t="shared" si="5"/>
        <v>0</v>
      </c>
      <c r="V36" s="53"/>
      <c r="W36" s="53"/>
      <c r="X36" s="53">
        <f t="shared" si="6"/>
        <v>0</v>
      </c>
      <c r="Y36" s="53"/>
      <c r="Z36" s="53"/>
      <c r="AA36" s="53">
        <f t="shared" si="7"/>
        <v>0</v>
      </c>
      <c r="AB36" s="53"/>
      <c r="AC36" s="53"/>
      <c r="AD36" s="53">
        <f t="shared" si="8"/>
        <v>0</v>
      </c>
      <c r="AE36" s="53"/>
      <c r="AF36" s="53"/>
      <c r="AG36" s="53">
        <f t="shared" si="9"/>
        <v>0</v>
      </c>
      <c r="AH36" s="53"/>
      <c r="AI36" s="53"/>
      <c r="AJ36" s="53">
        <f t="shared" si="10"/>
        <v>0</v>
      </c>
      <c r="AK36" s="53"/>
      <c r="AL36" s="53"/>
      <c r="AM36" s="53">
        <f t="shared" si="11"/>
        <v>0</v>
      </c>
      <c r="AN36" s="53"/>
      <c r="AO36" s="53"/>
      <c r="AP36" s="53">
        <f t="shared" si="12"/>
        <v>0</v>
      </c>
      <c r="AQ36" s="53"/>
      <c r="AR36" s="53"/>
      <c r="AS36" s="53">
        <f t="shared" si="13"/>
        <v>0</v>
      </c>
      <c r="AT36" s="53"/>
      <c r="AU36" s="53"/>
      <c r="AV36" s="53">
        <f t="shared" si="14"/>
        <v>0</v>
      </c>
      <c r="AW36" s="53"/>
      <c r="AX36" s="53"/>
      <c r="AY36" s="53">
        <f t="shared" si="15"/>
        <v>0</v>
      </c>
      <c r="AZ36" s="53"/>
      <c r="BA36" s="53"/>
      <c r="BB36" s="53">
        <f t="shared" si="16"/>
        <v>0</v>
      </c>
      <c r="BC36" s="53"/>
      <c r="BD36" s="53"/>
      <c r="BE36" s="66">
        <f t="shared" si="17"/>
        <v>0</v>
      </c>
      <c r="BF36" s="66"/>
      <c r="BG36" s="66"/>
      <c r="BH36" s="67">
        <f t="shared" si="18"/>
        <v>0</v>
      </c>
      <c r="BI36" s="68">
        <f t="shared" si="19"/>
        <v>1</v>
      </c>
    </row>
    <row r="37" spans="2:61" x14ac:dyDescent="0.25">
      <c r="B37" s="63">
        <v>29</v>
      </c>
      <c r="C37" s="64">
        <f>NOMINATIF!C34</f>
        <v>0</v>
      </c>
      <c r="D37" s="65">
        <f>NOMINATIF!D34</f>
        <v>0</v>
      </c>
      <c r="E37" s="65">
        <f>NOMINATIF!E34</f>
        <v>0</v>
      </c>
      <c r="F37" s="53">
        <f t="shared" si="0"/>
        <v>0</v>
      </c>
      <c r="G37" s="53"/>
      <c r="H37" s="53"/>
      <c r="I37" s="53">
        <f t="shared" si="1"/>
        <v>0</v>
      </c>
      <c r="J37" s="53"/>
      <c r="K37" s="53"/>
      <c r="L37" s="53">
        <f t="shared" si="2"/>
        <v>0</v>
      </c>
      <c r="M37" s="53"/>
      <c r="N37" s="53"/>
      <c r="O37" s="53">
        <f t="shared" si="3"/>
        <v>0</v>
      </c>
      <c r="P37" s="53"/>
      <c r="Q37" s="53"/>
      <c r="R37" s="53">
        <f t="shared" si="4"/>
        <v>0</v>
      </c>
      <c r="S37" s="53"/>
      <c r="T37" s="53"/>
      <c r="U37" s="53">
        <f t="shared" si="5"/>
        <v>0</v>
      </c>
      <c r="V37" s="53"/>
      <c r="W37" s="53"/>
      <c r="X37" s="53">
        <f t="shared" si="6"/>
        <v>0</v>
      </c>
      <c r="Y37" s="53"/>
      <c r="Z37" s="53"/>
      <c r="AA37" s="53">
        <f t="shared" si="7"/>
        <v>0</v>
      </c>
      <c r="AB37" s="53"/>
      <c r="AC37" s="53"/>
      <c r="AD37" s="53">
        <f t="shared" si="8"/>
        <v>0</v>
      </c>
      <c r="AE37" s="53"/>
      <c r="AF37" s="53"/>
      <c r="AG37" s="53">
        <f t="shared" si="9"/>
        <v>0</v>
      </c>
      <c r="AH37" s="53"/>
      <c r="AI37" s="53"/>
      <c r="AJ37" s="53">
        <f t="shared" si="10"/>
        <v>0</v>
      </c>
      <c r="AK37" s="53"/>
      <c r="AL37" s="53"/>
      <c r="AM37" s="53">
        <f t="shared" si="11"/>
        <v>0</v>
      </c>
      <c r="AN37" s="53"/>
      <c r="AO37" s="53"/>
      <c r="AP37" s="53">
        <f t="shared" si="12"/>
        <v>0</v>
      </c>
      <c r="AQ37" s="53"/>
      <c r="AR37" s="53"/>
      <c r="AS37" s="53">
        <f t="shared" si="13"/>
        <v>0</v>
      </c>
      <c r="AT37" s="53"/>
      <c r="AU37" s="53"/>
      <c r="AV37" s="53">
        <f t="shared" si="14"/>
        <v>0</v>
      </c>
      <c r="AW37" s="53"/>
      <c r="AX37" s="53"/>
      <c r="AY37" s="53">
        <f t="shared" si="15"/>
        <v>0</v>
      </c>
      <c r="AZ37" s="53"/>
      <c r="BA37" s="53"/>
      <c r="BB37" s="53">
        <f t="shared" si="16"/>
        <v>0</v>
      </c>
      <c r="BC37" s="53"/>
      <c r="BD37" s="53"/>
      <c r="BE37" s="66">
        <f t="shared" si="17"/>
        <v>0</v>
      </c>
      <c r="BF37" s="66"/>
      <c r="BG37" s="66"/>
      <c r="BH37" s="67">
        <f t="shared" si="18"/>
        <v>0</v>
      </c>
      <c r="BI37" s="68">
        <f t="shared" si="19"/>
        <v>1</v>
      </c>
    </row>
    <row r="38" spans="2:61" x14ac:dyDescent="0.25">
      <c r="B38" s="63">
        <v>30</v>
      </c>
      <c r="C38" s="64">
        <f>NOMINATIF!C35</f>
        <v>0</v>
      </c>
      <c r="D38" s="65">
        <f>NOMINATIF!D35</f>
        <v>0</v>
      </c>
      <c r="E38" s="65">
        <f>NOMINATIF!E35</f>
        <v>0</v>
      </c>
      <c r="F38" s="53">
        <f t="shared" si="0"/>
        <v>0</v>
      </c>
      <c r="G38" s="53"/>
      <c r="H38" s="53"/>
      <c r="I38" s="53">
        <f t="shared" si="1"/>
        <v>0</v>
      </c>
      <c r="J38" s="53"/>
      <c r="K38" s="53"/>
      <c r="L38" s="53">
        <f t="shared" si="2"/>
        <v>0</v>
      </c>
      <c r="M38" s="53"/>
      <c r="N38" s="53"/>
      <c r="O38" s="53">
        <f t="shared" si="3"/>
        <v>0</v>
      </c>
      <c r="P38" s="53"/>
      <c r="Q38" s="53"/>
      <c r="R38" s="53">
        <f t="shared" si="4"/>
        <v>0</v>
      </c>
      <c r="S38" s="53"/>
      <c r="T38" s="53"/>
      <c r="U38" s="53">
        <f t="shared" si="5"/>
        <v>0</v>
      </c>
      <c r="V38" s="53"/>
      <c r="W38" s="53"/>
      <c r="X38" s="53">
        <f t="shared" si="6"/>
        <v>0</v>
      </c>
      <c r="Y38" s="53"/>
      <c r="Z38" s="53"/>
      <c r="AA38" s="53">
        <f t="shared" si="7"/>
        <v>0</v>
      </c>
      <c r="AB38" s="53"/>
      <c r="AC38" s="53"/>
      <c r="AD38" s="53">
        <f t="shared" si="8"/>
        <v>0</v>
      </c>
      <c r="AE38" s="53"/>
      <c r="AF38" s="53"/>
      <c r="AG38" s="53">
        <f t="shared" si="9"/>
        <v>0</v>
      </c>
      <c r="AH38" s="53"/>
      <c r="AI38" s="53"/>
      <c r="AJ38" s="53">
        <f t="shared" si="10"/>
        <v>0</v>
      </c>
      <c r="AK38" s="53"/>
      <c r="AL38" s="53"/>
      <c r="AM38" s="53">
        <f t="shared" si="11"/>
        <v>0</v>
      </c>
      <c r="AN38" s="53"/>
      <c r="AO38" s="53"/>
      <c r="AP38" s="53">
        <f t="shared" si="12"/>
        <v>0</v>
      </c>
      <c r="AQ38" s="53"/>
      <c r="AR38" s="53"/>
      <c r="AS38" s="53">
        <f t="shared" si="13"/>
        <v>0</v>
      </c>
      <c r="AT38" s="53"/>
      <c r="AU38" s="53"/>
      <c r="AV38" s="53">
        <f t="shared" si="14"/>
        <v>0</v>
      </c>
      <c r="AW38" s="53"/>
      <c r="AX38" s="53"/>
      <c r="AY38" s="53">
        <f t="shared" si="15"/>
        <v>0</v>
      </c>
      <c r="AZ38" s="53"/>
      <c r="BA38" s="53"/>
      <c r="BB38" s="53">
        <f t="shared" si="16"/>
        <v>0</v>
      </c>
      <c r="BC38" s="53"/>
      <c r="BD38" s="53"/>
      <c r="BE38" s="66">
        <f t="shared" si="17"/>
        <v>0</v>
      </c>
      <c r="BF38" s="66"/>
      <c r="BG38" s="66"/>
      <c r="BH38" s="67">
        <f t="shared" si="18"/>
        <v>0</v>
      </c>
      <c r="BI38" s="68">
        <f t="shared" si="19"/>
        <v>1</v>
      </c>
    </row>
    <row r="39" spans="2:61" x14ac:dyDescent="0.25">
      <c r="B39" s="63">
        <v>31</v>
      </c>
      <c r="C39" s="64">
        <f>NOMINATIF!C36</f>
        <v>0</v>
      </c>
      <c r="D39" s="65">
        <f>NOMINATIF!D36</f>
        <v>0</v>
      </c>
      <c r="E39" s="65">
        <f>NOMINATIF!E36</f>
        <v>0</v>
      </c>
      <c r="F39" s="53">
        <f t="shared" si="0"/>
        <v>0</v>
      </c>
      <c r="G39" s="53"/>
      <c r="H39" s="53"/>
      <c r="I39" s="53">
        <f t="shared" si="1"/>
        <v>0</v>
      </c>
      <c r="J39" s="53"/>
      <c r="K39" s="53"/>
      <c r="L39" s="53">
        <f t="shared" si="2"/>
        <v>0</v>
      </c>
      <c r="M39" s="53"/>
      <c r="N39" s="53"/>
      <c r="O39" s="53">
        <f t="shared" si="3"/>
        <v>0</v>
      </c>
      <c r="P39" s="53"/>
      <c r="Q39" s="53"/>
      <c r="R39" s="53">
        <f t="shared" si="4"/>
        <v>0</v>
      </c>
      <c r="S39" s="53"/>
      <c r="T39" s="53"/>
      <c r="U39" s="53">
        <f t="shared" si="5"/>
        <v>0</v>
      </c>
      <c r="V39" s="53"/>
      <c r="W39" s="53"/>
      <c r="X39" s="53">
        <f t="shared" si="6"/>
        <v>0</v>
      </c>
      <c r="Y39" s="53"/>
      <c r="Z39" s="53"/>
      <c r="AA39" s="53">
        <f t="shared" si="7"/>
        <v>0</v>
      </c>
      <c r="AB39" s="53"/>
      <c r="AC39" s="53"/>
      <c r="AD39" s="53">
        <f t="shared" si="8"/>
        <v>0</v>
      </c>
      <c r="AE39" s="53"/>
      <c r="AF39" s="53"/>
      <c r="AG39" s="53">
        <f t="shared" si="9"/>
        <v>0</v>
      </c>
      <c r="AH39" s="53"/>
      <c r="AI39" s="53"/>
      <c r="AJ39" s="53">
        <f t="shared" si="10"/>
        <v>0</v>
      </c>
      <c r="AK39" s="53"/>
      <c r="AL39" s="53"/>
      <c r="AM39" s="53">
        <f t="shared" si="11"/>
        <v>0</v>
      </c>
      <c r="AN39" s="53"/>
      <c r="AO39" s="53"/>
      <c r="AP39" s="53">
        <f t="shared" si="12"/>
        <v>0</v>
      </c>
      <c r="AQ39" s="53"/>
      <c r="AR39" s="53"/>
      <c r="AS39" s="53">
        <f t="shared" si="13"/>
        <v>0</v>
      </c>
      <c r="AT39" s="53"/>
      <c r="AU39" s="53"/>
      <c r="AV39" s="53">
        <f t="shared" si="14"/>
        <v>0</v>
      </c>
      <c r="AW39" s="53"/>
      <c r="AX39" s="53"/>
      <c r="AY39" s="53">
        <f t="shared" si="15"/>
        <v>0</v>
      </c>
      <c r="AZ39" s="53"/>
      <c r="BA39" s="53"/>
      <c r="BB39" s="53">
        <f t="shared" si="16"/>
        <v>0</v>
      </c>
      <c r="BC39" s="53"/>
      <c r="BD39" s="53"/>
      <c r="BE39" s="66">
        <f t="shared" si="17"/>
        <v>0</v>
      </c>
      <c r="BF39" s="66"/>
      <c r="BG39" s="66"/>
      <c r="BH39" s="67">
        <f t="shared" si="18"/>
        <v>0</v>
      </c>
      <c r="BI39" s="68">
        <f t="shared" si="19"/>
        <v>1</v>
      </c>
    </row>
    <row r="40" spans="2:61" x14ac:dyDescent="0.25">
      <c r="B40" s="63">
        <v>32</v>
      </c>
      <c r="C40" s="64">
        <f>NOMINATIF!C37</f>
        <v>0</v>
      </c>
      <c r="D40" s="65">
        <f>NOMINATIF!D37</f>
        <v>0</v>
      </c>
      <c r="E40" s="65">
        <f>NOMINATIF!E37</f>
        <v>0</v>
      </c>
      <c r="F40" s="53">
        <f t="shared" si="0"/>
        <v>0</v>
      </c>
      <c r="G40" s="53"/>
      <c r="H40" s="53"/>
      <c r="I40" s="53">
        <f t="shared" si="1"/>
        <v>0</v>
      </c>
      <c r="J40" s="53"/>
      <c r="K40" s="53"/>
      <c r="L40" s="53">
        <f t="shared" si="2"/>
        <v>0</v>
      </c>
      <c r="M40" s="53"/>
      <c r="N40" s="53"/>
      <c r="O40" s="53">
        <f t="shared" si="3"/>
        <v>0</v>
      </c>
      <c r="P40" s="53"/>
      <c r="Q40" s="53"/>
      <c r="R40" s="53">
        <f t="shared" si="4"/>
        <v>0</v>
      </c>
      <c r="S40" s="53"/>
      <c r="T40" s="53"/>
      <c r="U40" s="53">
        <f t="shared" si="5"/>
        <v>0</v>
      </c>
      <c r="V40" s="53"/>
      <c r="W40" s="53"/>
      <c r="X40" s="53">
        <f t="shared" si="6"/>
        <v>0</v>
      </c>
      <c r="Y40" s="53"/>
      <c r="Z40" s="53"/>
      <c r="AA40" s="53">
        <f t="shared" si="7"/>
        <v>0</v>
      </c>
      <c r="AB40" s="53"/>
      <c r="AC40" s="53"/>
      <c r="AD40" s="53">
        <f t="shared" si="8"/>
        <v>0</v>
      </c>
      <c r="AE40" s="53"/>
      <c r="AF40" s="53"/>
      <c r="AG40" s="53">
        <f t="shared" si="9"/>
        <v>0</v>
      </c>
      <c r="AH40" s="53"/>
      <c r="AI40" s="53"/>
      <c r="AJ40" s="53">
        <f t="shared" si="10"/>
        <v>0</v>
      </c>
      <c r="AK40" s="53"/>
      <c r="AL40" s="53"/>
      <c r="AM40" s="53">
        <f t="shared" si="11"/>
        <v>0</v>
      </c>
      <c r="AN40" s="53"/>
      <c r="AO40" s="53"/>
      <c r="AP40" s="53">
        <f t="shared" si="12"/>
        <v>0</v>
      </c>
      <c r="AQ40" s="53"/>
      <c r="AR40" s="53"/>
      <c r="AS40" s="53">
        <f t="shared" si="13"/>
        <v>0</v>
      </c>
      <c r="AT40" s="53"/>
      <c r="AU40" s="53"/>
      <c r="AV40" s="53">
        <f t="shared" si="14"/>
        <v>0</v>
      </c>
      <c r="AW40" s="53"/>
      <c r="AX40" s="53"/>
      <c r="AY40" s="53">
        <f t="shared" si="15"/>
        <v>0</v>
      </c>
      <c r="AZ40" s="53"/>
      <c r="BA40" s="53"/>
      <c r="BB40" s="53">
        <f t="shared" si="16"/>
        <v>0</v>
      </c>
      <c r="BC40" s="53"/>
      <c r="BD40" s="53"/>
      <c r="BE40" s="66">
        <f t="shared" si="17"/>
        <v>0</v>
      </c>
      <c r="BF40" s="66"/>
      <c r="BG40" s="66"/>
      <c r="BH40" s="67">
        <f t="shared" si="18"/>
        <v>0</v>
      </c>
      <c r="BI40" s="68">
        <f t="shared" si="19"/>
        <v>1</v>
      </c>
    </row>
    <row r="41" spans="2:61" x14ac:dyDescent="0.25">
      <c r="B41" s="63">
        <v>33</v>
      </c>
      <c r="C41" s="64">
        <f>NOMINATIF!C38</f>
        <v>0</v>
      </c>
      <c r="D41" s="65">
        <f>NOMINATIF!D38</f>
        <v>0</v>
      </c>
      <c r="E41" s="65">
        <f>NOMINATIF!E38</f>
        <v>0</v>
      </c>
      <c r="F41" s="53">
        <f t="shared" si="0"/>
        <v>0</v>
      </c>
      <c r="G41" s="53"/>
      <c r="H41" s="53"/>
      <c r="I41" s="53">
        <f t="shared" si="1"/>
        <v>0</v>
      </c>
      <c r="J41" s="53"/>
      <c r="K41" s="53"/>
      <c r="L41" s="53">
        <f t="shared" si="2"/>
        <v>0</v>
      </c>
      <c r="M41" s="53"/>
      <c r="N41" s="53"/>
      <c r="O41" s="53">
        <f t="shared" si="3"/>
        <v>0</v>
      </c>
      <c r="P41" s="53"/>
      <c r="Q41" s="53"/>
      <c r="R41" s="53">
        <f t="shared" si="4"/>
        <v>0</v>
      </c>
      <c r="S41" s="53"/>
      <c r="T41" s="53"/>
      <c r="U41" s="53">
        <f t="shared" si="5"/>
        <v>0</v>
      </c>
      <c r="V41" s="53"/>
      <c r="W41" s="53"/>
      <c r="X41" s="53">
        <f t="shared" si="6"/>
        <v>0</v>
      </c>
      <c r="Y41" s="53"/>
      <c r="Z41" s="53"/>
      <c r="AA41" s="53">
        <f t="shared" si="7"/>
        <v>0</v>
      </c>
      <c r="AB41" s="53"/>
      <c r="AC41" s="53"/>
      <c r="AD41" s="53">
        <f t="shared" si="8"/>
        <v>0</v>
      </c>
      <c r="AE41" s="53"/>
      <c r="AF41" s="53"/>
      <c r="AG41" s="53">
        <f t="shared" si="9"/>
        <v>0</v>
      </c>
      <c r="AH41" s="53"/>
      <c r="AI41" s="53"/>
      <c r="AJ41" s="53">
        <f t="shared" si="10"/>
        <v>0</v>
      </c>
      <c r="AK41" s="53"/>
      <c r="AL41" s="53"/>
      <c r="AM41" s="53">
        <f t="shared" si="11"/>
        <v>0</v>
      </c>
      <c r="AN41" s="53"/>
      <c r="AO41" s="53"/>
      <c r="AP41" s="53">
        <f t="shared" si="12"/>
        <v>0</v>
      </c>
      <c r="AQ41" s="53"/>
      <c r="AR41" s="53"/>
      <c r="AS41" s="53">
        <f t="shared" si="13"/>
        <v>0</v>
      </c>
      <c r="AT41" s="53"/>
      <c r="AU41" s="53"/>
      <c r="AV41" s="53">
        <f t="shared" si="14"/>
        <v>0</v>
      </c>
      <c r="AW41" s="53"/>
      <c r="AX41" s="53"/>
      <c r="AY41" s="53">
        <f t="shared" si="15"/>
        <v>0</v>
      </c>
      <c r="AZ41" s="53"/>
      <c r="BA41" s="53"/>
      <c r="BB41" s="53">
        <f t="shared" si="16"/>
        <v>0</v>
      </c>
      <c r="BC41" s="53"/>
      <c r="BD41" s="53"/>
      <c r="BE41" s="66">
        <f t="shared" si="17"/>
        <v>0</v>
      </c>
      <c r="BF41" s="66"/>
      <c r="BG41" s="66"/>
      <c r="BH41" s="67">
        <f t="shared" si="18"/>
        <v>0</v>
      </c>
      <c r="BI41" s="68">
        <f t="shared" si="19"/>
        <v>1</v>
      </c>
    </row>
    <row r="42" spans="2:61" x14ac:dyDescent="0.25">
      <c r="B42" s="63">
        <v>34</v>
      </c>
      <c r="C42" s="64">
        <f>NOMINATIF!C39</f>
        <v>0</v>
      </c>
      <c r="D42" s="65">
        <f>NOMINATIF!D39</f>
        <v>0</v>
      </c>
      <c r="E42" s="65">
        <f>NOMINATIF!E39</f>
        <v>0</v>
      </c>
      <c r="F42" s="53">
        <f t="shared" si="0"/>
        <v>0</v>
      </c>
      <c r="G42" s="53"/>
      <c r="H42" s="53"/>
      <c r="I42" s="53">
        <f t="shared" si="1"/>
        <v>0</v>
      </c>
      <c r="J42" s="53"/>
      <c r="K42" s="53"/>
      <c r="L42" s="53">
        <f t="shared" si="2"/>
        <v>0</v>
      </c>
      <c r="M42" s="53"/>
      <c r="N42" s="53"/>
      <c r="O42" s="53">
        <f t="shared" si="3"/>
        <v>0</v>
      </c>
      <c r="P42" s="53"/>
      <c r="Q42" s="53"/>
      <c r="R42" s="53">
        <f t="shared" si="4"/>
        <v>0</v>
      </c>
      <c r="S42" s="53"/>
      <c r="T42" s="53"/>
      <c r="U42" s="53">
        <f t="shared" si="5"/>
        <v>0</v>
      </c>
      <c r="V42" s="53"/>
      <c r="W42" s="53"/>
      <c r="X42" s="53">
        <f t="shared" si="6"/>
        <v>0</v>
      </c>
      <c r="Y42" s="53"/>
      <c r="Z42" s="53"/>
      <c r="AA42" s="53">
        <f t="shared" si="7"/>
        <v>0</v>
      </c>
      <c r="AB42" s="53"/>
      <c r="AC42" s="53"/>
      <c r="AD42" s="53">
        <f t="shared" si="8"/>
        <v>0</v>
      </c>
      <c r="AE42" s="53"/>
      <c r="AF42" s="53"/>
      <c r="AG42" s="53">
        <f t="shared" si="9"/>
        <v>0</v>
      </c>
      <c r="AH42" s="53"/>
      <c r="AI42" s="53"/>
      <c r="AJ42" s="53">
        <f t="shared" si="10"/>
        <v>0</v>
      </c>
      <c r="AK42" s="53"/>
      <c r="AL42" s="53"/>
      <c r="AM42" s="53">
        <f t="shared" si="11"/>
        <v>0</v>
      </c>
      <c r="AN42" s="53"/>
      <c r="AO42" s="53"/>
      <c r="AP42" s="53">
        <f t="shared" si="12"/>
        <v>0</v>
      </c>
      <c r="AQ42" s="53"/>
      <c r="AR42" s="53"/>
      <c r="AS42" s="53">
        <f t="shared" si="13"/>
        <v>0</v>
      </c>
      <c r="AT42" s="53"/>
      <c r="AU42" s="53"/>
      <c r="AV42" s="53">
        <f t="shared" si="14"/>
        <v>0</v>
      </c>
      <c r="AW42" s="53"/>
      <c r="AX42" s="53"/>
      <c r="AY42" s="53">
        <f t="shared" si="15"/>
        <v>0</v>
      </c>
      <c r="AZ42" s="53"/>
      <c r="BA42" s="53"/>
      <c r="BB42" s="53">
        <f t="shared" si="16"/>
        <v>0</v>
      </c>
      <c r="BC42" s="53"/>
      <c r="BD42" s="53"/>
      <c r="BE42" s="66">
        <f t="shared" si="17"/>
        <v>0</v>
      </c>
      <c r="BF42" s="66"/>
      <c r="BG42" s="66"/>
      <c r="BH42" s="67">
        <f t="shared" si="18"/>
        <v>0</v>
      </c>
      <c r="BI42" s="68">
        <f t="shared" si="19"/>
        <v>1</v>
      </c>
    </row>
    <row r="43" spans="2:61" x14ac:dyDescent="0.25">
      <c r="B43" s="63">
        <v>35</v>
      </c>
      <c r="C43" s="64">
        <f>NOMINATIF!C40</f>
        <v>0</v>
      </c>
      <c r="D43" s="65">
        <f>NOMINATIF!D40</f>
        <v>0</v>
      </c>
      <c r="E43" s="65">
        <f>NOMINATIF!E40</f>
        <v>0</v>
      </c>
      <c r="F43" s="53">
        <f t="shared" si="0"/>
        <v>0</v>
      </c>
      <c r="G43" s="53"/>
      <c r="H43" s="53"/>
      <c r="I43" s="53">
        <f t="shared" si="1"/>
        <v>0</v>
      </c>
      <c r="J43" s="53"/>
      <c r="K43" s="53"/>
      <c r="L43" s="53">
        <f t="shared" si="2"/>
        <v>0</v>
      </c>
      <c r="M43" s="53"/>
      <c r="N43" s="53"/>
      <c r="O43" s="53">
        <f t="shared" si="3"/>
        <v>0</v>
      </c>
      <c r="P43" s="53"/>
      <c r="Q43" s="53"/>
      <c r="R43" s="53">
        <f t="shared" si="4"/>
        <v>0</v>
      </c>
      <c r="S43" s="53"/>
      <c r="T43" s="53"/>
      <c r="U43" s="53">
        <f t="shared" si="5"/>
        <v>0</v>
      </c>
      <c r="V43" s="53"/>
      <c r="W43" s="53"/>
      <c r="X43" s="53">
        <f t="shared" si="6"/>
        <v>0</v>
      </c>
      <c r="Y43" s="53"/>
      <c r="Z43" s="53"/>
      <c r="AA43" s="53">
        <f t="shared" si="7"/>
        <v>0</v>
      </c>
      <c r="AB43" s="53"/>
      <c r="AC43" s="53"/>
      <c r="AD43" s="53">
        <f t="shared" si="8"/>
        <v>0</v>
      </c>
      <c r="AE43" s="53"/>
      <c r="AF43" s="53"/>
      <c r="AG43" s="53">
        <f t="shared" si="9"/>
        <v>0</v>
      </c>
      <c r="AH43" s="53"/>
      <c r="AI43" s="53"/>
      <c r="AJ43" s="53">
        <f t="shared" si="10"/>
        <v>0</v>
      </c>
      <c r="AK43" s="53"/>
      <c r="AL43" s="53"/>
      <c r="AM43" s="53">
        <f t="shared" si="11"/>
        <v>0</v>
      </c>
      <c r="AN43" s="53"/>
      <c r="AO43" s="53"/>
      <c r="AP43" s="53">
        <f t="shared" si="12"/>
        <v>0</v>
      </c>
      <c r="AQ43" s="53"/>
      <c r="AR43" s="53"/>
      <c r="AS43" s="53">
        <f t="shared" si="13"/>
        <v>0</v>
      </c>
      <c r="AT43" s="53"/>
      <c r="AU43" s="53"/>
      <c r="AV43" s="53">
        <f t="shared" si="14"/>
        <v>0</v>
      </c>
      <c r="AW43" s="53"/>
      <c r="AX43" s="53"/>
      <c r="AY43" s="53">
        <f t="shared" si="15"/>
        <v>0</v>
      </c>
      <c r="AZ43" s="53"/>
      <c r="BA43" s="53"/>
      <c r="BB43" s="53">
        <f t="shared" si="16"/>
        <v>0</v>
      </c>
      <c r="BC43" s="53"/>
      <c r="BD43" s="53"/>
      <c r="BE43" s="66">
        <f t="shared" si="17"/>
        <v>0</v>
      </c>
      <c r="BF43" s="66"/>
      <c r="BG43" s="66"/>
      <c r="BH43" s="67">
        <f t="shared" si="18"/>
        <v>0</v>
      </c>
      <c r="BI43" s="68">
        <f t="shared" si="19"/>
        <v>1</v>
      </c>
    </row>
    <row r="44" spans="2:61" x14ac:dyDescent="0.25"/>
    <row r="45" spans="2:61" x14ac:dyDescent="0.25"/>
    <row r="46" spans="2:61" x14ac:dyDescent="0.25"/>
  </sheetData>
  <sheetProtection selectLockedCells="1"/>
  <mergeCells count="25">
    <mergeCell ref="AG6:AI6"/>
    <mergeCell ref="B5:B7"/>
    <mergeCell ref="C5:C7"/>
    <mergeCell ref="D5:D7"/>
    <mergeCell ref="E5:E7"/>
    <mergeCell ref="F6:H6"/>
    <mergeCell ref="I6:K6"/>
    <mergeCell ref="L6:N6"/>
    <mergeCell ref="O6:Q6"/>
    <mergeCell ref="B3:BI3"/>
    <mergeCell ref="BH5:BH6"/>
    <mergeCell ref="BI5:BI6"/>
    <mergeCell ref="BB6:BD6"/>
    <mergeCell ref="BE6:BG6"/>
    <mergeCell ref="AJ6:AL6"/>
    <mergeCell ref="AM6:AO6"/>
    <mergeCell ref="AP6:AR6"/>
    <mergeCell ref="AS6:AU6"/>
    <mergeCell ref="AV6:AX6"/>
    <mergeCell ref="AY6:BA6"/>
    <mergeCell ref="R6:T6"/>
    <mergeCell ref="U6:W6"/>
    <mergeCell ref="X6:Z6"/>
    <mergeCell ref="AA6:AC6"/>
    <mergeCell ref="AD6:AF6"/>
  </mergeCells>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3">
    <tabColor rgb="FF00B0F0"/>
    <pageSetUpPr fitToPage="1"/>
  </sheetPr>
  <dimension ref="A1:AC55"/>
  <sheetViews>
    <sheetView topLeftCell="A30" workbookViewId="0">
      <selection activeCell="O38" sqref="O38:P47"/>
    </sheetView>
  </sheetViews>
  <sheetFormatPr defaultColWidth="0" defaultRowHeight="0" customHeight="1" zeroHeight="1" x14ac:dyDescent="0.25"/>
  <cols>
    <col min="1" max="1" width="1.5703125" style="12" customWidth="1"/>
    <col min="2" max="2" width="3.85546875" customWidth="1"/>
    <col min="3" max="3" width="16.7109375" customWidth="1"/>
    <col min="4" max="4" width="1.140625" customWidth="1"/>
    <col min="5" max="5" width="22.42578125" customWidth="1"/>
    <col min="6" max="6" width="9.42578125" customWidth="1"/>
    <col min="7" max="7" width="2.7109375" customWidth="1"/>
    <col min="8" max="8" width="19.7109375" customWidth="1"/>
    <col min="9" max="9" width="2.28515625" customWidth="1"/>
    <col min="10" max="10" width="16.140625" hidden="1" customWidth="1"/>
    <col min="11" max="11" width="1.85546875" hidden="1" customWidth="1"/>
    <col min="12" max="12" width="5.42578125" customWidth="1"/>
    <col min="13" max="13" width="34.28515625" customWidth="1"/>
    <col min="14" max="14" width="1.7109375" customWidth="1"/>
    <col min="15" max="16" width="9.140625" customWidth="1"/>
    <col min="17" max="17" width="2.42578125" customWidth="1"/>
    <col min="18" max="18" width="16.7109375" customWidth="1"/>
    <col min="19" max="19" width="1" customWidth="1"/>
    <col min="20" max="20" width="1.7109375" style="12" customWidth="1"/>
    <col min="21" max="29" width="0" hidden="1" customWidth="1"/>
    <col min="30" max="16384" width="9.140625" hidden="1"/>
  </cols>
  <sheetData>
    <row r="1" spans="2:29" s="12" customFormat="1" ht="7.5" customHeight="1" x14ac:dyDescent="0.25">
      <c r="S1"/>
    </row>
    <row r="2" spans="2:29" ht="15.75" x14ac:dyDescent="0.25">
      <c r="C2" s="3"/>
      <c r="D2" s="204" t="s">
        <v>11</v>
      </c>
      <c r="E2" s="204"/>
      <c r="F2" s="204"/>
      <c r="G2" s="204"/>
      <c r="H2" s="204"/>
      <c r="I2" s="204"/>
      <c r="J2" s="204"/>
      <c r="K2" s="204"/>
      <c r="L2" s="204"/>
      <c r="M2" s="204"/>
      <c r="V2" s="204"/>
      <c r="W2" s="204"/>
      <c r="X2" s="204"/>
      <c r="Y2" s="204"/>
      <c r="Z2" s="204"/>
      <c r="AA2" s="204"/>
      <c r="AB2" s="204"/>
      <c r="AC2" s="204"/>
    </row>
    <row r="3" spans="2:29" ht="15.75" x14ac:dyDescent="0.25">
      <c r="C3" s="3"/>
      <c r="D3" s="204" t="s">
        <v>12</v>
      </c>
      <c r="E3" s="204"/>
      <c r="F3" s="204"/>
      <c r="G3" s="204"/>
      <c r="H3" s="204"/>
      <c r="I3" s="204"/>
      <c r="J3" s="204"/>
      <c r="K3" s="204"/>
      <c r="L3" s="204"/>
      <c r="M3" s="204"/>
      <c r="V3" s="204"/>
      <c r="W3" s="204"/>
      <c r="X3" s="204"/>
      <c r="Y3" s="204"/>
      <c r="Z3" s="204"/>
      <c r="AA3" s="204"/>
      <c r="AB3" s="204"/>
      <c r="AC3" s="204"/>
    </row>
    <row r="4" spans="2:29" ht="15.75" x14ac:dyDescent="0.25">
      <c r="C4" s="1"/>
      <c r="D4" s="203" t="s">
        <v>13</v>
      </c>
      <c r="E4" s="203"/>
      <c r="F4" s="203"/>
      <c r="G4" s="203"/>
      <c r="H4" s="203"/>
      <c r="I4" s="203"/>
      <c r="J4" s="203"/>
      <c r="K4" s="203"/>
      <c r="L4" s="203"/>
      <c r="M4" s="203"/>
      <c r="V4" s="203"/>
      <c r="W4" s="203"/>
      <c r="X4" s="203"/>
      <c r="Y4" s="203"/>
      <c r="Z4" s="203"/>
      <c r="AA4" s="203"/>
      <c r="AB4" s="203"/>
      <c r="AC4" s="203"/>
    </row>
    <row r="5" spans="2:29" ht="15.75" x14ac:dyDescent="0.25">
      <c r="C5" s="1"/>
      <c r="D5" s="203" t="s">
        <v>14</v>
      </c>
      <c r="E5" s="203"/>
      <c r="F5" s="203"/>
      <c r="G5" s="203"/>
      <c r="H5" s="203"/>
      <c r="I5" s="203"/>
      <c r="J5" s="203"/>
      <c r="K5" s="203"/>
      <c r="L5" s="203"/>
      <c r="M5" s="203"/>
      <c r="V5" s="203"/>
      <c r="W5" s="203"/>
      <c r="X5" s="203"/>
      <c r="Y5" s="203"/>
      <c r="Z5" s="203"/>
      <c r="AA5" s="203"/>
      <c r="AB5" s="203"/>
      <c r="AC5" s="203"/>
    </row>
    <row r="6" spans="2:29" ht="16.5" thickBot="1" x14ac:dyDescent="0.3">
      <c r="C6" s="3"/>
      <c r="D6" s="204" t="s">
        <v>1</v>
      </c>
      <c r="E6" s="204"/>
      <c r="F6" s="204"/>
      <c r="G6" s="204"/>
      <c r="H6" s="204"/>
      <c r="I6" s="204"/>
      <c r="J6" s="204"/>
      <c r="K6" s="204"/>
      <c r="L6" s="204"/>
      <c r="M6" s="204"/>
      <c r="V6" s="204"/>
      <c r="W6" s="204"/>
      <c r="X6" s="204"/>
      <c r="Y6" s="204"/>
      <c r="Z6" s="204"/>
      <c r="AA6" s="204"/>
      <c r="AB6" s="204"/>
      <c r="AC6" s="204"/>
    </row>
    <row r="7" spans="2:29" ht="15.75" x14ac:dyDescent="0.25">
      <c r="C7" s="1"/>
      <c r="D7" s="203" t="s">
        <v>15</v>
      </c>
      <c r="E7" s="203"/>
      <c r="F7" s="203"/>
      <c r="G7" s="203"/>
      <c r="H7" s="203"/>
      <c r="I7" s="203"/>
      <c r="J7" s="203"/>
      <c r="K7" s="203"/>
      <c r="L7" s="203"/>
      <c r="M7" s="203"/>
      <c r="O7" s="326" t="s">
        <v>69</v>
      </c>
      <c r="P7" s="327"/>
      <c r="Q7" s="327"/>
      <c r="R7" s="328"/>
      <c r="S7" s="19"/>
      <c r="V7" s="203"/>
      <c r="W7" s="203"/>
      <c r="X7" s="203"/>
      <c r="Y7" s="203"/>
      <c r="Z7" s="203"/>
      <c r="AA7" s="203"/>
      <c r="AB7" s="203"/>
      <c r="AC7" s="203"/>
    </row>
    <row r="8" spans="2:29" ht="15.75" x14ac:dyDescent="0.25">
      <c r="C8" s="1"/>
      <c r="D8" s="203" t="s">
        <v>16</v>
      </c>
      <c r="E8" s="203"/>
      <c r="F8" s="203"/>
      <c r="G8" s="203"/>
      <c r="H8" s="203"/>
      <c r="I8" s="203"/>
      <c r="J8" s="203"/>
      <c r="K8" s="203"/>
      <c r="L8" s="203"/>
      <c r="M8" s="203"/>
      <c r="O8" s="329"/>
      <c r="P8" s="330"/>
      <c r="Q8" s="330"/>
      <c r="R8" s="331"/>
      <c r="V8" s="203"/>
      <c r="W8" s="203"/>
      <c r="X8" s="203"/>
      <c r="Y8" s="203"/>
      <c r="Z8" s="203"/>
      <c r="AA8" s="203"/>
      <c r="AB8" s="203"/>
      <c r="AC8" s="203"/>
    </row>
    <row r="9" spans="2:29" ht="16.5" thickBot="1" x14ac:dyDescent="0.3">
      <c r="C9" s="2"/>
      <c r="D9" s="230" t="s">
        <v>17</v>
      </c>
      <c r="E9" s="230"/>
      <c r="F9" s="230"/>
      <c r="G9" s="230"/>
      <c r="H9" s="230"/>
      <c r="I9" s="230"/>
      <c r="J9" s="230"/>
      <c r="K9" s="230"/>
      <c r="L9" s="230"/>
      <c r="M9" s="230"/>
      <c r="O9" s="22"/>
      <c r="P9" s="325" t="s">
        <v>70</v>
      </c>
      <c r="Q9" s="325"/>
      <c r="R9" s="228">
        <v>1</v>
      </c>
      <c r="V9" s="230"/>
      <c r="W9" s="230"/>
      <c r="X9" s="230"/>
      <c r="Y9" s="230"/>
      <c r="Z9" s="230"/>
      <c r="AA9" s="230"/>
      <c r="AB9" s="230"/>
      <c r="AC9" s="230"/>
    </row>
    <row r="10" spans="2:29" ht="5.25" customHeight="1" thickTop="1" x14ac:dyDescent="0.25">
      <c r="B10" s="231"/>
      <c r="C10" s="232"/>
      <c r="D10" s="232"/>
      <c r="E10" s="232"/>
      <c r="F10" s="232"/>
      <c r="G10" s="232"/>
      <c r="H10" s="232"/>
      <c r="I10" s="232"/>
      <c r="J10" s="232"/>
      <c r="K10" s="232"/>
      <c r="L10" s="232"/>
      <c r="M10" s="232"/>
      <c r="O10" s="22"/>
      <c r="P10" s="325"/>
      <c r="Q10" s="325"/>
      <c r="R10" s="228"/>
    </row>
    <row r="11" spans="2:29" ht="15.75" x14ac:dyDescent="0.25">
      <c r="B11" s="226" t="str">
        <f>HOME!G6</f>
        <v>HASIL PENILAIAN TENGAH SEMESTER GENAP</v>
      </c>
      <c r="C11" s="226"/>
      <c r="D11" s="226"/>
      <c r="E11" s="226"/>
      <c r="F11" s="226"/>
      <c r="G11" s="226"/>
      <c r="H11" s="226"/>
      <c r="I11" s="226"/>
      <c r="J11" s="226"/>
      <c r="K11" s="226"/>
      <c r="L11" s="226"/>
      <c r="M11" s="226"/>
      <c r="O11" s="22"/>
      <c r="P11" s="325"/>
      <c r="Q11" s="325"/>
      <c r="R11" s="228"/>
    </row>
    <row r="12" spans="2:29" ht="15.75" x14ac:dyDescent="0.25">
      <c r="B12" s="226" t="str">
        <f>"TAHUN PELAJARAN " &amp; HOME!G7</f>
        <v>TAHUN PELAJARAN 2022/2023</v>
      </c>
      <c r="C12" s="226"/>
      <c r="D12" s="226"/>
      <c r="E12" s="226"/>
      <c r="F12" s="226"/>
      <c r="G12" s="226"/>
      <c r="H12" s="226"/>
      <c r="I12" s="226"/>
      <c r="J12" s="226"/>
      <c r="K12" s="226"/>
      <c r="L12" s="226"/>
      <c r="M12" s="226"/>
      <c r="O12" s="22"/>
      <c r="P12" s="325" t="s">
        <v>71</v>
      </c>
      <c r="Q12" s="325"/>
      <c r="R12" s="228">
        <f>COUNTA(NOMINATIF!C6:C40)</f>
        <v>20</v>
      </c>
    </row>
    <row r="13" spans="2:29" ht="8.25" customHeight="1" x14ac:dyDescent="0.25">
      <c r="B13" s="16"/>
      <c r="C13" s="4"/>
      <c r="D13" s="4"/>
      <c r="E13" s="4"/>
      <c r="F13" s="4"/>
      <c r="G13" s="4"/>
      <c r="H13" s="4"/>
      <c r="I13" s="4"/>
      <c r="J13" s="4"/>
      <c r="K13" s="4"/>
      <c r="L13" s="4"/>
      <c r="M13" s="4"/>
      <c r="O13" s="22"/>
      <c r="P13" s="325"/>
      <c r="Q13" s="325"/>
      <c r="R13" s="228"/>
    </row>
    <row r="14" spans="2:29" ht="15.75" x14ac:dyDescent="0.25">
      <c r="B14" s="224" t="s">
        <v>18</v>
      </c>
      <c r="C14" s="224"/>
      <c r="D14" s="1" t="s">
        <v>6</v>
      </c>
      <c r="E14" s="229" t="str">
        <f>VLOOKUP(R9,'L X RPL'!$B$9:$BI$43,2)</f>
        <v>AFMALA INSAN QOIRUNISA</v>
      </c>
      <c r="F14" s="229"/>
      <c r="G14" s="18"/>
      <c r="H14" s="1" t="s">
        <v>63</v>
      </c>
      <c r="I14" t="s">
        <v>6</v>
      </c>
      <c r="J14" s="225" t="str">
        <f>HOME!G9</f>
        <v>Teknik Komputer dan Informatika</v>
      </c>
      <c r="K14" s="225"/>
      <c r="L14" s="225"/>
      <c r="M14" s="225"/>
      <c r="O14" s="22"/>
      <c r="P14" s="325"/>
      <c r="Q14" s="325"/>
      <c r="R14" s="228"/>
    </row>
    <row r="15" spans="2:29" ht="15.75" x14ac:dyDescent="0.25">
      <c r="B15" s="224" t="s">
        <v>19</v>
      </c>
      <c r="C15" s="224"/>
      <c r="D15" s="1" t="s">
        <v>6</v>
      </c>
      <c r="E15" s="224" t="str">
        <f>VLOOKUP(R9,'L X RPL'!$B$9:$BI$43,3) &amp; "/" &amp; VLOOKUP(R9,'L X RPL'!$B$9:$BI$43,4)</f>
        <v>4020/0059023845</v>
      </c>
      <c r="F15" s="224"/>
      <c r="G15" s="17"/>
      <c r="H15" s="1" t="s">
        <v>10</v>
      </c>
      <c r="I15" t="s">
        <v>6</v>
      </c>
      <c r="J15" s="225" t="str">
        <f>ID!G7</f>
        <v>Akuntansi dan Keuangan Lembaga</v>
      </c>
      <c r="K15" s="225"/>
      <c r="L15" s="225"/>
      <c r="M15" s="225"/>
      <c r="O15" s="22"/>
      <c r="R15" s="23"/>
    </row>
    <row r="16" spans="2:29" ht="15.75" x14ac:dyDescent="0.25">
      <c r="B16" s="224" t="s">
        <v>9</v>
      </c>
      <c r="C16" s="224"/>
      <c r="D16" s="1" t="s">
        <v>6</v>
      </c>
      <c r="E16" s="224" t="str">
        <f>ID!G8</f>
        <v>XII AKL 1</v>
      </c>
      <c r="F16" s="224"/>
      <c r="G16" s="17"/>
      <c r="H16" s="1" t="s">
        <v>20</v>
      </c>
      <c r="I16" t="s">
        <v>6</v>
      </c>
      <c r="J16" s="225" t="str">
        <f>ID!G9</f>
        <v>4/GENAP</v>
      </c>
      <c r="K16" s="225"/>
      <c r="L16" s="225"/>
      <c r="M16" s="225"/>
      <c r="O16" s="22"/>
      <c r="R16" s="23"/>
    </row>
    <row r="17" spans="2:19" s="12" customFormat="1" ht="15" x14ac:dyDescent="0.25">
      <c r="B17"/>
      <c r="C17"/>
      <c r="D17"/>
      <c r="E17"/>
      <c r="F17"/>
      <c r="G17"/>
      <c r="H17"/>
      <c r="I17"/>
      <c r="J17"/>
      <c r="K17"/>
      <c r="L17"/>
      <c r="M17"/>
      <c r="N17"/>
      <c r="O17" s="22"/>
      <c r="P17"/>
      <c r="Q17"/>
      <c r="R17" s="23"/>
      <c r="S17"/>
    </row>
    <row r="18" spans="2:19" s="12" customFormat="1" ht="31.5" customHeight="1" x14ac:dyDescent="0.25">
      <c r="B18" s="15" t="s">
        <v>32</v>
      </c>
      <c r="C18" s="190" t="s">
        <v>33</v>
      </c>
      <c r="D18" s="190"/>
      <c r="E18" s="190"/>
      <c r="F18" s="222" t="s">
        <v>34</v>
      </c>
      <c r="G18" s="223"/>
      <c r="H18" s="222" t="s">
        <v>35</v>
      </c>
      <c r="I18" s="223"/>
      <c r="J18" s="222" t="s">
        <v>66</v>
      </c>
      <c r="K18" s="223"/>
      <c r="L18" s="15" t="s">
        <v>98</v>
      </c>
      <c r="M18" s="15" t="s">
        <v>36</v>
      </c>
      <c r="N18"/>
      <c r="O18" s="22"/>
      <c r="P18"/>
      <c r="Q18"/>
      <c r="R18" s="23"/>
      <c r="S18"/>
    </row>
    <row r="19" spans="2:19" s="12" customFormat="1" ht="15.75" x14ac:dyDescent="0.25">
      <c r="B19" s="188" t="s">
        <v>37</v>
      </c>
      <c r="C19" s="188"/>
      <c r="D19" s="188"/>
      <c r="E19" s="188"/>
      <c r="F19" s="188"/>
      <c r="G19" s="188"/>
      <c r="H19" s="188"/>
      <c r="I19" s="188"/>
      <c r="J19" s="188"/>
      <c r="K19" s="188"/>
      <c r="L19" s="188"/>
      <c r="M19" s="188"/>
      <c r="N19"/>
      <c r="O19" s="22"/>
      <c r="P19"/>
      <c r="Q19"/>
      <c r="R19" s="23"/>
      <c r="S19"/>
    </row>
    <row r="20" spans="2:19" s="12" customFormat="1" ht="15.75" customHeight="1" x14ac:dyDescent="0.25">
      <c r="B20" s="11">
        <v>1</v>
      </c>
      <c r="C20" s="189" t="s">
        <v>38</v>
      </c>
      <c r="D20" s="189"/>
      <c r="E20" s="189"/>
      <c r="F20" s="209">
        <f>'MP X RPL'!G7</f>
        <v>60</v>
      </c>
      <c r="G20" s="210"/>
      <c r="H20" s="211">
        <f>VLOOKUP(R9,'L X RPL'!$B$9:$BI$43,5)</f>
        <v>0</v>
      </c>
      <c r="I20" s="212"/>
      <c r="J20" s="211">
        <f>VLOOKUP(R9,'L X RPL'!$B$9:$BI$43,6)</f>
        <v>0</v>
      </c>
      <c r="K20" s="212"/>
      <c r="L20" s="14">
        <f>IF(J20=0,H20,AVERAGE(H20:K20))</f>
        <v>0</v>
      </c>
      <c r="M20" s="14" t="str">
        <f t="shared" ref="M20:M25" si="0">IF(F20=60,IF(AND(L20&gt;$O$25,L20&lt;$P$25),$R$25,IF(AND(L20&gt;=$O$26,L20&lt;=$P$26),$R$26,IF(AND(L20&gt;=$O$27,L20&lt;=$P$27),$R$27,IF(AND(L20&gt;=$O$28,L20&lt;=$P$28),$R$28,IF(AND(L20&gt;=$O$29,L20&lt;=$P$29),$R$29,IF(AND(L20&gt;=$O$30,L20&lt;=$P$30),$R$30,IF(AND(L20&gt;=$O$31,L20&lt;=$P$31),$R$31,IF(AND(L20&gt;=$O$32,L20&lt;$P$32),$R$32,IF(AND(L20&gt;$O$33,L20&lt;$P$33),$R$33,IF(AND(L20&lt;=$P$34),$R$34,0)))))))))),IF(F20=70,IF(AND(L20&gt;$O$38,L20&lt;$P$38),$R$38,IF(AND(L20&gt;=$O$39,L20&lt;=$P$39),$R$39,IF(AND(L20&gt;=$O$40,L20&lt;=$P$40),$R$40,IF(AND(L20&gt;=$O$41,L20&lt;=$P$41),$R$41,IF(AND(L20&gt;=$O$42,L20&lt;=$P$42),$R$42,IF(AND(L20&gt;=$O$43,L20&lt;=$P$43),$R$43,IF(AND(L20&gt;=$O$44,L20&lt;=$P$44),$R$44,IF(AND(L20&gt;=$O$45,L20&lt;$P$45),$R$45,IF(AND(L20&gt;$O$46,L20&lt;$P$46),$R$46,IF(AND(L20&lt;=$P$47),$R$47,0))))))))))))</f>
        <v>D</v>
      </c>
      <c r="N20"/>
      <c r="O20" s="22"/>
      <c r="P20"/>
      <c r="Q20"/>
      <c r="R20" s="23"/>
      <c r="S20"/>
    </row>
    <row r="21" spans="2:19" s="12" customFormat="1" ht="16.5" customHeight="1" thickBot="1" x14ac:dyDescent="0.3">
      <c r="B21" s="11">
        <v>2</v>
      </c>
      <c r="C21" s="189" t="s">
        <v>39</v>
      </c>
      <c r="D21" s="189"/>
      <c r="E21" s="189"/>
      <c r="F21" s="209">
        <f>'MP X RPL'!G8</f>
        <v>60</v>
      </c>
      <c r="G21" s="210"/>
      <c r="H21" s="211">
        <f>VLOOKUP(R9,'L X RPL'!$B$9:$BI$43,8)</f>
        <v>0</v>
      </c>
      <c r="I21" s="212"/>
      <c r="J21" s="211">
        <f>VLOOKUP(R9,'L X RPL'!$B$9:$BI$43,9)</f>
        <v>0</v>
      </c>
      <c r="K21" s="212"/>
      <c r="L21" s="14">
        <f t="shared" ref="L21:L25" si="1">IF(J21=0,H21,AVERAGE(H21:K21))</f>
        <v>0</v>
      </c>
      <c r="M21" s="14" t="str">
        <f t="shared" si="0"/>
        <v>D</v>
      </c>
      <c r="N21"/>
      <c r="O21" s="25"/>
      <c r="P21" s="26"/>
      <c r="Q21" s="26"/>
      <c r="R21" s="27"/>
      <c r="S21"/>
    </row>
    <row r="22" spans="2:19" s="12" customFormat="1" ht="16.5" thickBot="1" x14ac:dyDescent="0.3">
      <c r="B22" s="11">
        <v>3</v>
      </c>
      <c r="C22" s="189" t="s">
        <v>40</v>
      </c>
      <c r="D22" s="189"/>
      <c r="E22" s="189"/>
      <c r="F22" s="209">
        <f>'MP X RPL'!G9</f>
        <v>60</v>
      </c>
      <c r="G22" s="210"/>
      <c r="H22" s="211">
        <f>VLOOKUP(R9,'L X RPL'!$B$9:$BI$43,11)</f>
        <v>0</v>
      </c>
      <c r="I22" s="212"/>
      <c r="J22" s="211">
        <f>VLOOKUP(R9,'L X RPL'!$B$9:$BI$43,12)</f>
        <v>0</v>
      </c>
      <c r="K22" s="212"/>
      <c r="L22" s="14">
        <f t="shared" si="1"/>
        <v>0</v>
      </c>
      <c r="M22" s="14" t="str">
        <f t="shared" si="0"/>
        <v>D</v>
      </c>
      <c r="N22"/>
      <c r="O22"/>
      <c r="P22"/>
      <c r="Q22"/>
      <c r="R22"/>
      <c r="S22"/>
    </row>
    <row r="23" spans="2:19" s="12" customFormat="1" ht="15.75" x14ac:dyDescent="0.25">
      <c r="B23" s="11">
        <v>4</v>
      </c>
      <c r="C23" s="187" t="s">
        <v>41</v>
      </c>
      <c r="D23" s="187"/>
      <c r="E23" s="187"/>
      <c r="F23" s="209">
        <f>'MP X RPL'!G10</f>
        <v>60</v>
      </c>
      <c r="G23" s="210"/>
      <c r="H23" s="211">
        <f>VLOOKUP(R9,'L X RPL'!$B$9:$BI$43,14)</f>
        <v>0</v>
      </c>
      <c r="I23" s="212"/>
      <c r="J23" s="211">
        <f>VLOOKUP(R9,'L X RPL'!$B$9:$BI$43,15)</f>
        <v>0</v>
      </c>
      <c r="K23" s="212"/>
      <c r="L23" s="14">
        <f t="shared" si="1"/>
        <v>0</v>
      </c>
      <c r="M23" s="14" t="str">
        <f t="shared" si="0"/>
        <v>D</v>
      </c>
      <c r="N23"/>
      <c r="O23" s="320" t="s">
        <v>139</v>
      </c>
      <c r="P23" s="323"/>
      <c r="Q23" s="323"/>
      <c r="R23" s="324"/>
      <c r="S23"/>
    </row>
    <row r="24" spans="2:19" s="12" customFormat="1" ht="16.5" thickBot="1" x14ac:dyDescent="0.3">
      <c r="B24" s="11">
        <v>5</v>
      </c>
      <c r="C24" s="187" t="s">
        <v>42</v>
      </c>
      <c r="D24" s="187"/>
      <c r="E24" s="187"/>
      <c r="F24" s="209">
        <f>'MP X RPL'!G11</f>
        <v>60</v>
      </c>
      <c r="G24" s="210"/>
      <c r="H24" s="211">
        <f>VLOOKUP(R9,'L X RPL'!$B$9:$BI$43,17)</f>
        <v>0</v>
      </c>
      <c r="I24" s="212"/>
      <c r="J24" s="211">
        <f>VLOOKUP(R9,'L X RPL'!$B$9:$BI$43,18)</f>
        <v>0</v>
      </c>
      <c r="K24" s="212"/>
      <c r="L24" s="14">
        <f t="shared" si="1"/>
        <v>0</v>
      </c>
      <c r="M24" s="14" t="str">
        <f t="shared" si="0"/>
        <v>D</v>
      </c>
      <c r="N24"/>
      <c r="O24" s="48" t="s">
        <v>141</v>
      </c>
      <c r="P24" s="49" t="s">
        <v>142</v>
      </c>
      <c r="Q24" s="49"/>
      <c r="R24" s="50" t="s">
        <v>138</v>
      </c>
      <c r="S24"/>
    </row>
    <row r="25" spans="2:19" s="12" customFormat="1" ht="15.75" x14ac:dyDescent="0.25">
      <c r="B25" s="11">
        <v>6</v>
      </c>
      <c r="C25" s="187" t="s">
        <v>43</v>
      </c>
      <c r="D25" s="187"/>
      <c r="E25" s="187"/>
      <c r="F25" s="209">
        <f>'MP X RPL'!G12</f>
        <v>60</v>
      </c>
      <c r="G25" s="210"/>
      <c r="H25" s="211">
        <f>VLOOKUP(R9,'L X RPL'!$B$9:$BI$43,20)</f>
        <v>0</v>
      </c>
      <c r="I25" s="212"/>
      <c r="J25" s="211">
        <f>VLOOKUP(R9,'L X RPL'!$B$9:$BI$43,21)</f>
        <v>0</v>
      </c>
      <c r="K25" s="212"/>
      <c r="L25" s="14">
        <f t="shared" si="1"/>
        <v>0</v>
      </c>
      <c r="M25" s="14" t="str">
        <f t="shared" si="0"/>
        <v>D</v>
      </c>
      <c r="N25"/>
      <c r="O25" s="40">
        <v>95</v>
      </c>
      <c r="P25" s="41">
        <v>100</v>
      </c>
      <c r="Q25" s="45" t="s">
        <v>6</v>
      </c>
      <c r="R25" s="51" t="s">
        <v>137</v>
      </c>
      <c r="S25"/>
    </row>
    <row r="26" spans="2:19" s="12" customFormat="1" ht="15.75" x14ac:dyDescent="0.25">
      <c r="B26" s="188" t="s">
        <v>44</v>
      </c>
      <c r="C26" s="188"/>
      <c r="D26" s="188"/>
      <c r="E26" s="188"/>
      <c r="F26" s="188"/>
      <c r="G26" s="188"/>
      <c r="H26" s="188"/>
      <c r="I26" s="188"/>
      <c r="J26" s="188"/>
      <c r="K26" s="188"/>
      <c r="L26" s="188"/>
      <c r="M26" s="188"/>
      <c r="N26"/>
      <c r="O26" s="42">
        <v>90</v>
      </c>
      <c r="P26" s="110">
        <v>94.99</v>
      </c>
      <c r="Q26" s="47" t="s">
        <v>6</v>
      </c>
      <c r="R26" s="52" t="s">
        <v>136</v>
      </c>
      <c r="S26"/>
    </row>
    <row r="27" spans="2:19" s="12" customFormat="1" ht="15.75" customHeight="1" x14ac:dyDescent="0.25">
      <c r="B27" s="13">
        <v>1</v>
      </c>
      <c r="C27" s="187" t="s">
        <v>45</v>
      </c>
      <c r="D27" s="187"/>
      <c r="E27" s="187"/>
      <c r="F27" s="209">
        <f>'MP X RPL'!G14</f>
        <v>70</v>
      </c>
      <c r="G27" s="210"/>
      <c r="H27" s="211">
        <f>VLOOKUP(R9,'L X RPL'!$B$9:$BI$43,23)</f>
        <v>0</v>
      </c>
      <c r="I27" s="212"/>
      <c r="J27" s="211">
        <f>VLOOKUP(R9,'L X RPL'!$B$9:$BI$43,24)</f>
        <v>0</v>
      </c>
      <c r="K27" s="212"/>
      <c r="L27" s="14">
        <f>IF(J27=0,H27,AVERAGE(H27:K27))</f>
        <v>0</v>
      </c>
      <c r="M27" s="14" t="str">
        <f>IF(F27=60,IF(AND(L27&gt;$O$25,L27&lt;$P$25),$R$25,IF(AND(L27&gt;=$O$26,L27&lt;=$P$26),$R$26,IF(AND(L27&gt;=$O$27,L27&lt;=$P$27),$R$27,IF(AND(L27&gt;=$O$28,L27&lt;=$P$28),$R$28,IF(AND(L27&gt;=$O$29,L27&lt;=$P$29),$R$29,IF(AND(L27&gt;=$O$30,L27&lt;=$P$30),$R$30,IF(AND(L27&gt;=$O$31,L27&lt;=$P$31),$R$31,IF(AND(L27&gt;=$O$32,L27&lt;$P$32),$R$32,IF(AND(L27&gt;$O$33,L27&lt;$P$33),$R$33,IF(AND(L27&lt;=$P$34),$R$34,0)))))))))),IF(F27=70,IF(AND(L27&gt;$O$38,L27&lt;$P$38),$R$38,IF(AND(L27&gt;=$O$39,L27&lt;=$P$39),$R$39,IF(AND(L27&gt;=$O$40,L27&lt;=$P$40),$R$40,IF(AND(L27&gt;=$O$41,L27&lt;=$P$41),$R$41,IF(AND(L27&gt;=$O$42,L27&lt;=$P$42),$R$42,IF(AND(L27&gt;=$O$43,L27&lt;=$P$43),$R$43,IF(AND(L27&gt;=$O$44,L27&lt;=$P$44),$R$44,IF(AND(L27&gt;=$O$45,L27&lt;$P$45),$R$45,IF(AND(L27&gt;$O$46,L27&lt;$P$46),$R$46,IF(AND(L27&lt;=$P$47),$R$47,0))))))))))))</f>
        <v>D</v>
      </c>
      <c r="N27"/>
      <c r="O27" s="42">
        <v>85</v>
      </c>
      <c r="P27" s="110">
        <v>89.99</v>
      </c>
      <c r="Q27" s="47" t="s">
        <v>6</v>
      </c>
      <c r="R27" s="52" t="s">
        <v>135</v>
      </c>
      <c r="S27"/>
    </row>
    <row r="28" spans="2:19" s="12" customFormat="1" ht="15.75" x14ac:dyDescent="0.25">
      <c r="B28" s="13">
        <v>2</v>
      </c>
      <c r="C28" s="187" t="s">
        <v>46</v>
      </c>
      <c r="D28" s="187"/>
      <c r="E28" s="187"/>
      <c r="F28" s="209">
        <f>'MP X RPL'!G15</f>
        <v>60</v>
      </c>
      <c r="G28" s="210"/>
      <c r="H28" s="211">
        <f>VLOOKUP(R9,'L X RPL'!$B$9:$BI$43,26)</f>
        <v>0</v>
      </c>
      <c r="I28" s="212"/>
      <c r="J28" s="211">
        <f>VLOOKUP(R9,'L X RPL'!$B$9:$BI$43,27)</f>
        <v>0</v>
      </c>
      <c r="K28" s="212"/>
      <c r="L28" s="14">
        <f t="shared" ref="L28:L30" si="2">IF(J28=0,H28,AVERAGE(H28:K28))</f>
        <v>0</v>
      </c>
      <c r="M28" s="14" t="str">
        <f>IF(F28=60,IF(AND(L28&gt;$O$25,L28&lt;$P$25),$R$25,IF(AND(L28&gt;=$O$26,L28&lt;=$P$26),$R$26,IF(AND(L28&gt;=$O$27,L28&lt;=$P$27),$R$27,IF(AND(L28&gt;=$O$28,L28&lt;=$P$28),$R$28,IF(AND(L28&gt;=$O$29,L28&lt;=$P$29),$R$29,IF(AND(L28&gt;=$O$30,L28&lt;=$P$30),$R$30,IF(AND(L28&gt;=$O$31,L28&lt;=$P$31),$R$31,IF(AND(L28&gt;=$O$32,L28&lt;$P$32),$R$32,IF(AND(L28&gt;$O$33,L28&lt;$P$33),$R$33,IF(AND(L28&lt;=$P$34),$R$34,0)))))))))),IF(F28=70,IF(AND(L28&gt;$O$38,L28&lt;$P$38),$R$38,IF(AND(L28&gt;=$O$39,L28&lt;=$P$39),$R$39,IF(AND(L28&gt;=$O$40,L28&lt;=$P$40),$R$40,IF(AND(L28&gt;=$O$41,L28&lt;=$P$41),$R$41,IF(AND(L28&gt;=$O$42,L28&lt;=$P$42),$R$42,IF(AND(L28&gt;=$O$43,L28&lt;=$P$43),$R$43,IF(AND(L28&gt;=$O$44,L28&lt;=$P$44),$R$44,IF(AND(L28&gt;=$O$45,L28&lt;$P$45),$R$45,IF(AND(L28&gt;$O$46,L28&lt;$P$46),$R$46,IF(AND(L28&lt;=$P$47),$R$47,0))))))))))))</f>
        <v>D</v>
      </c>
      <c r="N28"/>
      <c r="O28" s="42">
        <v>80</v>
      </c>
      <c r="P28" s="110">
        <v>84.99</v>
      </c>
      <c r="Q28" s="47" t="s">
        <v>6</v>
      </c>
      <c r="R28" s="52" t="s">
        <v>134</v>
      </c>
      <c r="S28"/>
    </row>
    <row r="29" spans="2:19" s="12" customFormat="1" ht="15.75" x14ac:dyDescent="0.25">
      <c r="B29" s="13">
        <v>3</v>
      </c>
      <c r="C29" s="187" t="s">
        <v>47</v>
      </c>
      <c r="D29" s="187"/>
      <c r="E29" s="187"/>
      <c r="F29" s="209">
        <f>'MP X RPL'!G16</f>
        <v>60</v>
      </c>
      <c r="G29" s="210"/>
      <c r="H29" s="211">
        <f>VLOOKUP(R9,'L X RPL'!$B$9:$BI$43,29)</f>
        <v>0</v>
      </c>
      <c r="I29" s="212"/>
      <c r="J29" s="211">
        <f>VLOOKUP(R9,'L X RPL'!$B$9:$BI$43,30)</f>
        <v>0</v>
      </c>
      <c r="K29" s="212"/>
      <c r="L29" s="14">
        <f t="shared" si="2"/>
        <v>0</v>
      </c>
      <c r="M29" s="14" t="str">
        <f>IF(F29=60,IF(AND(L29&gt;$O$25,L29&lt;$P$25),$R$25,IF(AND(L29&gt;=$O$26,L29&lt;=$P$26),$R$26,IF(AND(L29&gt;=$O$27,L29&lt;=$P$27),$R$27,IF(AND(L29&gt;=$O$28,L29&lt;=$P$28),$R$28,IF(AND(L29&gt;=$O$29,L29&lt;=$P$29),$R$29,IF(AND(L29&gt;=$O$30,L29&lt;=$P$30),$R$30,IF(AND(L29&gt;=$O$31,L29&lt;=$P$31),$R$31,IF(AND(L29&gt;=$O$32,L29&lt;$P$32),$R$32,IF(AND(L29&gt;$O$33,L29&lt;$P$33),$R$33,IF(AND(L29&lt;=$P$34),$R$34,0)))))))))),IF(F29=70,IF(AND(L29&gt;$O$38,L29&lt;$P$38),$R$38,IF(AND(L29&gt;=$O$39,L29&lt;=$P$39),$R$39,IF(AND(L29&gt;=$O$40,L29&lt;=$P$40),$R$40,IF(AND(L29&gt;=$O$41,L29&lt;=$P$41),$R$41,IF(AND(L29&gt;=$O$42,L29&lt;=$P$42),$R$42,IF(AND(L29&gt;=$O$43,L29&lt;=$P$43),$R$43,IF(AND(L29&gt;=$O$44,L29&lt;=$P$44),$R$44,IF(AND(L29&gt;=$O$45,L29&lt;$P$45),$R$45,IF(AND(L29&gt;$O$46,L29&lt;$P$46),$R$46,IF(AND(L29&lt;=$P$47),$R$47,0))))))))))))</f>
        <v>D</v>
      </c>
      <c r="N29"/>
      <c r="O29" s="42">
        <v>75</v>
      </c>
      <c r="P29" s="110">
        <v>79.989999999999995</v>
      </c>
      <c r="Q29" s="47" t="s">
        <v>6</v>
      </c>
      <c r="R29" s="52" t="s">
        <v>118</v>
      </c>
      <c r="S29"/>
    </row>
    <row r="30" spans="2:19" s="12" customFormat="1" ht="15.75" x14ac:dyDescent="0.25">
      <c r="B30" s="13">
        <v>4</v>
      </c>
      <c r="C30" s="187" t="s">
        <v>48</v>
      </c>
      <c r="D30" s="187"/>
      <c r="E30" s="187"/>
      <c r="F30" s="209">
        <f>'MP X RPL'!G17</f>
        <v>60</v>
      </c>
      <c r="G30" s="210"/>
      <c r="H30" s="211">
        <f>VLOOKUP(R9,'L X RPL'!$B$9:$BI$43,32)</f>
        <v>0</v>
      </c>
      <c r="I30" s="212"/>
      <c r="J30" s="211">
        <f>VLOOKUP(R9,'L X RPL'!$B$9:$BI$43,33)</f>
        <v>0</v>
      </c>
      <c r="K30" s="212"/>
      <c r="L30" s="14">
        <f t="shared" si="2"/>
        <v>0</v>
      </c>
      <c r="M30" s="14" t="str">
        <f>IF(F30=60,IF(AND(L30&gt;$O$25,L30&lt;$P$25),$R$25,IF(AND(L30&gt;=$O$26,L30&lt;=$P$26),$R$26,IF(AND(L30&gt;=$O$27,L30&lt;=$P$27),$R$27,IF(AND(L30&gt;=$O$28,L30&lt;=$P$28),$R$28,IF(AND(L30&gt;=$O$29,L30&lt;=$P$29),$R$29,IF(AND(L30&gt;=$O$30,L30&lt;=$P$30),$R$30,IF(AND(L30&gt;=$O$31,L30&lt;=$P$31),$R$31,IF(AND(L30&gt;=$O$32,L30&lt;$P$32),$R$32,IF(AND(L30&gt;$O$33,L30&lt;$P$33),$R$33,IF(AND(L30&lt;=$P$34),$R$34,0)))))))))),IF(F30=70,IF(AND(L30&gt;$O$38,L30&lt;$P$38),$R$38,IF(AND(L30&gt;=$O$39,L30&lt;=$P$39),$R$39,IF(AND(L30&gt;=$O$40,L30&lt;=$P$40),$R$40,IF(AND(L30&gt;=$O$41,L30&lt;=$P$41),$R$41,IF(AND(L30&gt;=$O$42,L30&lt;=$P$42),$R$42,IF(AND(L30&gt;=$O$43,L30&lt;=$P$43),$R$43,IF(AND(L30&gt;=$O$44,L30&lt;=$P$44),$R$44,IF(AND(L30&gt;=$O$45,L30&lt;$P$45),$R$45,IF(AND(L30&gt;$O$46,L30&lt;$P$46),$R$46,IF(AND(L30&lt;=$P$47),$R$47,0))))))))))))</f>
        <v>D</v>
      </c>
      <c r="N30"/>
      <c r="O30" s="42">
        <v>70</v>
      </c>
      <c r="P30" s="110">
        <v>74.989999999999995</v>
      </c>
      <c r="Q30" s="47" t="s">
        <v>6</v>
      </c>
      <c r="R30" s="52" t="s">
        <v>133</v>
      </c>
      <c r="S30"/>
    </row>
    <row r="31" spans="2:19" s="12" customFormat="1" ht="15.75" x14ac:dyDescent="0.25">
      <c r="B31" s="188" t="s">
        <v>49</v>
      </c>
      <c r="C31" s="188"/>
      <c r="D31" s="188"/>
      <c r="E31" s="188"/>
      <c r="F31" s="188"/>
      <c r="G31" s="188"/>
      <c r="H31" s="188"/>
      <c r="I31" s="188"/>
      <c r="J31" s="188"/>
      <c r="K31" s="188"/>
      <c r="L31" s="188"/>
      <c r="M31" s="188"/>
      <c r="N31"/>
      <c r="O31" s="42">
        <v>65</v>
      </c>
      <c r="P31" s="110">
        <v>69.989999999999995</v>
      </c>
      <c r="Q31" s="47" t="s">
        <v>6</v>
      </c>
      <c r="R31" s="52" t="s">
        <v>132</v>
      </c>
      <c r="S31"/>
    </row>
    <row r="32" spans="2:19" s="12" customFormat="1" ht="15.75" x14ac:dyDescent="0.25">
      <c r="B32" s="188" t="s">
        <v>50</v>
      </c>
      <c r="C32" s="188"/>
      <c r="D32" s="188"/>
      <c r="E32" s="188"/>
      <c r="F32" s="188"/>
      <c r="G32" s="188"/>
      <c r="H32" s="188"/>
      <c r="I32" s="188"/>
      <c r="J32" s="188"/>
      <c r="K32" s="188"/>
      <c r="L32" s="188"/>
      <c r="M32" s="188"/>
      <c r="N32"/>
      <c r="O32" s="42">
        <v>60</v>
      </c>
      <c r="P32" s="110">
        <v>64.989999999999995</v>
      </c>
      <c r="Q32" s="47" t="s">
        <v>6</v>
      </c>
      <c r="R32" s="52" t="s">
        <v>131</v>
      </c>
      <c r="S32"/>
    </row>
    <row r="33" spans="2:18" ht="15.75" customHeight="1" x14ac:dyDescent="0.25">
      <c r="B33" s="13">
        <v>1</v>
      </c>
      <c r="C33" s="187" t="s">
        <v>51</v>
      </c>
      <c r="D33" s="187"/>
      <c r="E33" s="187"/>
      <c r="F33" s="209">
        <f>'MP X RPL'!G20</f>
        <v>60</v>
      </c>
      <c r="G33" s="210"/>
      <c r="H33" s="211">
        <f>VLOOKUP(R9,'L X RPL'!$B$9:$BI$43,35)</f>
        <v>0</v>
      </c>
      <c r="I33" s="212"/>
      <c r="J33" s="211">
        <f>VLOOKUP(R9,'L X RPL'!$B$9:$BI$43,36)</f>
        <v>0</v>
      </c>
      <c r="K33" s="212"/>
      <c r="L33" s="14">
        <f>IF(J33=0,H33,AVERAGE(H33:K33))</f>
        <v>0</v>
      </c>
      <c r="M33" s="14" t="str">
        <f>IF(F33=60,IF(AND(L33&gt;$O$25,L33&lt;$P$25),$R$25,IF(AND(L33&gt;=$O$26,L33&lt;=$P$26),$R$26,IF(AND(L33&gt;=$O$27,L33&lt;=$P$27),$R$27,IF(AND(L33&gt;=$O$28,L33&lt;=$P$28),$R$28,IF(AND(L33&gt;=$O$29,L33&lt;=$P$29),$R$29,IF(AND(L33&gt;=$O$30,L33&lt;=$P$30),$R$30,IF(AND(L33&gt;=$O$31,L33&lt;=$P$31),$R$31,IF(AND(L33&gt;=$O$32,L33&lt;$P$32),$R$32,IF(AND(L33&gt;$O$33,L33&lt;$P$33),$R$33,IF(AND(L33&lt;=$P$34),$R$34,0)))))))))),IF(F33=70,IF(AND(L33&gt;$O$38,L33&lt;$P$38),$R$38,IF(AND(L33&gt;=$O$39,L33&lt;=$P$39),$R$39,IF(AND(L33&gt;=$O$40,L33&lt;=$P$40),$R$40,IF(AND(L33&gt;=$O$41,L33&lt;=$P$41),$R$41,IF(AND(L33&gt;=$O$42,L33&lt;=$P$42),$R$42,IF(AND(L33&gt;=$O$43,L33&lt;=$P$43),$R$43,IF(AND(L33&gt;=$O$44,L33&lt;=$P$44),$R$44,IF(AND(L33&gt;=$O$45,L33&lt;$P$45),$R$45,IF(AND(L33&gt;$O$46,L33&lt;$P$46),$R$46,IF(AND(L33&lt;=$P$47),$R$47,0))))))))))))</f>
        <v>D</v>
      </c>
      <c r="O33" s="42">
        <v>55</v>
      </c>
      <c r="P33" s="110">
        <v>59.99</v>
      </c>
      <c r="Q33" s="47" t="s">
        <v>6</v>
      </c>
      <c r="R33" s="52" t="s">
        <v>130</v>
      </c>
    </row>
    <row r="34" spans="2:18" ht="16.5" thickBot="1" x14ac:dyDescent="0.3">
      <c r="B34" s="13">
        <v>2</v>
      </c>
      <c r="C34" s="183" t="s">
        <v>73</v>
      </c>
      <c r="D34" s="183"/>
      <c r="E34" s="183"/>
      <c r="F34" s="209">
        <f>'MP X RPL'!G21</f>
        <v>60</v>
      </c>
      <c r="G34" s="210"/>
      <c r="H34" s="211">
        <f>VLOOKUP(R9,'L X RPL'!$B$9:$BI$43,38)</f>
        <v>0</v>
      </c>
      <c r="I34" s="212"/>
      <c r="J34" s="211">
        <f>VLOOKUP(R9,'L X RPL'!$B$9:$BI$43,39)</f>
        <v>0</v>
      </c>
      <c r="K34" s="212"/>
      <c r="L34" s="14">
        <f t="shared" ref="L34:L35" si="3">IF(J34=0,H34,AVERAGE(H34:K34))</f>
        <v>0</v>
      </c>
      <c r="M34" s="14" t="str">
        <f>IF(F34=60,IF(AND(L34&gt;$O$25,L34&lt;$P$25),$R$25,IF(AND(L34&gt;=$O$26,L34&lt;=$P$26),$R$26,IF(AND(L34&gt;=$O$27,L34&lt;=$P$27),$R$27,IF(AND(L34&gt;=$O$28,L34&lt;=$P$28),$R$28,IF(AND(L34&gt;=$O$29,L34&lt;=$P$29),$R$29,IF(AND(L34&gt;=$O$30,L34&lt;=$P$30),$R$30,IF(AND(L34&gt;=$O$31,L34&lt;=$P$31),$R$31,IF(AND(L34&gt;=$O$32,L34&lt;$P$32),$R$32,IF(AND(L34&gt;$O$33,L34&lt;$P$33),$R$33,IF(AND(L34&lt;=$P$34),$R$34,0)))))))))),IF(F34=70,IF(AND(L34&gt;$O$38,L34&lt;$P$38),$R$38,IF(AND(L34&gt;=$O$39,L34&lt;=$P$39),$R$39,IF(AND(L34&gt;=$O$40,L34&lt;=$P$40),$R$40,IF(AND(L34&gt;=$O$41,L34&lt;=$P$41),$R$41,IF(AND(L34&gt;=$O$42,L34&lt;=$P$42),$R$42,IF(AND(L34&gt;=$O$43,L34&lt;=$P$43),$R$43,IF(AND(L34&gt;=$O$44,L34&lt;=$P$44),$R$44,IF(AND(L34&gt;=$O$45,L34&lt;$P$45),$R$45,IF(AND(L34&gt;$O$46,L34&lt;$P$46),$R$46,IF(AND(L34&lt;=$P$47),$R$47,0))))))))))))</f>
        <v>D</v>
      </c>
      <c r="O34" s="43">
        <v>50</v>
      </c>
      <c r="P34" s="111">
        <v>54.99</v>
      </c>
      <c r="Q34" s="49" t="s">
        <v>6</v>
      </c>
      <c r="R34" s="50" t="s">
        <v>129</v>
      </c>
    </row>
    <row r="35" spans="2:18" ht="16.5" thickBot="1" x14ac:dyDescent="0.3">
      <c r="B35" s="13">
        <v>3</v>
      </c>
      <c r="C35" s="183" t="s">
        <v>74</v>
      </c>
      <c r="D35" s="183"/>
      <c r="E35" s="183"/>
      <c r="F35" s="209">
        <f>'MP X RPL'!G22</f>
        <v>60</v>
      </c>
      <c r="G35" s="210"/>
      <c r="H35" s="211">
        <f>VLOOKUP(R9,'L X RPL'!$B$9:$BI$43,41)</f>
        <v>0</v>
      </c>
      <c r="I35" s="212"/>
      <c r="J35" s="211">
        <f>VLOOKUP(R9,'L X RPL'!$B$9:$BI$43,42)</f>
        <v>0</v>
      </c>
      <c r="K35" s="212"/>
      <c r="L35" s="14">
        <f t="shared" si="3"/>
        <v>0</v>
      </c>
      <c r="M35" s="14" t="str">
        <f>IF(F35=60,IF(AND(L35&gt;$O$25,L35&lt;$P$25),$R$25,IF(AND(L35&gt;=$O$26,L35&lt;=$P$26),$R$26,IF(AND(L35&gt;=$O$27,L35&lt;=$P$27),$R$27,IF(AND(L35&gt;=$O$28,L35&lt;=$P$28),$R$28,IF(AND(L35&gt;=$O$29,L35&lt;=$P$29),$R$29,IF(AND(L35&gt;=$O$30,L35&lt;=$P$30),$R$30,IF(AND(L35&gt;=$O$31,L35&lt;=$P$31),$R$31,IF(AND(L35&gt;=$O$32,L35&lt;$P$32),$R$32,IF(AND(L35&gt;$O$33,L35&lt;$P$33),$R$33,IF(AND(L35&lt;=$P$34),$R$34,0)))))))))),IF(F35=70,IF(AND(L35&gt;$O$38,L35&lt;$P$38),$R$38,IF(AND(L35&gt;=$O$39,L35&lt;=$P$39),$R$39,IF(AND(L35&gt;=$O$40,L35&lt;=$P$40),$R$40,IF(AND(L35&gt;=$O$41,L35&lt;=$P$41),$R$41,IF(AND(L35&gt;=$O$42,L35&lt;=$P$42),$R$42,IF(AND(L35&gt;=$O$43,L35&lt;=$P$43),$R$43,IF(AND(L35&gt;=$O$44,L35&lt;=$P$44),$R$44,IF(AND(L35&gt;=$O$45,L35&lt;$P$45),$R$45,IF(AND(L35&gt;$O$46,L35&lt;$P$46),$R$46,IF(AND(L35&lt;=$P$47),$R$47,0))))))))))))</f>
        <v>D</v>
      </c>
      <c r="O35" s="20"/>
      <c r="P35" s="20"/>
      <c r="Q35" s="20"/>
      <c r="R35" s="20"/>
    </row>
    <row r="36" spans="2:18" ht="15.75" x14ac:dyDescent="0.25">
      <c r="B36" s="188" t="s">
        <v>55</v>
      </c>
      <c r="C36" s="188"/>
      <c r="D36" s="188"/>
      <c r="E36" s="188"/>
      <c r="F36" s="188"/>
      <c r="G36" s="188"/>
      <c r="H36" s="188"/>
      <c r="I36" s="188"/>
      <c r="J36" s="188"/>
      <c r="K36" s="188"/>
      <c r="L36" s="188"/>
      <c r="M36" s="188"/>
      <c r="O36" s="320" t="s">
        <v>140</v>
      </c>
      <c r="P36" s="321"/>
      <c r="Q36" s="321"/>
      <c r="R36" s="322"/>
    </row>
    <row r="37" spans="2:18" ht="16.5" thickBot="1" x14ac:dyDescent="0.3">
      <c r="B37" s="13">
        <v>1</v>
      </c>
      <c r="C37" s="183" t="s">
        <v>75</v>
      </c>
      <c r="D37" s="183"/>
      <c r="E37" s="183"/>
      <c r="F37" s="209">
        <f>'MP X RPL'!G24</f>
        <v>70</v>
      </c>
      <c r="G37" s="210"/>
      <c r="H37" s="211">
        <f>VLOOKUP(R9,'L X RPL'!$B$9:$BI$43,44)</f>
        <v>0</v>
      </c>
      <c r="I37" s="212"/>
      <c r="J37" s="211">
        <f>VLOOKUP(R9,'L X RPL'!$B$9:$BI$43,45)</f>
        <v>0</v>
      </c>
      <c r="K37" s="212"/>
      <c r="L37" s="14">
        <f>IF(J37=0,H37,AVERAGE(H37:K37))</f>
        <v>0</v>
      </c>
      <c r="M37" s="14" t="str">
        <f>IF(F37=60,IF(AND(L37&gt;$O$25,L37&lt;$P$25),$R$25,IF(AND(L37&gt;=$O$26,L37&lt;=$P$26),$R$26,IF(AND(L37&gt;=$O$27,L37&lt;=$P$27),$R$27,IF(AND(L37&gt;=$O$28,L37&lt;=$P$28),$R$28,IF(AND(L37&gt;=$O$29,L37&lt;=$P$29),$R$29,IF(AND(L37&gt;=$O$30,L37&lt;=$P$30),$R$30,IF(AND(L37&gt;=$O$31,L37&lt;=$P$31),$R$31,IF(AND(L37&gt;=$O$32,L37&lt;$P$32),$R$32,IF(AND(L37&gt;$O$33,L37&lt;$P$33),$R$33,IF(AND(L37&lt;=$P$34),$R$34,0)))))))))),IF(F37=70,IF(AND(L37&gt;$O$38,L37&lt;$P$38),$R$38,IF(AND(L37&gt;=$O$39,L37&lt;=$P$39),$R$39,IF(AND(L37&gt;=$O$40,L37&lt;=$P$40),$R$40,IF(AND(L37&gt;=$O$41,L37&lt;=$P$41),$R$41,IF(AND(L37&gt;=$O$42,L37&lt;=$P$42),$R$42,IF(AND(L37&gt;=$O$43,L37&lt;=$P$43),$R$43,IF(AND(L37&gt;=$O$44,L37&lt;=$P$44),$R$44,IF(AND(L37&gt;=$O$45,L37&lt;$P$45),$R$45,IF(AND(L37&gt;$O$46,L37&lt;$P$46),$R$46,IF(AND(L37&lt;=$P$47),$R$47,0))))))))))))</f>
        <v>D</v>
      </c>
      <c r="O37" s="48" t="s">
        <v>141</v>
      </c>
      <c r="P37" s="49" t="s">
        <v>142</v>
      </c>
      <c r="Q37" s="49"/>
      <c r="R37" s="50" t="s">
        <v>138</v>
      </c>
    </row>
    <row r="38" spans="2:18" ht="15.75" x14ac:dyDescent="0.25">
      <c r="B38" s="13">
        <v>2</v>
      </c>
      <c r="C38" s="183" t="s">
        <v>77</v>
      </c>
      <c r="D38" s="183"/>
      <c r="E38" s="183"/>
      <c r="F38" s="209">
        <f>'MP X RPL'!G25</f>
        <v>70</v>
      </c>
      <c r="G38" s="210"/>
      <c r="H38" s="211">
        <f>VLOOKUP(R9,'L X RPL'!$B$9:$BI$43,47)</f>
        <v>0</v>
      </c>
      <c r="I38" s="212"/>
      <c r="J38" s="211">
        <f>VLOOKUP(R9,'L X RPL'!$B$9:$BI$43,48)</f>
        <v>0</v>
      </c>
      <c r="K38" s="212"/>
      <c r="L38" s="14">
        <f t="shared" ref="L38:L40" si="4">IF(J38=0,H38,AVERAGE(H38:K38))</f>
        <v>0</v>
      </c>
      <c r="M38" s="14" t="str">
        <f t="shared" ref="M38:M40" si="5">IF(F38=60,IF(AND(L38&gt;$O$25,L38&lt;$P$25),$R$25,IF(AND(L38&gt;=$O$26,L38&lt;=$P$26),$R$26,IF(AND(L38&gt;=$O$27,L38&lt;=$P$27),$R$27,IF(AND(L38&gt;=$O$28,L38&lt;=$P$28),$R$28,IF(AND(L38&gt;=$O$29,L38&lt;=$P$29),$R$29,IF(AND(L38&gt;=$O$30,L38&lt;=$P$30),$R$30,IF(AND(L38&gt;=$O$31,L38&lt;=$P$31),$R$31,IF(AND(L38&gt;=$O$32,L38&lt;$P$32),$R$32,IF(AND(L38&gt;$O$33,L38&lt;$P$33),$R$33,IF(AND(L38&lt;=$P$34),$R$34,0)))))))))),IF(F38=70,IF(AND(L38&gt;$O$38,L38&lt;$P$38),$R$38,IF(AND(L38&gt;=$O$39,L38&lt;=$P$39),$R$39,IF(AND(L38&gt;=$O$40,L38&lt;=$P$40),$R$40,IF(AND(L38&gt;=$O$41,L38&lt;=$P$41),$R$41,IF(AND(L38&gt;=$O$42,L38&lt;=$P$42),$R$42,IF(AND(L38&gt;=$O$43,L38&lt;=$P$43),$R$43,IF(AND(L38&gt;=$O$44,L38&lt;=$P$44),$R$44,IF(AND(L38&gt;=$O$45,L38&lt;$P$45),$R$45,IF(AND(L38&gt;$O$46,L38&lt;$P$46),$R$46,IF(AND(L38&lt;=$P$47),$R$47,0))))))))))))</f>
        <v>D</v>
      </c>
      <c r="O38" s="44">
        <v>98</v>
      </c>
      <c r="P38" s="45">
        <v>100</v>
      </c>
      <c r="Q38" s="45" t="s">
        <v>6</v>
      </c>
      <c r="R38" s="51" t="s">
        <v>137</v>
      </c>
    </row>
    <row r="39" spans="2:18" ht="15.75" x14ac:dyDescent="0.25">
      <c r="B39" s="13">
        <v>3</v>
      </c>
      <c r="C39" s="183" t="s">
        <v>76</v>
      </c>
      <c r="D39" s="183"/>
      <c r="E39" s="183"/>
      <c r="F39" s="209">
        <f>'MP X RPL'!G26</f>
        <v>70</v>
      </c>
      <c r="G39" s="210"/>
      <c r="H39" s="211">
        <f>VLOOKUP(R9,'L X RPL'!$B$9:$BI$43,50)</f>
        <v>0</v>
      </c>
      <c r="I39" s="212"/>
      <c r="J39" s="211">
        <f>VLOOKUP(R9,'L X RPL'!$B$9:$BI$43,51)</f>
        <v>0</v>
      </c>
      <c r="K39" s="212"/>
      <c r="L39" s="14">
        <f t="shared" si="4"/>
        <v>0</v>
      </c>
      <c r="M39" s="14" t="str">
        <f t="shared" si="5"/>
        <v>D</v>
      </c>
      <c r="O39" s="46">
        <v>94</v>
      </c>
      <c r="P39" s="47">
        <v>97.99</v>
      </c>
      <c r="Q39" s="47" t="s">
        <v>6</v>
      </c>
      <c r="R39" s="52" t="s">
        <v>136</v>
      </c>
    </row>
    <row r="40" spans="2:18" ht="15.75" x14ac:dyDescent="0.25">
      <c r="B40" s="13">
        <v>4</v>
      </c>
      <c r="C40" s="319" t="s">
        <v>155</v>
      </c>
      <c r="D40" s="319"/>
      <c r="E40" s="319"/>
      <c r="F40" s="209">
        <f>'MP X RPL'!G27</f>
        <v>70</v>
      </c>
      <c r="G40" s="210"/>
      <c r="H40" s="211">
        <f>VLOOKUP(R9,'L X RPL'!$B$9:$BI$43,53)</f>
        <v>0</v>
      </c>
      <c r="I40" s="212"/>
      <c r="J40" s="90"/>
      <c r="K40" s="91"/>
      <c r="L40" s="14">
        <f t="shared" si="4"/>
        <v>0</v>
      </c>
      <c r="M40" s="14" t="str">
        <f t="shared" si="5"/>
        <v>D</v>
      </c>
      <c r="O40" s="46">
        <v>90</v>
      </c>
      <c r="P40" s="47">
        <v>93.99</v>
      </c>
      <c r="Q40" s="47" t="s">
        <v>6</v>
      </c>
      <c r="R40" s="52" t="s">
        <v>135</v>
      </c>
    </row>
    <row r="41" spans="2:18" ht="15.75" x14ac:dyDescent="0.25">
      <c r="B41" s="213" t="s">
        <v>60</v>
      </c>
      <c r="C41" s="214"/>
      <c r="D41" s="214"/>
      <c r="E41" s="214"/>
      <c r="F41" s="214"/>
      <c r="G41" s="215"/>
      <c r="H41" s="216">
        <f>VLOOKUP(R9,'L X RPL'!$B$9:$BI$43,59)</f>
        <v>0</v>
      </c>
      <c r="I41" s="216"/>
      <c r="J41" s="216"/>
      <c r="K41" s="216"/>
      <c r="L41" s="216"/>
      <c r="M41" s="216"/>
      <c r="O41" s="46">
        <v>86</v>
      </c>
      <c r="P41" s="47">
        <v>89.99</v>
      </c>
      <c r="Q41" s="47" t="s">
        <v>6</v>
      </c>
      <c r="R41" s="52" t="s">
        <v>134</v>
      </c>
    </row>
    <row r="42" spans="2:18" ht="15.75" x14ac:dyDescent="0.25">
      <c r="B42" s="205" t="s">
        <v>61</v>
      </c>
      <c r="C42" s="206"/>
      <c r="D42" s="206"/>
      <c r="E42" s="206"/>
      <c r="F42" s="206"/>
      <c r="G42" s="207"/>
      <c r="H42" s="208">
        <f>VLOOKUP(R9,'L X RPL'!$B$9:$BI$43,60)</f>
        <v>1</v>
      </c>
      <c r="I42" s="208"/>
      <c r="J42" s="208"/>
      <c r="K42" s="208"/>
      <c r="L42" s="208"/>
      <c r="M42" s="208"/>
      <c r="O42" s="46">
        <v>82</v>
      </c>
      <c r="P42" s="47">
        <v>85.99</v>
      </c>
      <c r="Q42" s="47" t="s">
        <v>6</v>
      </c>
      <c r="R42" s="52" t="s">
        <v>118</v>
      </c>
    </row>
    <row r="43" spans="2:18" ht="15.75" x14ac:dyDescent="0.25">
      <c r="B43" s="1"/>
      <c r="C43" s="1"/>
      <c r="D43" s="1"/>
      <c r="E43" s="1"/>
      <c r="F43" s="1"/>
      <c r="G43" s="1"/>
      <c r="H43" s="1"/>
      <c r="I43" s="1"/>
      <c r="J43" s="1"/>
      <c r="K43" s="1"/>
      <c r="L43" s="1"/>
      <c r="M43" s="1"/>
      <c r="O43" s="46">
        <v>78</v>
      </c>
      <c r="P43" s="47">
        <v>81.99</v>
      </c>
      <c r="Q43" s="47" t="s">
        <v>6</v>
      </c>
      <c r="R43" s="52" t="s">
        <v>133</v>
      </c>
    </row>
    <row r="44" spans="2:18" ht="15.75" x14ac:dyDescent="0.25">
      <c r="B44" s="1"/>
      <c r="C44" s="1"/>
      <c r="D44" s="1"/>
      <c r="E44" s="1"/>
      <c r="F44" s="1"/>
      <c r="G44" s="1"/>
      <c r="H44" s="203" t="str">
        <f>ID!G11</f>
        <v>31 MARET 2023</v>
      </c>
      <c r="I44" s="203"/>
      <c r="J44" s="203"/>
      <c r="K44" s="203"/>
      <c r="L44" s="203"/>
      <c r="M44" s="203"/>
      <c r="O44" s="46">
        <v>74</v>
      </c>
      <c r="P44" s="47">
        <v>77.989999999999995</v>
      </c>
      <c r="Q44" s="47" t="s">
        <v>6</v>
      </c>
      <c r="R44" s="52" t="s">
        <v>132</v>
      </c>
    </row>
    <row r="45" spans="2:18" ht="15.75" x14ac:dyDescent="0.25">
      <c r="B45" s="203" t="s">
        <v>67</v>
      </c>
      <c r="C45" s="203"/>
      <c r="D45" s="203"/>
      <c r="E45" s="203"/>
      <c r="F45" s="1"/>
      <c r="G45" s="1"/>
      <c r="H45" s="1"/>
      <c r="I45" s="1"/>
      <c r="J45" s="1"/>
      <c r="K45" s="1"/>
      <c r="L45" s="1"/>
      <c r="M45" s="1"/>
      <c r="O45" s="46">
        <v>70</v>
      </c>
      <c r="P45" s="47">
        <v>73.989999999999995</v>
      </c>
      <c r="Q45" s="47" t="s">
        <v>6</v>
      </c>
      <c r="R45" s="52" t="s">
        <v>131</v>
      </c>
    </row>
    <row r="46" spans="2:18" ht="15.75" x14ac:dyDescent="0.25">
      <c r="B46" s="203" t="str">
        <f>"Kepala " &amp; ID!G5</f>
        <v>Kepala SMK Pancasila 8 Slogohimo</v>
      </c>
      <c r="C46" s="203"/>
      <c r="D46" s="203"/>
      <c r="E46" s="203"/>
      <c r="F46" s="1"/>
      <c r="G46" s="1"/>
      <c r="H46" s="203" t="s">
        <v>62</v>
      </c>
      <c r="I46" s="203"/>
      <c r="J46" s="203"/>
      <c r="K46" s="203"/>
      <c r="L46" s="203"/>
      <c r="M46" s="203"/>
      <c r="O46" s="46">
        <v>65</v>
      </c>
      <c r="P46" s="47">
        <v>69.989999999999995</v>
      </c>
      <c r="Q46" s="47" t="s">
        <v>6</v>
      </c>
      <c r="R46" s="52" t="s">
        <v>130</v>
      </c>
    </row>
    <row r="47" spans="2:18" ht="16.5" thickBot="1" x14ac:dyDescent="0.3">
      <c r="B47" s="1"/>
      <c r="C47" s="1"/>
      <c r="D47" s="1"/>
      <c r="E47" s="1"/>
      <c r="F47" s="1"/>
      <c r="G47" s="1"/>
      <c r="H47" s="203"/>
      <c r="I47" s="203"/>
      <c r="J47" s="203"/>
      <c r="K47" s="203"/>
      <c r="L47" s="203"/>
      <c r="M47" s="203"/>
      <c r="O47" s="48">
        <v>60</v>
      </c>
      <c r="P47" s="49">
        <v>64.989999999999995</v>
      </c>
      <c r="Q47" s="49" t="s">
        <v>6</v>
      </c>
      <c r="R47" s="50" t="s">
        <v>129</v>
      </c>
    </row>
    <row r="48" spans="2:18" ht="15.75" x14ac:dyDescent="0.25">
      <c r="B48" s="1"/>
      <c r="C48" s="1"/>
      <c r="D48" s="1"/>
      <c r="E48" s="1"/>
      <c r="F48" s="1"/>
      <c r="G48" s="1"/>
      <c r="H48" s="203"/>
      <c r="I48" s="203"/>
      <c r="J48" s="203"/>
      <c r="K48" s="203"/>
      <c r="L48" s="203"/>
      <c r="M48" s="203"/>
    </row>
    <row r="49" spans="2:19" ht="15.75" x14ac:dyDescent="0.25">
      <c r="B49" s="1"/>
      <c r="C49" s="1"/>
      <c r="D49" s="1"/>
      <c r="E49" s="1"/>
      <c r="F49" s="1"/>
      <c r="G49" s="1"/>
      <c r="H49" s="203"/>
      <c r="I49" s="203"/>
      <c r="J49" s="203"/>
      <c r="K49" s="203"/>
      <c r="L49" s="203"/>
      <c r="M49" s="203"/>
    </row>
    <row r="50" spans="2:19" s="12" customFormat="1" ht="15.75" x14ac:dyDescent="0.25">
      <c r="B50" s="204" t="str">
        <f>ID!G6</f>
        <v>Sri Rahayu, S.Pd., SE.</v>
      </c>
      <c r="C50" s="204"/>
      <c r="D50" s="204"/>
      <c r="E50" s="204"/>
      <c r="F50" s="1"/>
      <c r="G50" s="1"/>
      <c r="H50" s="204" t="str">
        <f>ID!G10</f>
        <v>SURADI S.Pd.</v>
      </c>
      <c r="I50" s="204"/>
      <c r="J50" s="204"/>
      <c r="K50" s="204"/>
      <c r="L50" s="204"/>
      <c r="M50" s="204"/>
      <c r="N50"/>
      <c r="O50"/>
      <c r="P50"/>
      <c r="Q50"/>
      <c r="R50"/>
      <c r="S50"/>
    </row>
    <row r="51" spans="2:19" s="12" customFormat="1" ht="15.75" x14ac:dyDescent="0.25">
      <c r="B51" s="4"/>
      <c r="C51" s="4"/>
      <c r="D51" s="4"/>
      <c r="E51" s="4"/>
      <c r="F51" s="1"/>
      <c r="G51" s="1"/>
      <c r="H51" s="4"/>
      <c r="I51" s="4"/>
      <c r="J51" s="4"/>
      <c r="K51" s="4"/>
      <c r="L51" s="4"/>
      <c r="M51" s="4"/>
      <c r="N51"/>
      <c r="O51"/>
      <c r="P51"/>
      <c r="Q51"/>
      <c r="R51"/>
      <c r="S51"/>
    </row>
    <row r="52" spans="2:19" s="12" customFormat="1" ht="15.75" x14ac:dyDescent="0.25">
      <c r="B52" s="4"/>
      <c r="C52" s="4"/>
      <c r="D52" s="4"/>
      <c r="E52" s="4"/>
      <c r="F52" s="1"/>
      <c r="G52" s="1"/>
      <c r="H52" s="4"/>
      <c r="I52" s="4"/>
      <c r="J52" s="4"/>
      <c r="K52" s="4"/>
      <c r="L52" s="4"/>
      <c r="M52" s="4"/>
      <c r="N52"/>
      <c r="O52"/>
      <c r="P52"/>
      <c r="Q52"/>
      <c r="R52"/>
      <c r="S52"/>
    </row>
    <row r="53" spans="2:19" s="12" customFormat="1" ht="7.5" customHeight="1" x14ac:dyDescent="0.25">
      <c r="S53"/>
    </row>
    <row r="54" spans="2:19" s="12" customFormat="1" ht="0" hidden="1" customHeight="1" x14ac:dyDescent="0.25">
      <c r="B54"/>
      <c r="C54"/>
      <c r="D54"/>
      <c r="E54"/>
      <c r="F54"/>
      <c r="G54"/>
      <c r="H54"/>
      <c r="I54"/>
      <c r="J54"/>
      <c r="K54"/>
      <c r="L54"/>
      <c r="M54"/>
      <c r="N54"/>
      <c r="O54"/>
      <c r="P54"/>
      <c r="Q54"/>
      <c r="R54"/>
      <c r="S54"/>
    </row>
    <row r="55" spans="2:19" s="12" customFormat="1" ht="0" hidden="1" customHeight="1" x14ac:dyDescent="0.25">
      <c r="B55"/>
      <c r="C55"/>
      <c r="D55"/>
      <c r="E55"/>
      <c r="F55"/>
      <c r="G55"/>
      <c r="H55"/>
      <c r="I55"/>
      <c r="J55"/>
      <c r="K55"/>
      <c r="L55"/>
      <c r="M55"/>
      <c r="N55"/>
      <c r="O55"/>
      <c r="P55"/>
      <c r="Q55"/>
      <c r="R55"/>
      <c r="S55"/>
    </row>
  </sheetData>
  <sheetProtection selectLockedCells="1"/>
  <mergeCells count="122">
    <mergeCell ref="D2:M2"/>
    <mergeCell ref="V2:AC2"/>
    <mergeCell ref="D3:M3"/>
    <mergeCell ref="V3:AC3"/>
    <mergeCell ref="D4:M4"/>
    <mergeCell ref="V4:AC4"/>
    <mergeCell ref="D9:M9"/>
    <mergeCell ref="P9:Q11"/>
    <mergeCell ref="R9:R11"/>
    <mergeCell ref="V9:AC9"/>
    <mergeCell ref="B10:M10"/>
    <mergeCell ref="B11:M11"/>
    <mergeCell ref="D5:M5"/>
    <mergeCell ref="V5:AC5"/>
    <mergeCell ref="D6:M6"/>
    <mergeCell ref="V6:AC6"/>
    <mergeCell ref="D7:M7"/>
    <mergeCell ref="O7:R8"/>
    <mergeCell ref="V7:AC7"/>
    <mergeCell ref="D8:M8"/>
    <mergeCell ref="V8:AC8"/>
    <mergeCell ref="B15:C15"/>
    <mergeCell ref="E15:F15"/>
    <mergeCell ref="J15:M15"/>
    <mergeCell ref="B16:C16"/>
    <mergeCell ref="E16:F16"/>
    <mergeCell ref="J16:M16"/>
    <mergeCell ref="B12:M12"/>
    <mergeCell ref="P12:Q14"/>
    <mergeCell ref="R12:R14"/>
    <mergeCell ref="B14:C14"/>
    <mergeCell ref="E14:F14"/>
    <mergeCell ref="J14:M14"/>
    <mergeCell ref="C21:E21"/>
    <mergeCell ref="F21:G21"/>
    <mergeCell ref="H21:I21"/>
    <mergeCell ref="J21:K21"/>
    <mergeCell ref="C22:E22"/>
    <mergeCell ref="F22:G22"/>
    <mergeCell ref="H22:I22"/>
    <mergeCell ref="J22:K22"/>
    <mergeCell ref="C18:E18"/>
    <mergeCell ref="F18:G18"/>
    <mergeCell ref="H18:I18"/>
    <mergeCell ref="J18:K18"/>
    <mergeCell ref="B19:M19"/>
    <mergeCell ref="C20:E20"/>
    <mergeCell ref="F20:G20"/>
    <mergeCell ref="H20:I20"/>
    <mergeCell ref="J20:K20"/>
    <mergeCell ref="C23:E23"/>
    <mergeCell ref="F23:G23"/>
    <mergeCell ref="H23:I23"/>
    <mergeCell ref="J23:K23"/>
    <mergeCell ref="O23:R23"/>
    <mergeCell ref="C24:E24"/>
    <mergeCell ref="F24:G24"/>
    <mergeCell ref="H24:I24"/>
    <mergeCell ref="J24:K24"/>
    <mergeCell ref="C25:E25"/>
    <mergeCell ref="F25:G25"/>
    <mergeCell ref="H25:I25"/>
    <mergeCell ref="J25:K25"/>
    <mergeCell ref="B26:M26"/>
    <mergeCell ref="C27:E27"/>
    <mergeCell ref="F27:G27"/>
    <mergeCell ref="H27:I27"/>
    <mergeCell ref="J27:K27"/>
    <mergeCell ref="C30:E30"/>
    <mergeCell ref="F30:G30"/>
    <mergeCell ref="H30:I30"/>
    <mergeCell ref="J30:K30"/>
    <mergeCell ref="B31:M31"/>
    <mergeCell ref="B32:M32"/>
    <mergeCell ref="C28:E28"/>
    <mergeCell ref="F28:G28"/>
    <mergeCell ref="H28:I28"/>
    <mergeCell ref="J28:K28"/>
    <mergeCell ref="C29:E29"/>
    <mergeCell ref="F29:G29"/>
    <mergeCell ref="H29:I29"/>
    <mergeCell ref="J29:K29"/>
    <mergeCell ref="C35:E35"/>
    <mergeCell ref="F35:G35"/>
    <mergeCell ref="H35:I35"/>
    <mergeCell ref="J35:K35"/>
    <mergeCell ref="B36:M36"/>
    <mergeCell ref="O36:R36"/>
    <mergeCell ref="C33:E33"/>
    <mergeCell ref="F33:G33"/>
    <mergeCell ref="H33:I33"/>
    <mergeCell ref="J33:K33"/>
    <mergeCell ref="C34:E34"/>
    <mergeCell ref="F34:G34"/>
    <mergeCell ref="H34:I34"/>
    <mergeCell ref="J34:K34"/>
    <mergeCell ref="C39:E39"/>
    <mergeCell ref="F39:G39"/>
    <mergeCell ref="H39:I39"/>
    <mergeCell ref="J39:K39"/>
    <mergeCell ref="B41:G41"/>
    <mergeCell ref="H41:M41"/>
    <mergeCell ref="C37:E37"/>
    <mergeCell ref="F37:G37"/>
    <mergeCell ref="H37:I37"/>
    <mergeCell ref="J37:K37"/>
    <mergeCell ref="C38:E38"/>
    <mergeCell ref="F38:G38"/>
    <mergeCell ref="H38:I38"/>
    <mergeCell ref="J38:K38"/>
    <mergeCell ref="C40:E40"/>
    <mergeCell ref="F40:G40"/>
    <mergeCell ref="H40:I40"/>
    <mergeCell ref="H47:M49"/>
    <mergeCell ref="B50:E50"/>
    <mergeCell ref="H50:M50"/>
    <mergeCell ref="B42:G42"/>
    <mergeCell ref="H42:M42"/>
    <mergeCell ref="H44:M44"/>
    <mergeCell ref="B45:E45"/>
    <mergeCell ref="B46:E46"/>
    <mergeCell ref="H46:M46"/>
  </mergeCells>
  <printOptions horizontalCentered="1"/>
  <pageMargins left="0.31496062992125984" right="0.19685039370078741" top="0.78740157480314965" bottom="0" header="0.31496062992125984" footer="0.31496062992125984"/>
  <pageSetup paperSize="10000" scale="8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Spinner 1">
              <controlPr defaultSize="0" autoPict="0">
                <anchor moveWithCells="1" sizeWithCells="1">
                  <from>
                    <xdr:col>14</xdr:col>
                    <xdr:colOff>28575</xdr:colOff>
                    <xdr:row>8</xdr:row>
                    <xdr:rowOff>0</xdr:rowOff>
                  </from>
                  <to>
                    <xdr:col>14</xdr:col>
                    <xdr:colOff>466725</xdr:colOff>
                    <xdr:row>14</xdr:row>
                    <xdr:rowOff>19050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tabColor rgb="FF00B0F0"/>
    <pageSetUpPr fitToPage="1"/>
  </sheetPr>
  <dimension ref="A1:AC70"/>
  <sheetViews>
    <sheetView workbookViewId="0">
      <selection activeCell="R9" sqref="R9:R11"/>
    </sheetView>
  </sheetViews>
  <sheetFormatPr defaultColWidth="0" defaultRowHeight="0" customHeight="1" zeroHeight="1" x14ac:dyDescent="0.25"/>
  <cols>
    <col min="1" max="1" width="1.5703125" style="12" customWidth="1"/>
    <col min="2" max="2" width="3.85546875" customWidth="1"/>
    <col min="3" max="3" width="16.7109375" customWidth="1"/>
    <col min="4" max="4" width="1.140625" customWidth="1"/>
    <col min="5" max="5" width="22.42578125" customWidth="1"/>
    <col min="6" max="6" width="9.42578125" customWidth="1"/>
    <col min="7" max="7" width="2.7109375" customWidth="1"/>
    <col min="8" max="8" width="16.42578125" customWidth="1"/>
    <col min="9" max="9" width="2.28515625" customWidth="1"/>
    <col min="10" max="10" width="16.140625" customWidth="1"/>
    <col min="11" max="11" width="1.85546875" customWidth="1"/>
    <col min="12" max="12" width="5.5703125" customWidth="1"/>
    <col min="13" max="13" width="13.7109375" customWidth="1"/>
    <col min="14" max="14" width="1.7109375" customWidth="1"/>
    <col min="15" max="16" width="9.140625" customWidth="1"/>
    <col min="17" max="17" width="2.42578125" customWidth="1"/>
    <col min="18" max="18" width="16.7109375" customWidth="1"/>
    <col min="19" max="19" width="1" customWidth="1"/>
    <col min="20" max="20" width="1.7109375" style="12" customWidth="1"/>
    <col min="21" max="29" width="0" hidden="1" customWidth="1"/>
    <col min="30" max="16384" width="9.140625" hidden="1"/>
  </cols>
  <sheetData>
    <row r="1" spans="2:29" s="12" customFormat="1" ht="7.5" customHeight="1" x14ac:dyDescent="0.25">
      <c r="S1"/>
    </row>
    <row r="2" spans="2:29" ht="15.75" x14ac:dyDescent="0.25">
      <c r="C2" s="3"/>
      <c r="D2" s="204" t="s">
        <v>11</v>
      </c>
      <c r="E2" s="204"/>
      <c r="F2" s="204"/>
      <c r="G2" s="204"/>
      <c r="H2" s="204"/>
      <c r="I2" s="204"/>
      <c r="J2" s="204"/>
      <c r="K2" s="204"/>
      <c r="L2" s="204"/>
      <c r="M2" s="204"/>
      <c r="V2" s="204"/>
      <c r="W2" s="204"/>
      <c r="X2" s="204"/>
      <c r="Y2" s="204"/>
      <c r="Z2" s="204"/>
      <c r="AA2" s="204"/>
      <c r="AB2" s="204"/>
      <c r="AC2" s="204"/>
    </row>
    <row r="3" spans="2:29" ht="15.75" x14ac:dyDescent="0.25">
      <c r="C3" s="3"/>
      <c r="D3" s="204" t="s">
        <v>12</v>
      </c>
      <c r="E3" s="204"/>
      <c r="F3" s="204"/>
      <c r="G3" s="204"/>
      <c r="H3" s="204"/>
      <c r="I3" s="204"/>
      <c r="J3" s="204"/>
      <c r="K3" s="204"/>
      <c r="L3" s="204"/>
      <c r="M3" s="204"/>
      <c r="V3" s="204"/>
      <c r="W3" s="204"/>
      <c r="X3" s="204"/>
      <c r="Y3" s="204"/>
      <c r="Z3" s="204"/>
      <c r="AA3" s="204"/>
      <c r="AB3" s="204"/>
      <c r="AC3" s="204"/>
    </row>
    <row r="4" spans="2:29" ht="15.75" x14ac:dyDescent="0.25">
      <c r="C4" s="1"/>
      <c r="D4" s="203" t="s">
        <v>13</v>
      </c>
      <c r="E4" s="203"/>
      <c r="F4" s="203"/>
      <c r="G4" s="203"/>
      <c r="H4" s="203"/>
      <c r="I4" s="203"/>
      <c r="J4" s="203"/>
      <c r="K4" s="203"/>
      <c r="L4" s="203"/>
      <c r="M4" s="203"/>
      <c r="V4" s="203"/>
      <c r="W4" s="203"/>
      <c r="X4" s="203"/>
      <c r="Y4" s="203"/>
      <c r="Z4" s="203"/>
      <c r="AA4" s="203"/>
      <c r="AB4" s="203"/>
      <c r="AC4" s="203"/>
    </row>
    <row r="5" spans="2:29" ht="15.75" x14ac:dyDescent="0.25">
      <c r="C5" s="1"/>
      <c r="D5" s="203" t="s">
        <v>14</v>
      </c>
      <c r="E5" s="203"/>
      <c r="F5" s="203"/>
      <c r="G5" s="203"/>
      <c r="H5" s="203"/>
      <c r="I5" s="203"/>
      <c r="J5" s="203"/>
      <c r="K5" s="203"/>
      <c r="L5" s="203"/>
      <c r="M5" s="203"/>
      <c r="V5" s="203"/>
      <c r="W5" s="203"/>
      <c r="X5" s="203"/>
      <c r="Y5" s="203"/>
      <c r="Z5" s="203"/>
      <c r="AA5" s="203"/>
      <c r="AB5" s="203"/>
      <c r="AC5" s="203"/>
    </row>
    <row r="6" spans="2:29" ht="16.5" thickBot="1" x14ac:dyDescent="0.3">
      <c r="C6" s="3"/>
      <c r="D6" s="204" t="s">
        <v>1</v>
      </c>
      <c r="E6" s="204"/>
      <c r="F6" s="204"/>
      <c r="G6" s="204"/>
      <c r="H6" s="204"/>
      <c r="I6" s="204"/>
      <c r="J6" s="204"/>
      <c r="K6" s="204"/>
      <c r="L6" s="204"/>
      <c r="M6" s="204"/>
      <c r="V6" s="204"/>
      <c r="W6" s="204"/>
      <c r="X6" s="204"/>
      <c r="Y6" s="204"/>
      <c r="Z6" s="204"/>
      <c r="AA6" s="204"/>
      <c r="AB6" s="204"/>
      <c r="AC6" s="204"/>
    </row>
    <row r="7" spans="2:29" ht="15.75" x14ac:dyDescent="0.25">
      <c r="C7" s="1"/>
      <c r="D7" s="203" t="s">
        <v>15</v>
      </c>
      <c r="E7" s="203"/>
      <c r="F7" s="203"/>
      <c r="G7" s="203"/>
      <c r="H7" s="203"/>
      <c r="I7" s="203"/>
      <c r="J7" s="203"/>
      <c r="K7" s="203"/>
      <c r="L7" s="203"/>
      <c r="M7" s="203"/>
      <c r="O7" s="326" t="s">
        <v>69</v>
      </c>
      <c r="P7" s="327"/>
      <c r="Q7" s="327"/>
      <c r="R7" s="328"/>
      <c r="S7" s="19"/>
      <c r="V7" s="203"/>
      <c r="W7" s="203"/>
      <c r="X7" s="203"/>
      <c r="Y7" s="203"/>
      <c r="Z7" s="203"/>
      <c r="AA7" s="203"/>
      <c r="AB7" s="203"/>
      <c r="AC7" s="203"/>
    </row>
    <row r="8" spans="2:29" ht="15.75" x14ac:dyDescent="0.25">
      <c r="C8" s="1"/>
      <c r="D8" s="203" t="s">
        <v>16</v>
      </c>
      <c r="E8" s="203"/>
      <c r="F8" s="203"/>
      <c r="G8" s="203"/>
      <c r="H8" s="203"/>
      <c r="I8" s="203"/>
      <c r="J8" s="203"/>
      <c r="K8" s="203"/>
      <c r="L8" s="203"/>
      <c r="M8" s="203"/>
      <c r="O8" s="329"/>
      <c r="P8" s="330"/>
      <c r="Q8" s="330"/>
      <c r="R8" s="331"/>
      <c r="V8" s="203"/>
      <c r="W8" s="203"/>
      <c r="X8" s="203"/>
      <c r="Y8" s="203"/>
      <c r="Z8" s="203"/>
      <c r="AA8" s="203"/>
      <c r="AB8" s="203"/>
      <c r="AC8" s="203"/>
    </row>
    <row r="9" spans="2:29" ht="16.5" thickBot="1" x14ac:dyDescent="0.3">
      <c r="C9" s="2"/>
      <c r="D9" s="230" t="s">
        <v>17</v>
      </c>
      <c r="E9" s="230"/>
      <c r="F9" s="230"/>
      <c r="G9" s="230"/>
      <c r="H9" s="230"/>
      <c r="I9" s="230"/>
      <c r="J9" s="230"/>
      <c r="K9" s="230"/>
      <c r="L9" s="230"/>
      <c r="M9" s="230"/>
      <c r="O9" s="22"/>
      <c r="P9" s="325" t="s">
        <v>70</v>
      </c>
      <c r="Q9" s="325"/>
      <c r="R9" s="228">
        <v>1</v>
      </c>
      <c r="V9" s="230"/>
      <c r="W9" s="230"/>
      <c r="X9" s="230"/>
      <c r="Y9" s="230"/>
      <c r="Z9" s="230"/>
      <c r="AA9" s="230"/>
      <c r="AB9" s="230"/>
      <c r="AC9" s="230"/>
    </row>
    <row r="10" spans="2:29" ht="5.25" customHeight="1" thickTop="1" x14ac:dyDescent="0.25">
      <c r="B10" s="231"/>
      <c r="C10" s="232"/>
      <c r="D10" s="232"/>
      <c r="E10" s="232"/>
      <c r="F10" s="232"/>
      <c r="G10" s="232"/>
      <c r="H10" s="232"/>
      <c r="I10" s="232"/>
      <c r="J10" s="232"/>
      <c r="K10" s="232"/>
      <c r="L10" s="232"/>
      <c r="M10" s="232"/>
      <c r="O10" s="22"/>
      <c r="P10" s="325"/>
      <c r="Q10" s="325"/>
      <c r="R10" s="228"/>
    </row>
    <row r="11" spans="2:29" ht="15.75" x14ac:dyDescent="0.25">
      <c r="B11" s="226" t="str">
        <f>HOME!G6</f>
        <v>HASIL PENILAIAN TENGAH SEMESTER GENAP</v>
      </c>
      <c r="C11" s="226"/>
      <c r="D11" s="226"/>
      <c r="E11" s="226"/>
      <c r="F11" s="226"/>
      <c r="G11" s="226"/>
      <c r="H11" s="226"/>
      <c r="I11" s="226"/>
      <c r="J11" s="226"/>
      <c r="K11" s="226"/>
      <c r="L11" s="226"/>
      <c r="M11" s="226"/>
      <c r="O11" s="22"/>
      <c r="P11" s="325"/>
      <c r="Q11" s="325"/>
      <c r="R11" s="228"/>
    </row>
    <row r="12" spans="2:29" ht="15.75" x14ac:dyDescent="0.25">
      <c r="B12" s="226" t="str">
        <f>"TAHUN PELAJARAN " &amp; HOME!G7</f>
        <v>TAHUN PELAJARAN 2022/2023</v>
      </c>
      <c r="C12" s="226"/>
      <c r="D12" s="226"/>
      <c r="E12" s="226"/>
      <c r="F12" s="226"/>
      <c r="G12" s="226"/>
      <c r="H12" s="226"/>
      <c r="I12" s="226"/>
      <c r="J12" s="226"/>
      <c r="K12" s="226"/>
      <c r="L12" s="226"/>
      <c r="M12" s="226"/>
      <c r="O12" s="22"/>
      <c r="P12" s="325" t="s">
        <v>71</v>
      </c>
      <c r="Q12" s="325"/>
      <c r="R12" s="228">
        <f>COUNTA(NOMINATIF!C6:C40)</f>
        <v>20</v>
      </c>
    </row>
    <row r="13" spans="2:29" ht="8.25" customHeight="1" x14ac:dyDescent="0.25">
      <c r="B13" s="16"/>
      <c r="C13" s="4"/>
      <c r="D13" s="4"/>
      <c r="E13" s="4"/>
      <c r="F13" s="4"/>
      <c r="G13" s="4"/>
      <c r="H13" s="4"/>
      <c r="I13" s="4"/>
      <c r="J13" s="4"/>
      <c r="K13" s="4"/>
      <c r="L13" s="4"/>
      <c r="M13" s="4"/>
      <c r="O13" s="22"/>
      <c r="P13" s="325"/>
      <c r="Q13" s="325"/>
      <c r="R13" s="228"/>
    </row>
    <row r="14" spans="2:29" ht="15.75" x14ac:dyDescent="0.25">
      <c r="B14" s="224" t="s">
        <v>18</v>
      </c>
      <c r="C14" s="224"/>
      <c r="D14" s="1" t="s">
        <v>6</v>
      </c>
      <c r="E14" s="229" t="str">
        <f>VLOOKUP(R9,'L X RPL'!$B$9:$BI$43,2)</f>
        <v>AFMALA INSAN QOIRUNISA</v>
      </c>
      <c r="F14" s="229"/>
      <c r="G14" s="18"/>
      <c r="H14" s="1" t="s">
        <v>63</v>
      </c>
      <c r="I14" t="s">
        <v>6</v>
      </c>
      <c r="J14" s="225" t="str">
        <f>HOME!G9</f>
        <v>Teknik Komputer dan Informatika</v>
      </c>
      <c r="K14" s="225"/>
      <c r="L14" s="225"/>
      <c r="M14" s="225"/>
      <c r="O14" s="22"/>
      <c r="P14" s="325"/>
      <c r="Q14" s="325"/>
      <c r="R14" s="228"/>
    </row>
    <row r="15" spans="2:29" ht="15.75" x14ac:dyDescent="0.25">
      <c r="B15" s="224" t="s">
        <v>19</v>
      </c>
      <c r="C15" s="224"/>
      <c r="D15" s="1" t="s">
        <v>6</v>
      </c>
      <c r="E15" s="224" t="str">
        <f>VLOOKUP(R9,'L X RPL'!$B$9:$BI$43,3) &amp; "/" &amp; VLOOKUP(R9,'L X RPL'!$B$9:$BI$43,4)</f>
        <v>4020/0059023845</v>
      </c>
      <c r="F15" s="224"/>
      <c r="G15" s="17"/>
      <c r="H15" s="1" t="s">
        <v>10</v>
      </c>
      <c r="I15" t="s">
        <v>6</v>
      </c>
      <c r="J15" s="225" t="str">
        <f>ID!G7</f>
        <v>Akuntansi dan Keuangan Lembaga</v>
      </c>
      <c r="K15" s="225"/>
      <c r="L15" s="225"/>
      <c r="M15" s="225"/>
      <c r="O15" s="22"/>
      <c r="R15" s="23"/>
    </row>
    <row r="16" spans="2:29" ht="15.75" x14ac:dyDescent="0.25">
      <c r="B16" s="224" t="s">
        <v>9</v>
      </c>
      <c r="C16" s="224"/>
      <c r="D16" s="1" t="s">
        <v>6</v>
      </c>
      <c r="E16" s="224" t="str">
        <f>ID!G8</f>
        <v>XII AKL 1</v>
      </c>
      <c r="F16" s="224"/>
      <c r="G16" s="17"/>
      <c r="H16" s="1" t="s">
        <v>20</v>
      </c>
      <c r="I16" t="s">
        <v>6</v>
      </c>
      <c r="J16" s="225" t="str">
        <f>ID!G9</f>
        <v>4/GENAP</v>
      </c>
      <c r="K16" s="225"/>
      <c r="L16" s="225"/>
      <c r="M16" s="225"/>
      <c r="O16" s="22"/>
      <c r="R16" s="23"/>
    </row>
    <row r="17" spans="2:18" ht="15" x14ac:dyDescent="0.25">
      <c r="O17" s="22"/>
      <c r="R17" s="23"/>
    </row>
    <row r="18" spans="2:18" ht="15.75" x14ac:dyDescent="0.25">
      <c r="B18" s="333" t="s">
        <v>161</v>
      </c>
      <c r="C18" s="333"/>
      <c r="D18" s="333"/>
      <c r="E18" s="333"/>
      <c r="F18" s="333"/>
      <c r="G18" s="333"/>
      <c r="H18" s="333"/>
      <c r="I18" s="333"/>
      <c r="J18" s="333"/>
      <c r="K18" s="333"/>
      <c r="L18" s="333"/>
      <c r="M18" s="333"/>
      <c r="O18" s="22"/>
      <c r="R18" s="23"/>
    </row>
    <row r="19" spans="2:18" ht="31.5" customHeight="1" x14ac:dyDescent="0.25">
      <c r="B19" s="15" t="s">
        <v>32</v>
      </c>
      <c r="C19" s="190" t="s">
        <v>33</v>
      </c>
      <c r="D19" s="190"/>
      <c r="E19" s="190"/>
      <c r="F19" s="222" t="s">
        <v>34</v>
      </c>
      <c r="G19" s="223"/>
      <c r="H19" s="222" t="s">
        <v>35</v>
      </c>
      <c r="I19" s="223"/>
      <c r="J19" s="222" t="s">
        <v>66</v>
      </c>
      <c r="K19" s="223"/>
      <c r="L19" s="15" t="s">
        <v>98</v>
      </c>
      <c r="M19" s="15" t="s">
        <v>36</v>
      </c>
      <c r="O19" s="22"/>
      <c r="R19" s="23"/>
    </row>
    <row r="20" spans="2:18" ht="15.75" x14ac:dyDescent="0.25">
      <c r="B20" s="188" t="s">
        <v>164</v>
      </c>
      <c r="C20" s="188"/>
      <c r="D20" s="188"/>
      <c r="E20" s="188"/>
      <c r="F20" s="188"/>
      <c r="G20" s="188"/>
      <c r="H20" s="188"/>
      <c r="I20" s="188"/>
      <c r="J20" s="188"/>
      <c r="K20" s="188"/>
      <c r="L20" s="188"/>
      <c r="M20" s="188"/>
      <c r="O20" s="22"/>
      <c r="R20" s="23"/>
    </row>
    <row r="21" spans="2:18" ht="15.75" customHeight="1" x14ac:dyDescent="0.25">
      <c r="B21" s="11">
        <v>1</v>
      </c>
      <c r="C21" s="189" t="s">
        <v>38</v>
      </c>
      <c r="D21" s="189"/>
      <c r="E21" s="189"/>
      <c r="F21" s="209">
        <f>'MP X RPL'!G7</f>
        <v>60</v>
      </c>
      <c r="G21" s="210"/>
      <c r="H21" s="211">
        <f>VLOOKUP(R9,'L X RPL'!$B$9:$BI$43,5)</f>
        <v>0</v>
      </c>
      <c r="I21" s="212"/>
      <c r="J21" s="211">
        <f>VLOOKUP(R9,'L X RPL'!$B$9:$BI$43,6)</f>
        <v>0</v>
      </c>
      <c r="K21" s="212"/>
      <c r="L21" s="13">
        <f>IF(J21=0,H21,AVERAGE(H21:K21))</f>
        <v>0</v>
      </c>
      <c r="M21" s="13" t="str">
        <f t="shared" ref="M21:M26" si="0">IF(F21=60,IF(AND(L21&gt;$O$26,L21&lt;$P$26),$R$26,IF(AND(L21&gt;=$O$27,L21&lt;=$P$27),$R$27,IF(AND(L21&gt;=$O$28,L21&lt;=$P$28),$R$28,IF(AND(L21&gt;=$O$29,L21&lt;=$P$29),$R$29,IF(AND(L21&gt;=$O$30,L21&lt;=$P$30),$R$30,IF(AND(L21&gt;=$O$31,L21&lt;=$P$31),$R$31,IF(AND(L21&gt;=$O$32,L21&lt;=$P$32),$R$32,IF(AND(L21&gt;=$O$33,L21&lt;$P$33),$R$33,IF(AND(L21&gt;$O$34,L21&lt;$P$34),$R$34,IF(AND(L21&lt;=$P$35),$R$35,0)))))))))),IF(F21=70,IF(AND(L21&gt;$O$39,L21&lt;$P$39),$R$39,IF(AND(L21&gt;=$O$40,L21&lt;=$P$40),$R$40,IF(AND(L21&gt;=$O$41,L21&lt;=$P$41),$R$41,IF(AND(L21&gt;=$O$42,L21&lt;=$P$42),$R$42,IF(AND(L21&gt;=$O$43,L21&lt;=$P$43),$R$43,IF(AND(L21&gt;=$O$44,L21&lt;=$P$44),$R$44,IF(AND(L21&gt;=$O$45,L21&lt;=$P$45),$R$45,IF(AND(L21&gt;=$O$46,L21&lt;$P$46),$R$46,IF(AND(L21&gt;$O$47,L21&lt;$P$47),$R$47,IF(AND(L21&lt;=$P$48),$R$48,0))))))))))))</f>
        <v>D</v>
      </c>
      <c r="O21" s="22"/>
      <c r="R21" s="23"/>
    </row>
    <row r="22" spans="2:18" ht="16.5" customHeight="1" thickBot="1" x14ac:dyDescent="0.3">
      <c r="B22" s="11">
        <v>2</v>
      </c>
      <c r="C22" s="189" t="s">
        <v>39</v>
      </c>
      <c r="D22" s="189"/>
      <c r="E22" s="189"/>
      <c r="F22" s="209">
        <f>'MP X RPL'!G8</f>
        <v>60</v>
      </c>
      <c r="G22" s="210"/>
      <c r="H22" s="211">
        <f>VLOOKUP(R9,'L X RPL'!$B$9:$BI$43,8)</f>
        <v>0</v>
      </c>
      <c r="I22" s="212"/>
      <c r="J22" s="211">
        <f>VLOOKUP(R9,'L X RPL'!$B$9:$BI$43,9)</f>
        <v>0</v>
      </c>
      <c r="K22" s="212"/>
      <c r="L22" s="13">
        <f t="shared" ref="L22:L26" si="1">IF(J22=0,H22,AVERAGE(H22:K22))</f>
        <v>0</v>
      </c>
      <c r="M22" s="13" t="str">
        <f t="shared" si="0"/>
        <v>D</v>
      </c>
      <c r="O22" s="25"/>
      <c r="P22" s="26"/>
      <c r="Q22" s="26"/>
      <c r="R22" s="27"/>
    </row>
    <row r="23" spans="2:18" ht="16.5" thickBot="1" x14ac:dyDescent="0.3">
      <c r="B23" s="11">
        <v>3</v>
      </c>
      <c r="C23" s="189" t="s">
        <v>40</v>
      </c>
      <c r="D23" s="189"/>
      <c r="E23" s="189"/>
      <c r="F23" s="209">
        <f>'MP X RPL'!G9</f>
        <v>60</v>
      </c>
      <c r="G23" s="210"/>
      <c r="H23" s="211">
        <f>VLOOKUP(R9,'L X RPL'!$B$9:$BI$43,11)</f>
        <v>0</v>
      </c>
      <c r="I23" s="212"/>
      <c r="J23" s="211">
        <f>VLOOKUP(R9,'L X RPL'!$B$9:$BI$43,12)</f>
        <v>0</v>
      </c>
      <c r="K23" s="212"/>
      <c r="L23" s="13">
        <f t="shared" si="1"/>
        <v>0</v>
      </c>
      <c r="M23" s="13" t="str">
        <f t="shared" si="0"/>
        <v>D</v>
      </c>
    </row>
    <row r="24" spans="2:18" ht="15.75" x14ac:dyDescent="0.25">
      <c r="B24" s="11">
        <v>4</v>
      </c>
      <c r="C24" s="187" t="s">
        <v>41</v>
      </c>
      <c r="D24" s="187"/>
      <c r="E24" s="187"/>
      <c r="F24" s="209">
        <f>'MP X RPL'!G10</f>
        <v>60</v>
      </c>
      <c r="G24" s="210"/>
      <c r="H24" s="211">
        <f>VLOOKUP(R9,'L X RPL'!$B$9:$BI$43,14)</f>
        <v>0</v>
      </c>
      <c r="I24" s="212"/>
      <c r="J24" s="211">
        <f>VLOOKUP(R9,'L X RPL'!$B$9:$BI$43,15)</f>
        <v>0</v>
      </c>
      <c r="K24" s="212"/>
      <c r="L24" s="13">
        <f t="shared" si="1"/>
        <v>0</v>
      </c>
      <c r="M24" s="13" t="str">
        <f t="shared" si="0"/>
        <v>D</v>
      </c>
      <c r="O24" s="320" t="s">
        <v>139</v>
      </c>
      <c r="P24" s="323"/>
      <c r="Q24" s="323"/>
      <c r="R24" s="324"/>
    </row>
    <row r="25" spans="2:18" ht="16.5" thickBot="1" x14ac:dyDescent="0.3">
      <c r="B25" s="11">
        <v>5</v>
      </c>
      <c r="C25" s="187" t="s">
        <v>42</v>
      </c>
      <c r="D25" s="187"/>
      <c r="E25" s="187"/>
      <c r="F25" s="209">
        <f>'MP X RPL'!G11</f>
        <v>60</v>
      </c>
      <c r="G25" s="210"/>
      <c r="H25" s="211">
        <f>VLOOKUP(R9,'L X RPL'!$B$9:$BI$43,17)</f>
        <v>0</v>
      </c>
      <c r="I25" s="212"/>
      <c r="J25" s="211">
        <f>VLOOKUP(R9,'L X RPL'!$B$9:$BI$43,18)</f>
        <v>0</v>
      </c>
      <c r="K25" s="212"/>
      <c r="L25" s="13">
        <f t="shared" si="1"/>
        <v>0</v>
      </c>
      <c r="M25" s="13" t="str">
        <f t="shared" si="0"/>
        <v>D</v>
      </c>
      <c r="O25" s="48" t="s">
        <v>141</v>
      </c>
      <c r="P25" s="49" t="s">
        <v>142</v>
      </c>
      <c r="Q25" s="49"/>
      <c r="R25" s="50" t="s">
        <v>138</v>
      </c>
    </row>
    <row r="26" spans="2:18" ht="15.75" x14ac:dyDescent="0.25">
      <c r="B26" s="11">
        <v>6</v>
      </c>
      <c r="C26" s="187" t="s">
        <v>43</v>
      </c>
      <c r="D26" s="187"/>
      <c r="E26" s="187"/>
      <c r="F26" s="209">
        <f>'MP X RPL'!G12</f>
        <v>60</v>
      </c>
      <c r="G26" s="210"/>
      <c r="H26" s="211">
        <f>VLOOKUP(R9,'L X RPL'!$B$9:$BI$43,20)</f>
        <v>0</v>
      </c>
      <c r="I26" s="212"/>
      <c r="J26" s="211">
        <f>VLOOKUP(R9,'L X RPL'!$B$9:$BI$43,21)</f>
        <v>0</v>
      </c>
      <c r="K26" s="212"/>
      <c r="L26" s="13">
        <f t="shared" si="1"/>
        <v>0</v>
      </c>
      <c r="M26" s="13" t="str">
        <f t="shared" si="0"/>
        <v>D</v>
      </c>
      <c r="O26" s="113">
        <v>94.5</v>
      </c>
      <c r="P26" s="114">
        <v>100</v>
      </c>
      <c r="Q26" s="45" t="s">
        <v>6</v>
      </c>
      <c r="R26" s="51" t="s">
        <v>137</v>
      </c>
    </row>
    <row r="27" spans="2:18" ht="15.75" x14ac:dyDescent="0.25">
      <c r="B27" s="188" t="s">
        <v>163</v>
      </c>
      <c r="C27" s="188"/>
      <c r="D27" s="188"/>
      <c r="E27" s="188"/>
      <c r="F27" s="188"/>
      <c r="G27" s="188"/>
      <c r="H27" s="188"/>
      <c r="I27" s="188"/>
      <c r="J27" s="188"/>
      <c r="K27" s="188"/>
      <c r="L27" s="188"/>
      <c r="M27" s="188"/>
      <c r="O27" s="117">
        <v>89.5</v>
      </c>
      <c r="P27" s="110">
        <v>94.49</v>
      </c>
      <c r="Q27" s="47" t="s">
        <v>6</v>
      </c>
      <c r="R27" s="52" t="s">
        <v>136</v>
      </c>
    </row>
    <row r="28" spans="2:18" ht="15.75" customHeight="1" x14ac:dyDescent="0.25">
      <c r="B28" s="13">
        <v>1</v>
      </c>
      <c r="C28" s="187" t="s">
        <v>45</v>
      </c>
      <c r="D28" s="187"/>
      <c r="E28" s="187"/>
      <c r="F28" s="209">
        <f>'MP X RPL'!G14</f>
        <v>70</v>
      </c>
      <c r="G28" s="210"/>
      <c r="H28" s="211">
        <f>VLOOKUP(R9,'L X RPL'!$B$9:$BI$43,23)</f>
        <v>0</v>
      </c>
      <c r="I28" s="212"/>
      <c r="J28" s="211">
        <f>VLOOKUP(R9,'L X RPL'!$B$9:$BI$43,24)</f>
        <v>0</v>
      </c>
      <c r="K28" s="212"/>
      <c r="L28" s="13">
        <f>IF(J28=0,H28,AVERAGE(H28:K28))</f>
        <v>0</v>
      </c>
      <c r="M28" s="13" t="str">
        <f>IF(F28=60,IF(AND(L28&gt;$O$26,L28&lt;$P$26),$R$26,IF(AND(L28&gt;=$O$27,L28&lt;=$P$27),$R$27,IF(AND(L28&gt;=$O$28,L28&lt;=$P$28),$R$28,IF(AND(L28&gt;=$O$29,L28&lt;=$P$29),$R$29,IF(AND(L28&gt;=$O$30,L28&lt;=$P$30),$R$30,IF(AND(L28&gt;=$O$31,L28&lt;=$P$31),$R$31,IF(AND(L28&gt;=$O$32,L28&lt;=$P$32),$R$32,IF(AND(L28&gt;=$O$33,L28&lt;$P$33),$R$33,IF(AND(L28&gt;$O$34,L28&lt;$P$34),$R$34,IF(AND(L28&lt;=$P$35),$R$35,0)))))))))),IF(F28=70,IF(AND(L28&gt;$O$39,L28&lt;$P$39),$R$39,IF(AND(L28&gt;=$O$40,L28&lt;=$P$40),$R$40,IF(AND(L28&gt;=$O$41,L28&lt;=$P$41),$R$41,IF(AND(L28&gt;=$O$42,L28&lt;=$P$42),$R$42,IF(AND(L28&gt;=$O$43,L28&lt;=$P$43),$R$43,IF(AND(L28&gt;=$O$44,L28&lt;=$P$44),$R$44,IF(AND(L28&gt;=$O$45,L28&lt;=$P$45),$R$45,IF(AND(L28&gt;=$O$46,L28&lt;$P$46),$R$46,IF(AND(L28&gt;$O$47,L28&lt;$P$47),$R$47,IF(AND(L28&lt;=$P$48),$R$48,0))))))))))))</f>
        <v>D</v>
      </c>
      <c r="O28" s="117">
        <v>84.5</v>
      </c>
      <c r="P28" s="110">
        <v>89.49</v>
      </c>
      <c r="Q28" s="47" t="s">
        <v>6</v>
      </c>
      <c r="R28" s="52" t="s">
        <v>135</v>
      </c>
    </row>
    <row r="29" spans="2:18" ht="15.75" x14ac:dyDescent="0.25">
      <c r="B29" s="13">
        <v>2</v>
      </c>
      <c r="C29" s="187" t="s">
        <v>46</v>
      </c>
      <c r="D29" s="187"/>
      <c r="E29" s="187"/>
      <c r="F29" s="209">
        <f>'MP X RPL'!G15</f>
        <v>60</v>
      </c>
      <c r="G29" s="210"/>
      <c r="H29" s="211">
        <f>VLOOKUP(R9,'L X RPL'!$B$9:$BI$43,26)</f>
        <v>0</v>
      </c>
      <c r="I29" s="212"/>
      <c r="J29" s="211">
        <f>VLOOKUP(R9,'L X RPL'!$B$9:$BI$43,27)</f>
        <v>0</v>
      </c>
      <c r="K29" s="212"/>
      <c r="L29" s="13">
        <f t="shared" ref="L29:L31" si="2">IF(J29=0,H29,AVERAGE(H29:K29))</f>
        <v>0</v>
      </c>
      <c r="M29" s="13" t="str">
        <f>IF(F29=60,IF(AND(L29&gt;$O$26,L29&lt;$P$26),$R$26,IF(AND(L29&gt;=$O$27,L29&lt;=$P$27),$R$27,IF(AND(L29&gt;=$O$28,L29&lt;=$P$28),$R$28,IF(AND(L29&gt;=$O$29,L29&lt;=$P$29),$R$29,IF(AND(L29&gt;=$O$30,L29&lt;=$P$30),$R$30,IF(AND(L29&gt;=$O$31,L29&lt;=$P$31),$R$31,IF(AND(L29&gt;=$O$32,L29&lt;=$P$32),$R$32,IF(AND(L29&gt;=$O$33,L29&lt;$P$33),$R$33,IF(AND(L29&gt;$O$34,L29&lt;$P$34),$R$34,IF(AND(L29&lt;=$P$35),$R$35,0)))))))))),IF(F29=70,IF(AND(L29&gt;$O$39,L29&lt;$P$39),$R$39,IF(AND(L29&gt;=$O$40,L29&lt;=$P$40),$R$40,IF(AND(L29&gt;=$O$41,L29&lt;=$P$41),$R$41,IF(AND(L29&gt;=$O$42,L29&lt;=$P$42),$R$42,IF(AND(L29&gt;=$O$43,L29&lt;=$P$43),$R$43,IF(AND(L29&gt;=$O$44,L29&lt;=$P$44),$R$44,IF(AND(L29&gt;=$O$45,L29&lt;=$P$45),$R$45,IF(AND(L29&gt;=$O$46,L29&lt;$P$46),$R$46,IF(AND(L29&gt;$O$47,L29&lt;$P$47),$R$47,IF(AND(L29&lt;=$P$48),$R$48,0))))))))))))</f>
        <v>D</v>
      </c>
      <c r="O29" s="117">
        <v>79.5</v>
      </c>
      <c r="P29" s="110">
        <v>84.49</v>
      </c>
      <c r="Q29" s="47" t="s">
        <v>6</v>
      </c>
      <c r="R29" s="52" t="s">
        <v>134</v>
      </c>
    </row>
    <row r="30" spans="2:18" ht="15.75" x14ac:dyDescent="0.25">
      <c r="B30" s="13">
        <v>3</v>
      </c>
      <c r="C30" s="187" t="s">
        <v>47</v>
      </c>
      <c r="D30" s="187"/>
      <c r="E30" s="187"/>
      <c r="F30" s="209">
        <f>'MP X RPL'!G16</f>
        <v>60</v>
      </c>
      <c r="G30" s="210"/>
      <c r="H30" s="211">
        <f>VLOOKUP(R9,'L X RPL'!$B$9:$BI$43,29)</f>
        <v>0</v>
      </c>
      <c r="I30" s="212"/>
      <c r="J30" s="211">
        <f>VLOOKUP(R9,'L X RPL'!$B$9:$BI$43,30)</f>
        <v>0</v>
      </c>
      <c r="K30" s="212"/>
      <c r="L30" s="13">
        <f t="shared" si="2"/>
        <v>0</v>
      </c>
      <c r="M30" s="13" t="str">
        <f>IF(F30=60,IF(AND(L30&gt;$O$26,L30&lt;$P$26),$R$26,IF(AND(L30&gt;=$O$27,L30&lt;=$P$27),$R$27,IF(AND(L30&gt;=$O$28,L30&lt;=$P$28),$R$28,IF(AND(L30&gt;=$O$29,L30&lt;=$P$29),$R$29,IF(AND(L30&gt;=$O$30,L30&lt;=$P$30),$R$30,IF(AND(L30&gt;=$O$31,L30&lt;=$P$31),$R$31,IF(AND(L30&gt;=$O$32,L30&lt;=$P$32),$R$32,IF(AND(L30&gt;=$O$33,L30&lt;$P$33),$R$33,IF(AND(L30&gt;$O$34,L30&lt;$P$34),$R$34,IF(AND(L30&lt;=$P$35),$R$35,0)))))))))),IF(F30=70,IF(AND(L30&gt;$O$39,L30&lt;$P$39),$R$39,IF(AND(L30&gt;=$O$40,L30&lt;=$P$40),$R$40,IF(AND(L30&gt;=$O$41,L30&lt;=$P$41),$R$41,IF(AND(L30&gt;=$O$42,L30&lt;=$P$42),$R$42,IF(AND(L30&gt;=$O$43,L30&lt;=$P$43),$R$43,IF(AND(L30&gt;=$O$44,L30&lt;=$P$44),$R$44,IF(AND(L30&gt;=$O$45,L30&lt;=$P$45),$R$45,IF(AND(L30&gt;=$O$46,L30&lt;$P$46),$R$46,IF(AND(L30&gt;$O$47,L30&lt;$P$47),$R$47,IF(AND(L30&lt;=$P$48),$R$48,0))))))))))))</f>
        <v>D</v>
      </c>
      <c r="O30" s="117">
        <v>74.5</v>
      </c>
      <c r="P30" s="110">
        <v>79.489999999999995</v>
      </c>
      <c r="Q30" s="47" t="s">
        <v>6</v>
      </c>
      <c r="R30" s="52" t="s">
        <v>118</v>
      </c>
    </row>
    <row r="31" spans="2:18" ht="15.75" x14ac:dyDescent="0.25">
      <c r="B31" s="13">
        <v>4</v>
      </c>
      <c r="C31" s="187" t="s">
        <v>48</v>
      </c>
      <c r="D31" s="187"/>
      <c r="E31" s="187"/>
      <c r="F31" s="209">
        <f>'MP X RPL'!G17</f>
        <v>60</v>
      </c>
      <c r="G31" s="210"/>
      <c r="H31" s="211">
        <f>VLOOKUP(R9,'L X RPL'!$B$9:$BI$43,32)</f>
        <v>0</v>
      </c>
      <c r="I31" s="212"/>
      <c r="J31" s="211">
        <f>VLOOKUP(R9,'L X RPL'!$B$9:$BI$43,33)</f>
        <v>0</v>
      </c>
      <c r="K31" s="212"/>
      <c r="L31" s="13">
        <f t="shared" si="2"/>
        <v>0</v>
      </c>
      <c r="M31" s="13" t="str">
        <f>IF(F31=60,IF(AND(L31&gt;$O$26,L31&lt;$P$26),$R$26,IF(AND(L31&gt;=$O$27,L31&lt;=$P$27),$R$27,IF(AND(L31&gt;=$O$28,L31&lt;=$P$28),$R$28,IF(AND(L31&gt;=$O$29,L31&lt;=$P$29),$R$29,IF(AND(L31&gt;=$O$30,L31&lt;=$P$30),$R$30,IF(AND(L31&gt;=$O$31,L31&lt;=$P$31),$R$31,IF(AND(L31&gt;=$O$32,L31&lt;=$P$32),$R$32,IF(AND(L31&gt;=$O$33,L31&lt;$P$33),$R$33,IF(AND(L31&gt;$O$34,L31&lt;$P$34),$R$34,IF(AND(L31&lt;=$P$35),$R$35,0)))))))))),IF(F31=70,IF(AND(L31&gt;$O$39,L31&lt;$P$39),$R$39,IF(AND(L31&gt;=$O$40,L31&lt;=$P$40),$R$40,IF(AND(L31&gt;=$O$41,L31&lt;=$P$41),$R$41,IF(AND(L31&gt;=$O$42,L31&lt;=$P$42),$R$42,IF(AND(L31&gt;=$O$43,L31&lt;=$P$43),$R$43,IF(AND(L31&gt;=$O$44,L31&lt;=$P$44),$R$44,IF(AND(L31&gt;=$O$45,L31&lt;=$P$45),$R$45,IF(AND(L31&gt;=$O$46,L31&lt;$P$46),$R$46,IF(AND(L31&gt;$O$47,L31&lt;$P$47),$R$47,IF(AND(L31&lt;=$P$48),$R$48,0))))))))))))</f>
        <v>D</v>
      </c>
      <c r="O31" s="117">
        <v>69.5</v>
      </c>
      <c r="P31" s="110">
        <v>74.489999999999995</v>
      </c>
      <c r="Q31" s="47" t="s">
        <v>6</v>
      </c>
      <c r="R31" s="52" t="s">
        <v>133</v>
      </c>
    </row>
    <row r="32" spans="2:18" ht="15.75" x14ac:dyDescent="0.25">
      <c r="B32" s="188" t="s">
        <v>162</v>
      </c>
      <c r="C32" s="188"/>
      <c r="D32" s="188"/>
      <c r="E32" s="188"/>
      <c r="F32" s="188"/>
      <c r="G32" s="188"/>
      <c r="H32" s="188"/>
      <c r="I32" s="188"/>
      <c r="J32" s="188"/>
      <c r="K32" s="188"/>
      <c r="L32" s="188"/>
      <c r="M32" s="188"/>
      <c r="O32" s="117">
        <v>64.5</v>
      </c>
      <c r="P32" s="110">
        <v>69.489999999999995</v>
      </c>
      <c r="Q32" s="47" t="s">
        <v>6</v>
      </c>
      <c r="R32" s="52" t="s">
        <v>132</v>
      </c>
    </row>
    <row r="33" spans="2:18" ht="15.75" x14ac:dyDescent="0.25">
      <c r="B33" s="188" t="s">
        <v>50</v>
      </c>
      <c r="C33" s="188"/>
      <c r="D33" s="188"/>
      <c r="E33" s="188"/>
      <c r="F33" s="188"/>
      <c r="G33" s="188"/>
      <c r="H33" s="188"/>
      <c r="I33" s="188"/>
      <c r="J33" s="188"/>
      <c r="K33" s="188"/>
      <c r="L33" s="188"/>
      <c r="M33" s="188"/>
      <c r="O33" s="117">
        <v>59.5</v>
      </c>
      <c r="P33" s="110">
        <v>65.489999999999995</v>
      </c>
      <c r="Q33" s="47" t="s">
        <v>6</v>
      </c>
      <c r="R33" s="52" t="s">
        <v>131</v>
      </c>
    </row>
    <row r="34" spans="2:18" ht="15.75" customHeight="1" x14ac:dyDescent="0.25">
      <c r="B34" s="13">
        <v>1</v>
      </c>
      <c r="C34" s="187" t="s">
        <v>51</v>
      </c>
      <c r="D34" s="187"/>
      <c r="E34" s="187"/>
      <c r="F34" s="209">
        <f>'MP X RPL'!G20</f>
        <v>60</v>
      </c>
      <c r="G34" s="210"/>
      <c r="H34" s="211">
        <f>VLOOKUP(R9,'L X RPL'!$B$9:$BI$43,35)</f>
        <v>0</v>
      </c>
      <c r="I34" s="212"/>
      <c r="J34" s="211">
        <f>VLOOKUP(R9,'L X RPL'!$B$9:$BI$43,36)</f>
        <v>0</v>
      </c>
      <c r="K34" s="212"/>
      <c r="L34" s="13">
        <f>IF(J34=0,H34,AVERAGE(H34:K34))</f>
        <v>0</v>
      </c>
      <c r="M34" s="13" t="str">
        <f>IF(F34=60,IF(AND(L34&gt;$O$26,L34&lt;$P$26),$R$26,IF(AND(L34&gt;=$O$27,L34&lt;=$P$27),$R$27,IF(AND(L34&gt;=$O$28,L34&lt;=$P$28),$R$28,IF(AND(L34&gt;=$O$29,L34&lt;=$P$29),$R$29,IF(AND(L34&gt;=$O$30,L34&lt;=$P$30),$R$30,IF(AND(L34&gt;=$O$31,L34&lt;=$P$31),$R$31,IF(AND(L34&gt;=$O$32,L34&lt;=$P$32),$R$32,IF(AND(L34&gt;=$O$33,L34&lt;$P$33),$R$33,IF(AND(L34&gt;$O$34,L34&lt;$P$34),$R$34,IF(AND(L34&lt;=$P$35),$R$35,0)))))))))),IF(F34=70,IF(AND(L34&gt;$O$39,L34&lt;$P$39),$R$39,IF(AND(L34&gt;=$O$40,L34&lt;=$P$40),$R$40,IF(AND(L34&gt;=$O$41,L34&lt;=$P$41),$R$41,IF(AND(L34&gt;=$O$42,L34&lt;=$P$42),$R$42,IF(AND(L34&gt;=$O$43,L34&lt;=$P$43),$R$43,IF(AND(L34&gt;=$O$44,L34&lt;=$P$44),$R$44,IF(AND(L34&gt;=$O$45,L34&lt;=$P$45),$R$45,IF(AND(L34&gt;=$O$46,L34&lt;$P$46),$R$46,IF(AND(L34&gt;$O$47,L34&lt;$P$47),$R$47,IF(AND(L34&lt;=$P$48),$R$48,0))))))))))))</f>
        <v>D</v>
      </c>
      <c r="O34" s="117">
        <v>54.5</v>
      </c>
      <c r="P34" s="110">
        <v>59.49</v>
      </c>
      <c r="Q34" s="47" t="s">
        <v>6</v>
      </c>
      <c r="R34" s="52" t="s">
        <v>130</v>
      </c>
    </row>
    <row r="35" spans="2:18" ht="16.5" thickBot="1" x14ac:dyDescent="0.3">
      <c r="B35" s="13">
        <v>2</v>
      </c>
      <c r="C35" s="183" t="s">
        <v>73</v>
      </c>
      <c r="D35" s="183"/>
      <c r="E35" s="183"/>
      <c r="F35" s="209">
        <f>'MP X RPL'!G21</f>
        <v>60</v>
      </c>
      <c r="G35" s="210"/>
      <c r="H35" s="211">
        <f>VLOOKUP(R9,'L X RPL'!$B$9:$BI$43,38)</f>
        <v>0</v>
      </c>
      <c r="I35" s="212"/>
      <c r="J35" s="211">
        <f>VLOOKUP(R9,'L X RPL'!$B$9:$BI$43,39)</f>
        <v>0</v>
      </c>
      <c r="K35" s="212"/>
      <c r="L35" s="13">
        <f t="shared" ref="L35:L36" si="3">IF(J35=0,H35,AVERAGE(H35:K35))</f>
        <v>0</v>
      </c>
      <c r="M35" s="13" t="str">
        <f>IF(F35=60,IF(AND(L35&gt;$O$26,L35&lt;$P$26),$R$26,IF(AND(L35&gt;=$O$27,L35&lt;=$P$27),$R$27,IF(AND(L35&gt;=$O$28,L35&lt;=$P$28),$R$28,IF(AND(L35&gt;=$O$29,L35&lt;=$P$29),$R$29,IF(AND(L35&gt;=$O$30,L35&lt;=$P$30),$R$30,IF(AND(L35&gt;=$O$31,L35&lt;=$P$31),$R$31,IF(AND(L35&gt;=$O$32,L35&lt;=$P$32),$R$32,IF(AND(L35&gt;=$O$33,L35&lt;$P$33),$R$33,IF(AND(L35&gt;$O$34,L35&lt;$P$34),$R$34,IF(AND(L35&lt;=$P$35),$R$35,0)))))))))),IF(F35=70,IF(AND(L35&gt;$O$39,L35&lt;$P$39),$R$39,IF(AND(L35&gt;=$O$40,L35&lt;=$P$40),$R$40,IF(AND(L35&gt;=$O$41,L35&lt;=$P$41),$R$41,IF(AND(L35&gt;=$O$42,L35&lt;=$P$42),$R$42,IF(AND(L35&gt;=$O$43,L35&lt;=$P$43),$R$43,IF(AND(L35&gt;=$O$44,L35&lt;=$P$44),$R$44,IF(AND(L35&gt;=$O$45,L35&lt;=$P$45),$R$45,IF(AND(L35&gt;=$O$46,L35&lt;$P$46),$R$46,IF(AND(L35&gt;$O$47,L35&lt;$P$47),$R$47,IF(AND(L35&lt;=$P$48),$R$48,0))))))))))))</f>
        <v>D</v>
      </c>
      <c r="O35" s="112">
        <v>49.5</v>
      </c>
      <c r="P35" s="111">
        <v>54.49</v>
      </c>
      <c r="Q35" s="49" t="s">
        <v>6</v>
      </c>
      <c r="R35" s="50" t="s">
        <v>129</v>
      </c>
    </row>
    <row r="36" spans="2:18" ht="16.5" thickBot="1" x14ac:dyDescent="0.3">
      <c r="B36" s="13">
        <v>3</v>
      </c>
      <c r="C36" s="183" t="s">
        <v>74</v>
      </c>
      <c r="D36" s="183"/>
      <c r="E36" s="183"/>
      <c r="F36" s="209">
        <f>'MP X RPL'!G22</f>
        <v>60</v>
      </c>
      <c r="G36" s="210"/>
      <c r="H36" s="211">
        <f>VLOOKUP(R9,'L X RPL'!$B$9:$BI$43,41)</f>
        <v>0</v>
      </c>
      <c r="I36" s="212"/>
      <c r="J36" s="211">
        <f>VLOOKUP(R9,'L X RPL'!$B$9:$BI$43,42)</f>
        <v>0</v>
      </c>
      <c r="K36" s="212"/>
      <c r="L36" s="13">
        <f t="shared" si="3"/>
        <v>0</v>
      </c>
      <c r="M36" s="13" t="str">
        <f>IF(F36=60,IF(AND(L36&gt;$O$26,L36&lt;$P$26),$R$26,IF(AND(L36&gt;=$O$27,L36&lt;=$P$27),$R$27,IF(AND(L36&gt;=$O$28,L36&lt;=$P$28),$R$28,IF(AND(L36&gt;=$O$29,L36&lt;=$P$29),$R$29,IF(AND(L36&gt;=$O$30,L36&lt;=$P$30),$R$30,IF(AND(L36&gt;=$O$31,L36&lt;=$P$31),$R$31,IF(AND(L36&gt;=$O$32,L36&lt;=$P$32),$R$32,IF(AND(L36&gt;=$O$33,L36&lt;$P$33),$R$33,IF(AND(L36&gt;$O$34,L36&lt;$P$34),$R$34,IF(AND(L36&lt;=$P$35),$R$35,0)))))))))),IF(F36=70,IF(AND(L36&gt;$O$39,L36&lt;$P$39),$R$39,IF(AND(L36&gt;=$O$40,L36&lt;=$P$40),$R$40,IF(AND(L36&gt;=$O$41,L36&lt;=$P$41),$R$41,IF(AND(L36&gt;=$O$42,L36&lt;=$P$42),$R$42,IF(AND(L36&gt;=$O$43,L36&lt;=$P$43),$R$43,IF(AND(L36&gt;=$O$44,L36&lt;=$P$44),$R$44,IF(AND(L36&gt;=$O$45,L36&lt;=$P$45),$R$45,IF(AND(L36&gt;=$O$46,L36&lt;$P$46),$R$46,IF(AND(L36&gt;$O$47,L36&lt;$P$47),$R$47,IF(AND(L36&lt;=$P$48),$R$48,0))))))))))))</f>
        <v>D</v>
      </c>
      <c r="O36" s="20"/>
      <c r="P36" s="20"/>
      <c r="Q36" s="20"/>
      <c r="R36" s="20"/>
    </row>
    <row r="37" spans="2:18" ht="15.75" x14ac:dyDescent="0.25">
      <c r="B37" s="188" t="s">
        <v>55</v>
      </c>
      <c r="C37" s="188"/>
      <c r="D37" s="188"/>
      <c r="E37" s="188"/>
      <c r="F37" s="188"/>
      <c r="G37" s="188"/>
      <c r="H37" s="188"/>
      <c r="I37" s="188"/>
      <c r="J37" s="188"/>
      <c r="K37" s="188"/>
      <c r="L37" s="188"/>
      <c r="M37" s="188"/>
      <c r="O37" s="320" t="s">
        <v>140</v>
      </c>
      <c r="P37" s="321"/>
      <c r="Q37" s="321"/>
      <c r="R37" s="322"/>
    </row>
    <row r="38" spans="2:18" ht="16.5" thickBot="1" x14ac:dyDescent="0.3">
      <c r="B38" s="13">
        <v>1</v>
      </c>
      <c r="C38" s="183" t="s">
        <v>75</v>
      </c>
      <c r="D38" s="183"/>
      <c r="E38" s="183"/>
      <c r="F38" s="209">
        <f>'MP X RPL'!G24</f>
        <v>70</v>
      </c>
      <c r="G38" s="210"/>
      <c r="H38" s="211">
        <f>VLOOKUP(R9,'L X RPL'!$B$9:$BI$43,44)</f>
        <v>0</v>
      </c>
      <c r="I38" s="212"/>
      <c r="J38" s="211">
        <f>VLOOKUP(R9,'L X RPL'!$B$9:$BI$43,45)</f>
        <v>0</v>
      </c>
      <c r="K38" s="212"/>
      <c r="L38" s="13">
        <f>IF(J38=0,H38,AVERAGE(H38:K38))</f>
        <v>0</v>
      </c>
      <c r="M38" s="13" t="str">
        <f>IF(F38=60,IF(AND(L38&gt;$O$26,L38&lt;$P$26),$R$26,IF(AND(L38&gt;=$O$27,L38&lt;=$P$27),$R$27,IF(AND(L38&gt;=$O$28,L38&lt;=$P$28),$R$28,IF(AND(L38&gt;=$O$29,L38&lt;=$P$29),$R$29,IF(AND(L38&gt;=$O$30,L38&lt;=$P$30),$R$30,IF(AND(L38&gt;=$O$31,L38&lt;=$P$31),$R$31,IF(AND(L38&gt;=$O$32,L38&lt;=$P$32),$R$32,IF(AND(L38&gt;=$O$33,L38&lt;$P$33),$R$33,IF(AND(L38&gt;$O$34,L38&lt;$P$34),$R$34,IF(AND(L38&lt;=$P$35),$R$35,0)))))))))),IF(F38=70,IF(AND(L38&gt;$O$39,L38&lt;$P$39),$R$39,IF(AND(L38&gt;=$O$40,L38&lt;=$P$40),$R$40,IF(AND(L38&gt;=$O$41,L38&lt;=$P$41),$R$41,IF(AND(L38&gt;=$O$42,L38&lt;=$P$42),$R$42,IF(AND(L38&gt;=$O$43,L38&lt;=$P$43),$R$43,IF(AND(L38&gt;=$O$44,L38&lt;=$P$44),$R$44,IF(AND(L38&gt;=$O$45,L38&lt;=$P$45),$R$45,IF(AND(L38&gt;=$O$46,L38&lt;$P$46),$R$46,IF(AND(L38&gt;$O$47,L38&lt;$P$47),$R$47,IF(AND(L38&lt;=$P$48),$R$48,0))))))))))))</f>
        <v>D</v>
      </c>
      <c r="O38" s="48" t="s">
        <v>141</v>
      </c>
      <c r="P38" s="49" t="s">
        <v>142</v>
      </c>
      <c r="Q38" s="49"/>
      <c r="R38" s="50" t="s">
        <v>138</v>
      </c>
    </row>
    <row r="39" spans="2:18" ht="15.75" x14ac:dyDescent="0.25">
      <c r="B39" s="13">
        <v>2</v>
      </c>
      <c r="C39" s="183" t="s">
        <v>77</v>
      </c>
      <c r="D39" s="183"/>
      <c r="E39" s="183"/>
      <c r="F39" s="209">
        <f>'MP X RPL'!G25</f>
        <v>70</v>
      </c>
      <c r="G39" s="210"/>
      <c r="H39" s="211">
        <f>VLOOKUP(R9,'L X RPL'!$B$9:$BI$43,47)</f>
        <v>0</v>
      </c>
      <c r="I39" s="212"/>
      <c r="J39" s="211">
        <f>VLOOKUP(R9,'L X RPL'!$B$9:$BI$43,48)</f>
        <v>0</v>
      </c>
      <c r="K39" s="212"/>
      <c r="L39" s="13">
        <f t="shared" ref="L39:L41" si="4">IF(J39=0,H39,AVERAGE(H39:K39))</f>
        <v>0</v>
      </c>
      <c r="M39" s="13" t="str">
        <f>IF(F39=60,IF(AND(L39&gt;$O$26,L39&lt;$P$26),$R$26,IF(AND(L39&gt;=$O$27,L39&lt;=$P$27),$R$27,IF(AND(L39&gt;=$O$28,L39&lt;=$P$28),$R$28,IF(AND(L39&gt;=$O$29,L39&lt;=$P$29),$R$29,IF(AND(L39&gt;=$O$30,L39&lt;=$P$30),$R$30,IF(AND(L39&gt;=$O$31,L39&lt;=$P$31),$R$31,IF(AND(L39&gt;=$O$32,L39&lt;=$P$32),$R$32,IF(AND(L39&gt;=$O$33,L39&lt;$P$33),$R$33,IF(AND(L39&gt;$O$34,L39&lt;$P$34),$R$34,IF(AND(L39&lt;=$P$35),$R$35,0)))))))))),IF(F39=70,IF(AND(L39&gt;$O$39,L39&lt;$P$39),$R$39,IF(AND(L39&gt;=$O$40,L39&lt;=$P$40),$R$40,IF(AND(L39&gt;=$O$41,L39&lt;=$P$41),$R$41,IF(AND(L39&gt;=$O$42,L39&lt;=$P$42),$R$42,IF(AND(L39&gt;=$O$43,L39&lt;=$P$43),$R$43,IF(AND(L39&gt;=$O$44,L39&lt;=$P$44),$R$44,IF(AND(L39&gt;=$O$45,L39&lt;=$P$45),$R$45,IF(AND(L39&gt;=$O$46,L39&lt;$P$46),$R$46,IF(AND(L39&gt;$O$47,L39&lt;$P$47),$R$47,IF(AND(L39&lt;=$P$48),$R$48,0))))))))))))</f>
        <v>D</v>
      </c>
      <c r="O39" s="121">
        <v>96.5</v>
      </c>
      <c r="P39" s="122">
        <v>100</v>
      </c>
      <c r="Q39" s="45" t="s">
        <v>6</v>
      </c>
      <c r="R39" s="51" t="s">
        <v>137</v>
      </c>
    </row>
    <row r="40" spans="2:18" ht="15.75" x14ac:dyDescent="0.25">
      <c r="B40" s="13">
        <v>3</v>
      </c>
      <c r="C40" s="183" t="s">
        <v>76</v>
      </c>
      <c r="D40" s="183"/>
      <c r="E40" s="183"/>
      <c r="F40" s="209">
        <f>'MP X RPL'!G26</f>
        <v>70</v>
      </c>
      <c r="G40" s="210"/>
      <c r="H40" s="211">
        <f>VLOOKUP(R9,'L X RPL'!$B$9:$BI$43,50)</f>
        <v>0</v>
      </c>
      <c r="I40" s="212"/>
      <c r="J40" s="211">
        <f>VLOOKUP(R9,'L X RPL'!$B$9:$BI$43,51)</f>
        <v>0</v>
      </c>
      <c r="K40" s="212"/>
      <c r="L40" s="13">
        <f t="shared" si="4"/>
        <v>0</v>
      </c>
      <c r="M40" s="13" t="str">
        <f>IF(F40=60,IF(AND(L40&gt;$O$26,L40&lt;$P$26),$R$26,IF(AND(L40&gt;=$O$27,L40&lt;=$P$27),$R$27,IF(AND(L40&gt;=$O$28,L40&lt;=$P$28),$R$28,IF(AND(L40&gt;=$O$29,L40&lt;=$P$29),$R$29,IF(AND(L40&gt;=$O$30,L40&lt;=$P$30),$R$30,IF(AND(L40&gt;=$O$31,L40&lt;=$P$31),$R$31,IF(AND(L40&gt;=$O$32,L40&lt;=$P$32),$R$32,IF(AND(L40&gt;=$O$33,L40&lt;$P$33),$R$33,IF(AND(L40&gt;$O$34,L40&lt;$P$34),$R$34,IF(AND(L40&lt;=$P$35),$R$35,0)))))))))),IF(F40=70,IF(AND(L40&gt;$O$39,L40&lt;$P$39),$R$39,IF(AND(L40&gt;=$O$40,L40&lt;=$P$40),$R$40,IF(AND(L40&gt;=$O$41,L40&lt;=$P$41),$R$41,IF(AND(L40&gt;=$O$42,L40&lt;=$P$42),$R$42,IF(AND(L40&gt;=$O$43,L40&lt;=$P$43),$R$43,IF(AND(L40&gt;=$O$44,L40&lt;=$P$44),$R$44,IF(AND(L40&gt;=$O$45,L40&lt;=$P$45),$R$45,IF(AND(L40&gt;=$O$46,L40&lt;$P$46),$R$46,IF(AND(L40&gt;$O$47,L40&lt;$P$47),$R$47,IF(AND(L40&lt;=$P$48),$R$48,0))))))))))))</f>
        <v>D</v>
      </c>
      <c r="O40" s="123">
        <v>93.5</v>
      </c>
      <c r="P40" s="110">
        <v>96.49</v>
      </c>
      <c r="Q40" s="47" t="s">
        <v>6</v>
      </c>
      <c r="R40" s="52" t="s">
        <v>136</v>
      </c>
    </row>
    <row r="41" spans="2:18" ht="15.75" x14ac:dyDescent="0.25">
      <c r="B41" s="13">
        <v>4</v>
      </c>
      <c r="C41" s="183" t="s">
        <v>155</v>
      </c>
      <c r="D41" s="183"/>
      <c r="E41" s="183"/>
      <c r="F41" s="304">
        <f>'MP X RPL'!G27</f>
        <v>70</v>
      </c>
      <c r="G41" s="210"/>
      <c r="H41" s="211">
        <f>VLOOKUP(R9,'L X RPL'!$B$9:$BI$43,53)</f>
        <v>0</v>
      </c>
      <c r="I41" s="212"/>
      <c r="J41" s="211">
        <f>VLOOKUP(R9,'L X RPL'!$B$9:$BI$43,54)</f>
        <v>0</v>
      </c>
      <c r="K41" s="212"/>
      <c r="L41" s="13">
        <f t="shared" si="4"/>
        <v>0</v>
      </c>
      <c r="M41" s="13" t="str">
        <f>IF(F41=60,IF(AND(L41&gt;$O$26,L41&lt;$P$26),$R$26,IF(AND(L41&gt;=$O$27,L41&lt;=$P$27),$R$27,IF(AND(L41&gt;=$O$28,L41&lt;=$P$28),$R$28,IF(AND(L41&gt;=$O$29,L41&lt;=$P$29),$R$29,IF(AND(L41&gt;=$O$30,L41&lt;=$P$30),$R$30,IF(AND(L41&gt;=$O$31,L41&lt;=$P$31),$R$31,IF(AND(L41&gt;=$O$32,L41&lt;=$P$32),$R$32,IF(AND(L41&gt;=$O$33,L41&lt;$P$33),$R$33,IF(AND(L41&gt;$O$34,L41&lt;$P$34),$R$34,IF(AND(L41&lt;=$P$35),$R$35,0)))))))))),IF(F41=70,IF(AND(L41&gt;$O$39,L41&lt;$P$39),$R$39,IF(AND(L41&gt;=$O$40,L41&lt;=$P$40),$R$40,IF(AND(L41&gt;=$O$41,L41&lt;=$P$41),$R$41,IF(AND(L41&gt;=$O$42,L41&lt;=$P$42),$R$42,IF(AND(L41&gt;=$O$43,L41&lt;=$P$43),$R$43,IF(AND(L41&gt;=$O$44,L41&lt;=$P$44),$R$44,IF(AND(L41&gt;=$O$45,L41&lt;=$P$45),$R$45,IF(AND(L41&gt;=$O$46,L41&lt;$P$46),$R$46,IF(AND(L41&gt;$O$47,L41&lt;$P$47),$R$47,IF(AND(L41&lt;=$P$48),$R$48,0))))))))))))</f>
        <v>D</v>
      </c>
      <c r="O41" s="123">
        <v>89.5</v>
      </c>
      <c r="P41" s="110">
        <v>93.49</v>
      </c>
      <c r="Q41" s="47" t="s">
        <v>6</v>
      </c>
      <c r="R41" s="52" t="s">
        <v>135</v>
      </c>
    </row>
    <row r="42" spans="2:18" ht="15.75" x14ac:dyDescent="0.25">
      <c r="B42" s="209" t="s">
        <v>60</v>
      </c>
      <c r="C42" s="304"/>
      <c r="D42" s="304"/>
      <c r="E42" s="304"/>
      <c r="F42" s="304"/>
      <c r="G42" s="210"/>
      <c r="H42" s="332">
        <f>VLOOKUP(R9,'L X RPL'!$B$9:$BI$43,59)</f>
        <v>0</v>
      </c>
      <c r="I42" s="332"/>
      <c r="J42" s="332"/>
      <c r="K42" s="332"/>
      <c r="L42" s="332"/>
      <c r="M42" s="332"/>
      <c r="O42" s="123">
        <v>85.5</v>
      </c>
      <c r="P42" s="110">
        <v>89.49</v>
      </c>
      <c r="Q42" s="47" t="s">
        <v>6</v>
      </c>
      <c r="R42" s="52" t="s">
        <v>134</v>
      </c>
    </row>
    <row r="43" spans="2:18" ht="15.75" x14ac:dyDescent="0.25">
      <c r="B43" s="240" t="s">
        <v>61</v>
      </c>
      <c r="C43" s="241"/>
      <c r="D43" s="241"/>
      <c r="E43" s="241"/>
      <c r="F43" s="241"/>
      <c r="G43" s="242"/>
      <c r="H43" s="239">
        <f>VLOOKUP(R9,'L X RPL'!$B$9:$BI$43,60)</f>
        <v>1</v>
      </c>
      <c r="I43" s="239"/>
      <c r="J43" s="239"/>
      <c r="K43" s="239"/>
      <c r="L43" s="239"/>
      <c r="M43" s="239"/>
      <c r="O43" s="123">
        <v>81.5</v>
      </c>
      <c r="P43" s="110">
        <v>85.49</v>
      </c>
      <c r="Q43" s="47" t="s">
        <v>6</v>
      </c>
      <c r="R43" s="52" t="s">
        <v>118</v>
      </c>
    </row>
    <row r="44" spans="2:18" ht="15.75" x14ac:dyDescent="0.25">
      <c r="B44" s="334" t="s">
        <v>165</v>
      </c>
      <c r="C44" s="334"/>
      <c r="D44" s="334"/>
      <c r="E44" s="334"/>
      <c r="F44" s="334"/>
      <c r="G44" s="334"/>
      <c r="H44" s="334"/>
      <c r="I44" s="334"/>
      <c r="J44" s="334"/>
      <c r="K44" s="334"/>
      <c r="L44" s="334"/>
      <c r="M44" s="334"/>
      <c r="O44" s="123">
        <v>77.5</v>
      </c>
      <c r="P44" s="110">
        <v>81.489999999999995</v>
      </c>
      <c r="Q44" s="47" t="s">
        <v>6</v>
      </c>
      <c r="R44" s="52" t="s">
        <v>133</v>
      </c>
    </row>
    <row r="45" spans="2:18" ht="15" x14ac:dyDescent="0.25">
      <c r="B45" s="94" t="s">
        <v>27</v>
      </c>
      <c r="C45" s="267" t="s">
        <v>36</v>
      </c>
      <c r="D45" s="268"/>
      <c r="E45" s="269"/>
      <c r="F45" s="265" t="s">
        <v>172</v>
      </c>
      <c r="G45" s="265"/>
      <c r="H45" s="265"/>
      <c r="I45" s="265"/>
      <c r="J45" s="265"/>
      <c r="K45" s="265"/>
      <c r="L45" s="265"/>
      <c r="M45" s="265"/>
      <c r="O45" s="123">
        <v>73.5</v>
      </c>
      <c r="P45" s="110">
        <v>77.489999999999995</v>
      </c>
      <c r="Q45" s="47" t="s">
        <v>6</v>
      </c>
      <c r="R45" s="52" t="s">
        <v>132</v>
      </c>
    </row>
    <row r="46" spans="2:18" ht="15" x14ac:dyDescent="0.25">
      <c r="B46" s="7">
        <v>1</v>
      </c>
      <c r="C46" s="96" t="s">
        <v>166</v>
      </c>
      <c r="D46" s="95" t="s">
        <v>6</v>
      </c>
      <c r="E46" s="109">
        <f>VLOOKUP(R9,'BK &amp; EX &amp; PKL &amp; Press'!$B$9:$BO$66,26,0)</f>
        <v>0</v>
      </c>
      <c r="F46" s="266">
        <f>VLOOKUP(R9,'BK &amp; EX &amp; PKL &amp; Press'!$B$9:$BO$66,27,0)</f>
        <v>0</v>
      </c>
      <c r="G46" s="266"/>
      <c r="H46" s="266"/>
      <c r="I46" s="266"/>
      <c r="J46" s="266"/>
      <c r="K46" s="266"/>
      <c r="L46" s="266"/>
      <c r="M46" s="266"/>
      <c r="O46" s="123">
        <v>69.5</v>
      </c>
      <c r="P46" s="110">
        <v>73.489999999999995</v>
      </c>
      <c r="Q46" s="47" t="s">
        <v>6</v>
      </c>
      <c r="R46" s="52" t="s">
        <v>131</v>
      </c>
    </row>
    <row r="47" spans="2:18" ht="15" x14ac:dyDescent="0.25">
      <c r="B47" s="7">
        <v>2</v>
      </c>
      <c r="C47" s="96" t="s">
        <v>159</v>
      </c>
      <c r="D47" s="95" t="s">
        <v>6</v>
      </c>
      <c r="E47" s="109">
        <f>VLOOKUP(R9,'BK &amp; EX &amp; PKL &amp; Press'!$B$9:$BO$66,29,0)</f>
        <v>0</v>
      </c>
      <c r="F47" s="266">
        <f>VLOOKUP(R9,'BK &amp; EX &amp; PKL &amp; Press'!$B$9:$BO$66,30,0)</f>
        <v>0</v>
      </c>
      <c r="G47" s="266"/>
      <c r="H47" s="266"/>
      <c r="I47" s="266"/>
      <c r="J47" s="266"/>
      <c r="K47" s="266"/>
      <c r="L47" s="266"/>
      <c r="M47" s="266"/>
      <c r="O47" s="123">
        <v>64.5</v>
      </c>
      <c r="P47" s="110">
        <v>69.489999999999995</v>
      </c>
      <c r="Q47" s="47" t="s">
        <v>6</v>
      </c>
      <c r="R47" s="52" t="s">
        <v>130</v>
      </c>
    </row>
    <row r="48" spans="2:18" ht="15.75" thickBot="1" x14ac:dyDescent="0.3">
      <c r="B48" s="7">
        <v>3</v>
      </c>
      <c r="C48" s="96" t="s">
        <v>167</v>
      </c>
      <c r="D48" s="95" t="s">
        <v>6</v>
      </c>
      <c r="E48" s="109">
        <f>VLOOKUP(R9,'BK &amp; EX &amp; PKL &amp; Press'!$B$9:$BO$66,32,0)</f>
        <v>0</v>
      </c>
      <c r="F48" s="266">
        <f>VLOOKUP(R9,'BK &amp; EX &amp; PKL &amp; Press'!$B$9:$BO$66,33,0)</f>
        <v>0</v>
      </c>
      <c r="G48" s="266"/>
      <c r="H48" s="266"/>
      <c r="I48" s="266"/>
      <c r="J48" s="266"/>
      <c r="K48" s="266"/>
      <c r="L48" s="266"/>
      <c r="M48" s="266"/>
      <c r="O48" s="48">
        <v>60.5</v>
      </c>
      <c r="P48" s="111">
        <v>64.489999999999995</v>
      </c>
      <c r="Q48" s="49" t="s">
        <v>6</v>
      </c>
      <c r="R48" s="50" t="s">
        <v>129</v>
      </c>
    </row>
    <row r="49" spans="2:13" ht="15" x14ac:dyDescent="0.25">
      <c r="B49" s="7">
        <v>4</v>
      </c>
      <c r="C49" s="96" t="s">
        <v>168</v>
      </c>
      <c r="D49" s="95" t="s">
        <v>6</v>
      </c>
      <c r="E49" s="109">
        <f>VLOOKUP(R9,'BK &amp; EX &amp; PKL &amp; Press'!$B$9:$BO$66,35,0)</f>
        <v>0</v>
      </c>
      <c r="F49" s="266">
        <f>VLOOKUP(R9,'BK &amp; EX &amp; PKL &amp; Press'!$B$9:$BO$66,36,0)</f>
        <v>0</v>
      </c>
      <c r="G49" s="266"/>
      <c r="H49" s="266"/>
      <c r="I49" s="266"/>
      <c r="J49" s="266"/>
      <c r="K49" s="266"/>
      <c r="L49" s="266"/>
      <c r="M49" s="266"/>
    </row>
    <row r="50" spans="2:13" ht="15" x14ac:dyDescent="0.25">
      <c r="B50" s="7">
        <v>5</v>
      </c>
      <c r="C50" s="96" t="s">
        <v>169</v>
      </c>
      <c r="D50" s="95" t="s">
        <v>6</v>
      </c>
      <c r="E50" s="109">
        <f>VLOOKUP(R9,'BK &amp; EX &amp; PKL &amp; Press'!$B$9:$BO$66,38,0)</f>
        <v>0</v>
      </c>
      <c r="F50" s="266">
        <f>VLOOKUP(R9,'BK &amp; EX &amp; PKL &amp; Press'!$B$9:$BO$66,39,0)</f>
        <v>0</v>
      </c>
      <c r="G50" s="266"/>
      <c r="H50" s="266"/>
      <c r="I50" s="266"/>
      <c r="J50" s="266"/>
      <c r="K50" s="266"/>
      <c r="L50" s="266"/>
      <c r="M50" s="266"/>
    </row>
    <row r="51" spans="2:13" ht="15" x14ac:dyDescent="0.25">
      <c r="B51" s="7">
        <v>6</v>
      </c>
      <c r="C51" s="96" t="s">
        <v>160</v>
      </c>
      <c r="D51" s="95" t="s">
        <v>6</v>
      </c>
      <c r="E51" s="109">
        <f>VLOOKUP(R9,'BK &amp; EX &amp; PKL &amp; Press'!$B$9:$BO$66,41,0)</f>
        <v>0</v>
      </c>
      <c r="F51" s="266">
        <f>VLOOKUP(R9,'BK &amp; EX &amp; PKL &amp; Press'!$B$9:$BO$66,42,0)</f>
        <v>0</v>
      </c>
      <c r="G51" s="266"/>
      <c r="H51" s="266"/>
      <c r="I51" s="266"/>
      <c r="J51" s="266"/>
      <c r="K51" s="266"/>
      <c r="L51" s="266"/>
      <c r="M51" s="266"/>
    </row>
    <row r="52" spans="2:13" ht="15" x14ac:dyDescent="0.25">
      <c r="B52" s="7">
        <v>7</v>
      </c>
      <c r="C52" s="96" t="s">
        <v>170</v>
      </c>
      <c r="D52" s="95" t="s">
        <v>6</v>
      </c>
      <c r="E52" s="109" t="str">
        <f>VLOOKUP(R9,'BK &amp; EX &amp; PKL &amp; Press'!$B$9:$BO$66,44,0)</f>
        <v>A</v>
      </c>
      <c r="F52" s="266" t="str">
        <f>VLOOKUP(R9,'BK &amp; EX &amp; PKL &amp; Press'!$B$9:$BO$66,45,0)</f>
        <v>Ananda AFMALA INSAN QOIRUNISA Sangat baik dalam mengikuti kegiatan ekstrakurikuler Marching Band</v>
      </c>
      <c r="G52" s="266"/>
      <c r="H52" s="266"/>
      <c r="I52" s="266"/>
      <c r="J52" s="266"/>
      <c r="K52" s="266"/>
      <c r="L52" s="266"/>
      <c r="M52" s="266"/>
    </row>
    <row r="53" spans="2:13" ht="15" x14ac:dyDescent="0.25">
      <c r="B53" s="7">
        <v>8</v>
      </c>
      <c r="C53" s="96" t="s">
        <v>171</v>
      </c>
      <c r="D53" s="95" t="s">
        <v>6</v>
      </c>
      <c r="E53" s="109">
        <f>VLOOKUP(R9,'BK &amp; EX &amp; PKL &amp; Press'!$B$9:$BO$66,47,0)</f>
        <v>0</v>
      </c>
      <c r="F53" s="266">
        <f>VLOOKUP(R9,'BK &amp; EX &amp; PKL &amp; Press'!$B$9:$BO$66,48,0)</f>
        <v>0</v>
      </c>
      <c r="G53" s="266"/>
      <c r="H53" s="266"/>
      <c r="I53" s="266"/>
      <c r="J53" s="266"/>
      <c r="K53" s="266"/>
      <c r="L53" s="266"/>
      <c r="M53" s="266"/>
    </row>
    <row r="54" spans="2:13" ht="15" customHeight="1" x14ac:dyDescent="0.25">
      <c r="B54" s="243" t="s">
        <v>173</v>
      </c>
      <c r="C54" s="244"/>
      <c r="D54" s="244"/>
      <c r="E54" s="245"/>
      <c r="F54" s="254" t="s">
        <v>174</v>
      </c>
      <c r="G54" s="254"/>
      <c r="H54" s="254"/>
      <c r="I54" s="97" t="s">
        <v>6</v>
      </c>
      <c r="J54" s="99">
        <f>VLOOKUP(R9,'BK &amp; EX &amp; PKL &amp; Press'!$B$9:$BO$66,56,0)</f>
        <v>0</v>
      </c>
      <c r="K54" s="254" t="s">
        <v>177</v>
      </c>
      <c r="L54" s="254"/>
      <c r="M54" s="257"/>
    </row>
    <row r="55" spans="2:13" ht="15" customHeight="1" x14ac:dyDescent="0.25">
      <c r="B55" s="246"/>
      <c r="C55" s="247"/>
      <c r="D55" s="247"/>
      <c r="E55" s="248"/>
      <c r="F55" s="253" t="s">
        <v>175</v>
      </c>
      <c r="G55" s="253"/>
      <c r="H55" s="253"/>
      <c r="I55" s="6" t="s">
        <v>6</v>
      </c>
      <c r="J55" s="100">
        <f>VLOOKUP(R9,'BK &amp; EX &amp; PKL &amp; Press'!$B$9:$BO$66,57,0)</f>
        <v>1</v>
      </c>
      <c r="K55" s="253" t="s">
        <v>177</v>
      </c>
      <c r="L55" s="253"/>
      <c r="M55" s="256"/>
    </row>
    <row r="56" spans="2:13" ht="15" customHeight="1" x14ac:dyDescent="0.25">
      <c r="B56" s="249"/>
      <c r="C56" s="250"/>
      <c r="D56" s="250"/>
      <c r="E56" s="251"/>
      <c r="F56" s="252" t="s">
        <v>176</v>
      </c>
      <c r="G56" s="252"/>
      <c r="H56" s="252"/>
      <c r="I56" s="98" t="s">
        <v>6</v>
      </c>
      <c r="J56" s="101">
        <f>VLOOKUP(R9,'BK &amp; EX &amp; PKL &amp; Press'!$B$9:$BO$66,58,0)</f>
        <v>0</v>
      </c>
      <c r="K56" s="252" t="s">
        <v>177</v>
      </c>
      <c r="L56" s="252"/>
      <c r="M56" s="255"/>
    </row>
    <row r="57" spans="2:13" ht="15.75" x14ac:dyDescent="0.25">
      <c r="B57" s="271" t="s">
        <v>178</v>
      </c>
      <c r="C57" s="272"/>
      <c r="D57" s="272"/>
      <c r="E57" s="272"/>
      <c r="F57" s="272"/>
      <c r="G57" s="272"/>
      <c r="H57" s="272"/>
      <c r="I57" s="272"/>
      <c r="J57" s="272"/>
      <c r="K57" s="272"/>
      <c r="L57" s="272"/>
      <c r="M57" s="273"/>
    </row>
    <row r="58" spans="2:13" ht="15" x14ac:dyDescent="0.25">
      <c r="B58" s="274"/>
      <c r="C58" s="151"/>
      <c r="D58" s="151"/>
      <c r="E58" s="151"/>
      <c r="F58" s="151"/>
      <c r="G58" s="151"/>
      <c r="H58" s="151"/>
      <c r="I58" s="151"/>
      <c r="J58" s="151"/>
      <c r="K58" s="151"/>
      <c r="L58" s="151"/>
      <c r="M58" s="275"/>
    </row>
    <row r="59" spans="2:13" ht="15" x14ac:dyDescent="0.25">
      <c r="B59" s="276"/>
      <c r="C59" s="277"/>
      <c r="D59" s="277"/>
      <c r="E59" s="277"/>
      <c r="F59" s="277"/>
      <c r="G59" s="277"/>
      <c r="H59" s="277"/>
      <c r="I59" s="277"/>
      <c r="J59" s="277"/>
      <c r="K59" s="277"/>
      <c r="L59" s="277"/>
      <c r="M59" s="278"/>
    </row>
    <row r="60" spans="2:13" ht="15" x14ac:dyDescent="0.25">
      <c r="B60" s="6"/>
      <c r="C60" s="6"/>
      <c r="D60" s="6"/>
      <c r="E60" s="6"/>
      <c r="F60" s="6"/>
      <c r="G60" s="6"/>
      <c r="H60" s="6"/>
      <c r="I60" s="6"/>
      <c r="J60" s="6"/>
      <c r="K60" s="6"/>
      <c r="L60" s="6"/>
      <c r="M60" s="6"/>
    </row>
    <row r="61" spans="2:13" ht="15.75" x14ac:dyDescent="0.25">
      <c r="B61" s="1"/>
      <c r="C61" s="1"/>
      <c r="D61" s="1"/>
      <c r="E61" s="1"/>
      <c r="F61" s="1"/>
      <c r="G61" s="1"/>
      <c r="H61" s="1"/>
      <c r="I61" s="1"/>
      <c r="J61" s="129" t="str">
        <f>ID!G11</f>
        <v>31 MARET 2023</v>
      </c>
      <c r="K61" s="129"/>
      <c r="L61" s="129"/>
      <c r="M61" s="129"/>
    </row>
    <row r="62" spans="2:13" ht="15.75" x14ac:dyDescent="0.25">
      <c r="E62" s="1"/>
      <c r="F62" s="1" t="s">
        <v>67</v>
      </c>
      <c r="G62" s="1"/>
      <c r="H62" s="1"/>
      <c r="I62" s="1"/>
      <c r="J62" s="1"/>
      <c r="K62" s="1"/>
      <c r="L62" s="1"/>
      <c r="M62" s="1"/>
    </row>
    <row r="63" spans="2:13" ht="15.75" x14ac:dyDescent="0.25">
      <c r="B63" s="203" t="s">
        <v>180</v>
      </c>
      <c r="C63" s="203"/>
      <c r="D63" s="203"/>
      <c r="E63" s="203" t="s">
        <v>179</v>
      </c>
      <c r="F63" s="203"/>
      <c r="G63" s="203"/>
      <c r="H63" s="203"/>
      <c r="I63" s="203"/>
      <c r="J63" s="203" t="s">
        <v>62</v>
      </c>
      <c r="K63" s="203"/>
      <c r="L63" s="203"/>
      <c r="M63" s="203"/>
    </row>
    <row r="64" spans="2:13" ht="15.75" x14ac:dyDescent="0.25">
      <c r="B64" s="1"/>
      <c r="C64" s="1"/>
      <c r="D64" s="1"/>
      <c r="E64" s="1"/>
      <c r="F64" s="1"/>
      <c r="G64" s="1"/>
      <c r="H64" s="1"/>
      <c r="I64" s="1"/>
      <c r="J64" s="1"/>
      <c r="K64" s="1"/>
      <c r="L64" s="1"/>
      <c r="M64" s="1"/>
    </row>
    <row r="65" spans="2:19" ht="15.75" x14ac:dyDescent="0.25">
      <c r="B65" s="1"/>
      <c r="C65" s="1"/>
      <c r="D65" s="1"/>
      <c r="E65" s="1"/>
      <c r="F65" s="1"/>
      <c r="G65" s="1"/>
      <c r="H65" s="1"/>
      <c r="I65" s="1"/>
      <c r="J65" s="1"/>
      <c r="K65" s="1"/>
      <c r="L65" s="1"/>
      <c r="M65" s="1"/>
    </row>
    <row r="66" spans="2:19" ht="15.75" x14ac:dyDescent="0.25">
      <c r="B66" s="1"/>
      <c r="C66" s="1"/>
      <c r="D66" s="1"/>
      <c r="E66" s="1"/>
      <c r="F66" s="1"/>
      <c r="G66" s="1"/>
      <c r="H66" s="1"/>
      <c r="I66" s="1"/>
      <c r="J66" s="1"/>
      <c r="K66" s="1"/>
      <c r="L66" s="1"/>
      <c r="M66" s="1"/>
    </row>
    <row r="67" spans="2:19" ht="15.75" x14ac:dyDescent="0.25">
      <c r="B67" s="270" t="s">
        <v>209</v>
      </c>
      <c r="C67" s="270"/>
      <c r="D67" s="270"/>
      <c r="E67" s="204" t="str">
        <f>ID!G6</f>
        <v>Sri Rahayu, S.Pd., SE.</v>
      </c>
      <c r="F67" s="204"/>
      <c r="G67" s="204"/>
      <c r="H67" s="204"/>
      <c r="I67" s="204"/>
      <c r="J67" s="204" t="str">
        <f>ID!G10</f>
        <v>SURADI S.Pd.</v>
      </c>
      <c r="K67" s="204"/>
      <c r="L67" s="204"/>
      <c r="M67" s="204"/>
    </row>
    <row r="68" spans="2:19" ht="15.75" x14ac:dyDescent="0.25">
      <c r="B68" s="204"/>
      <c r="C68" s="204"/>
      <c r="D68" s="204"/>
      <c r="E68" s="204"/>
      <c r="F68" s="1"/>
      <c r="G68" s="1"/>
      <c r="H68" s="204"/>
      <c r="I68" s="204"/>
      <c r="J68" s="204"/>
      <c r="K68" s="204"/>
      <c r="L68" s="204"/>
      <c r="M68" s="204"/>
    </row>
    <row r="69" spans="2:19" ht="15.75" x14ac:dyDescent="0.25">
      <c r="B69" s="4"/>
      <c r="C69" s="4"/>
      <c r="D69" s="4"/>
      <c r="E69" s="4"/>
      <c r="F69" s="1"/>
      <c r="G69" s="1"/>
      <c r="H69" s="4"/>
      <c r="I69" s="4"/>
      <c r="J69" s="4"/>
      <c r="K69" s="4"/>
      <c r="L69" s="4"/>
      <c r="M69" s="4"/>
    </row>
    <row r="70" spans="2:19" s="12" customFormat="1" ht="7.5" customHeight="1" x14ac:dyDescent="0.25">
      <c r="S70"/>
    </row>
  </sheetData>
  <sheetProtection selectLockedCells="1"/>
  <mergeCells count="146">
    <mergeCell ref="B18:M18"/>
    <mergeCell ref="B57:M57"/>
    <mergeCell ref="B58:M59"/>
    <mergeCell ref="J61:M61"/>
    <mergeCell ref="B63:D63"/>
    <mergeCell ref="E63:I63"/>
    <mergeCell ref="J63:M63"/>
    <mergeCell ref="B67:D67"/>
    <mergeCell ref="E67:I67"/>
    <mergeCell ref="J67:M67"/>
    <mergeCell ref="F52:M52"/>
    <mergeCell ref="F53:M53"/>
    <mergeCell ref="B54:E56"/>
    <mergeCell ref="F54:H54"/>
    <mergeCell ref="K54:M54"/>
    <mergeCell ref="F55:H55"/>
    <mergeCell ref="K55:M55"/>
    <mergeCell ref="F56:H56"/>
    <mergeCell ref="K56:M56"/>
    <mergeCell ref="B44:M44"/>
    <mergeCell ref="C45:E45"/>
    <mergeCell ref="F45:M45"/>
    <mergeCell ref="F46:M46"/>
    <mergeCell ref="F47:M47"/>
    <mergeCell ref="F48:M48"/>
    <mergeCell ref="F49:M49"/>
    <mergeCell ref="F50:M50"/>
    <mergeCell ref="F51:M51"/>
    <mergeCell ref="J41:K41"/>
    <mergeCell ref="C41:E41"/>
    <mergeCell ref="H19:I19"/>
    <mergeCell ref="J19:K19"/>
    <mergeCell ref="B68:E68"/>
    <mergeCell ref="H68:M68"/>
    <mergeCell ref="J39:K39"/>
    <mergeCell ref="J40:K40"/>
    <mergeCell ref="B42:G42"/>
    <mergeCell ref="H42:M42"/>
    <mergeCell ref="B43:G43"/>
    <mergeCell ref="H43:M43"/>
    <mergeCell ref="C22:E22"/>
    <mergeCell ref="H22:I22"/>
    <mergeCell ref="C23:E23"/>
    <mergeCell ref="C24:E24"/>
    <mergeCell ref="H24:I24"/>
    <mergeCell ref="H23:I23"/>
    <mergeCell ref="F24:G24"/>
    <mergeCell ref="F41:G41"/>
    <mergeCell ref="H41:I41"/>
    <mergeCell ref="C25:E25"/>
    <mergeCell ref="H25:I25"/>
    <mergeCell ref="C29:E29"/>
    <mergeCell ref="V2:AC2"/>
    <mergeCell ref="J25:K25"/>
    <mergeCell ref="J26:K26"/>
    <mergeCell ref="B27:M27"/>
    <mergeCell ref="C28:E28"/>
    <mergeCell ref="F28:G28"/>
    <mergeCell ref="H28:I28"/>
    <mergeCell ref="J28:K28"/>
    <mergeCell ref="B10:M10"/>
    <mergeCell ref="B11:M11"/>
    <mergeCell ref="B12:M12"/>
    <mergeCell ref="B16:C16"/>
    <mergeCell ref="B15:C15"/>
    <mergeCell ref="E16:F16"/>
    <mergeCell ref="D2:M2"/>
    <mergeCell ref="D3:M3"/>
    <mergeCell ref="D4:M4"/>
    <mergeCell ref="D5:M5"/>
    <mergeCell ref="D6:M6"/>
    <mergeCell ref="D7:M7"/>
    <mergeCell ref="D8:M8"/>
    <mergeCell ref="D9:M9"/>
    <mergeCell ref="C19:E19"/>
    <mergeCell ref="F19:G19"/>
    <mergeCell ref="F26:G26"/>
    <mergeCell ref="F25:G25"/>
    <mergeCell ref="B20:M20"/>
    <mergeCell ref="C21:E21"/>
    <mergeCell ref="F21:G21"/>
    <mergeCell ref="H21:I21"/>
    <mergeCell ref="J21:K21"/>
    <mergeCell ref="J22:K22"/>
    <mergeCell ref="J23:K23"/>
    <mergeCell ref="J24:K24"/>
    <mergeCell ref="F23:G23"/>
    <mergeCell ref="F22:G22"/>
    <mergeCell ref="E15:F15"/>
    <mergeCell ref="B14:C14"/>
    <mergeCell ref="E14:F14"/>
    <mergeCell ref="J14:M14"/>
    <mergeCell ref="J15:M15"/>
    <mergeCell ref="J16:M16"/>
    <mergeCell ref="C26:E26"/>
    <mergeCell ref="H26:I26"/>
    <mergeCell ref="H29:I29"/>
    <mergeCell ref="J31:K31"/>
    <mergeCell ref="C35:E35"/>
    <mergeCell ref="F35:G35"/>
    <mergeCell ref="H35:I35"/>
    <mergeCell ref="B33:M33"/>
    <mergeCell ref="B32:M32"/>
    <mergeCell ref="C34:E34"/>
    <mergeCell ref="F34:G34"/>
    <mergeCell ref="H34:I34"/>
    <mergeCell ref="J34:K34"/>
    <mergeCell ref="J35:K35"/>
    <mergeCell ref="F29:G29"/>
    <mergeCell ref="J30:K30"/>
    <mergeCell ref="C30:E30"/>
    <mergeCell ref="J29:K29"/>
    <mergeCell ref="C36:E36"/>
    <mergeCell ref="F36:G36"/>
    <mergeCell ref="H36:I36"/>
    <mergeCell ref="J36:K36"/>
    <mergeCell ref="C31:E31"/>
    <mergeCell ref="F31:G31"/>
    <mergeCell ref="F30:G30"/>
    <mergeCell ref="H31:I31"/>
    <mergeCell ref="H30:I30"/>
    <mergeCell ref="B37:M37"/>
    <mergeCell ref="C39:E39"/>
    <mergeCell ref="C40:E40"/>
    <mergeCell ref="H40:I40"/>
    <mergeCell ref="H39:I39"/>
    <mergeCell ref="C38:E38"/>
    <mergeCell ref="F38:G38"/>
    <mergeCell ref="H38:I38"/>
    <mergeCell ref="J38:K38"/>
    <mergeCell ref="F40:G40"/>
    <mergeCell ref="F39:G39"/>
    <mergeCell ref="P12:Q14"/>
    <mergeCell ref="R12:R14"/>
    <mergeCell ref="O24:R24"/>
    <mergeCell ref="O37:R37"/>
    <mergeCell ref="V3:AC3"/>
    <mergeCell ref="V4:AC4"/>
    <mergeCell ref="V5:AC5"/>
    <mergeCell ref="V6:AC6"/>
    <mergeCell ref="O7:R8"/>
    <mergeCell ref="V7:AC7"/>
    <mergeCell ref="V8:AC8"/>
    <mergeCell ref="P9:Q11"/>
    <mergeCell ref="R9:R11"/>
    <mergeCell ref="V9:AC9"/>
  </mergeCells>
  <printOptions horizontalCentered="1"/>
  <pageMargins left="0.196850393700787" right="0.196850393700787" top="0.5" bottom="0" header="0.31496062992126" footer="0.31496062992126"/>
  <pageSetup paperSize="10000" scale="8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12" r:id="rId4" name="Spinner 4">
              <controlPr defaultSize="0" autoPict="0">
                <anchor moveWithCells="1" sizeWithCells="1">
                  <from>
                    <xdr:col>14</xdr:col>
                    <xdr:colOff>28575</xdr:colOff>
                    <xdr:row>8</xdr:row>
                    <xdr:rowOff>0</xdr:rowOff>
                  </from>
                  <to>
                    <xdr:col>14</xdr:col>
                    <xdr:colOff>466725</xdr:colOff>
                    <xdr:row>14</xdr:row>
                    <xdr:rowOff>19050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0">
    <tabColor rgb="FF00B0F0"/>
    <pageSetUpPr fitToPage="1"/>
  </sheetPr>
  <dimension ref="A1:AC45"/>
  <sheetViews>
    <sheetView zoomScale="70" zoomScaleNormal="70" workbookViewId="0">
      <selection activeCell="N2" sqref="N2"/>
    </sheetView>
  </sheetViews>
  <sheetFormatPr defaultColWidth="0" defaultRowHeight="0" customHeight="1" zeroHeight="1" x14ac:dyDescent="0.25"/>
  <cols>
    <col min="1" max="1" width="1.5703125" style="12" customWidth="1"/>
    <col min="2" max="2" width="4.7109375" customWidth="1"/>
    <col min="3" max="3" width="16.7109375" customWidth="1"/>
    <col min="4" max="4" width="1.140625" customWidth="1"/>
    <col min="5" max="5" width="22.42578125" customWidth="1"/>
    <col min="6" max="6" width="9.42578125" customWidth="1"/>
    <col min="7" max="7" width="2.140625" customWidth="1"/>
    <col min="8" max="8" width="17.140625" customWidth="1"/>
    <col min="9" max="9" width="2.28515625" customWidth="1"/>
    <col min="10" max="10" width="16.140625" customWidth="1"/>
    <col min="11" max="11" width="1.85546875" customWidth="1"/>
    <col min="12" max="12" width="4.85546875" customWidth="1"/>
    <col min="13" max="13" width="13.7109375" customWidth="1"/>
    <col min="14" max="14" width="1.7109375" customWidth="1"/>
    <col min="15" max="16" width="9.140625" customWidth="1"/>
    <col min="17" max="17" width="2.42578125" customWidth="1"/>
    <col min="18" max="18" width="16.7109375" customWidth="1"/>
    <col min="19" max="19" width="1" customWidth="1"/>
    <col min="20" max="20" width="1.7109375" style="12" customWidth="1"/>
    <col min="21" max="29" width="0" hidden="1" customWidth="1"/>
    <col min="30" max="16384" width="9.140625" hidden="1"/>
  </cols>
  <sheetData>
    <row r="1" spans="2:29" s="21" customFormat="1" ht="7.5" customHeight="1" x14ac:dyDescent="0.25"/>
    <row r="2" spans="2:29" ht="15.75" x14ac:dyDescent="0.25">
      <c r="C2" s="3"/>
      <c r="D2" s="204" t="s">
        <v>11</v>
      </c>
      <c r="E2" s="204"/>
      <c r="F2" s="204"/>
      <c r="G2" s="204"/>
      <c r="H2" s="204"/>
      <c r="I2" s="204"/>
      <c r="J2" s="204"/>
      <c r="K2" s="204"/>
      <c r="L2" s="204"/>
      <c r="M2" s="204"/>
      <c r="N2" s="20"/>
      <c r="O2" s="20"/>
      <c r="P2" s="20"/>
      <c r="Q2" s="20"/>
      <c r="R2" s="20"/>
      <c r="V2" s="204"/>
      <c r="W2" s="204"/>
      <c r="X2" s="204"/>
      <c r="Y2" s="204"/>
      <c r="Z2" s="204"/>
      <c r="AA2" s="204"/>
      <c r="AB2" s="204"/>
      <c r="AC2" s="204"/>
    </row>
    <row r="3" spans="2:29" ht="15.75" x14ac:dyDescent="0.25">
      <c r="C3" s="3"/>
      <c r="D3" s="204" t="s">
        <v>12</v>
      </c>
      <c r="E3" s="204"/>
      <c r="F3" s="204"/>
      <c r="G3" s="204"/>
      <c r="H3" s="204"/>
      <c r="I3" s="204"/>
      <c r="J3" s="204"/>
      <c r="K3" s="204"/>
      <c r="L3" s="204"/>
      <c r="M3" s="204"/>
      <c r="N3" s="20"/>
      <c r="O3" s="20"/>
      <c r="P3" s="20"/>
      <c r="Q3" s="20"/>
      <c r="R3" s="20"/>
      <c r="V3" s="204"/>
      <c r="W3" s="204"/>
      <c r="X3" s="204"/>
      <c r="Y3" s="204"/>
      <c r="Z3" s="204"/>
      <c r="AA3" s="204"/>
      <c r="AB3" s="204"/>
      <c r="AC3" s="204"/>
    </row>
    <row r="4" spans="2:29" ht="15.75" x14ac:dyDescent="0.25">
      <c r="C4" s="1"/>
      <c r="D4" s="203" t="s">
        <v>13</v>
      </c>
      <c r="E4" s="203"/>
      <c r="F4" s="203"/>
      <c r="G4" s="203"/>
      <c r="H4" s="203"/>
      <c r="I4" s="203"/>
      <c r="J4" s="203"/>
      <c r="K4" s="203"/>
      <c r="L4" s="203"/>
      <c r="M4" s="203"/>
      <c r="N4" s="20"/>
      <c r="O4" s="20"/>
      <c r="P4" s="20"/>
      <c r="Q4" s="20"/>
      <c r="R4" s="20"/>
      <c r="V4" s="203"/>
      <c r="W4" s="203"/>
      <c r="X4" s="203"/>
      <c r="Y4" s="203"/>
      <c r="Z4" s="203"/>
      <c r="AA4" s="203"/>
      <c r="AB4" s="203"/>
      <c r="AC4" s="203"/>
    </row>
    <row r="5" spans="2:29" ht="15.75" x14ac:dyDescent="0.25">
      <c r="C5" s="1"/>
      <c r="D5" s="203" t="s">
        <v>14</v>
      </c>
      <c r="E5" s="203"/>
      <c r="F5" s="203"/>
      <c r="G5" s="203"/>
      <c r="H5" s="203"/>
      <c r="I5" s="203"/>
      <c r="J5" s="203"/>
      <c r="K5" s="203"/>
      <c r="L5" s="203"/>
      <c r="M5" s="203"/>
      <c r="N5" s="20"/>
      <c r="O5" s="20"/>
      <c r="P5" s="20"/>
      <c r="Q5" s="20"/>
      <c r="R5" s="20"/>
      <c r="V5" s="203"/>
      <c r="W5" s="203"/>
      <c r="X5" s="203"/>
      <c r="Y5" s="203"/>
      <c r="Z5" s="203"/>
      <c r="AA5" s="203"/>
      <c r="AB5" s="203"/>
      <c r="AC5" s="203"/>
    </row>
    <row r="6" spans="2:29" ht="16.5" thickBot="1" x14ac:dyDescent="0.3">
      <c r="C6" s="3"/>
      <c r="D6" s="204" t="s">
        <v>1</v>
      </c>
      <c r="E6" s="204"/>
      <c r="F6" s="204"/>
      <c r="G6" s="204"/>
      <c r="H6" s="204"/>
      <c r="I6" s="204"/>
      <c r="J6" s="204"/>
      <c r="K6" s="204"/>
      <c r="L6" s="204"/>
      <c r="M6" s="204"/>
      <c r="N6" s="20"/>
      <c r="O6" s="20"/>
      <c r="P6" s="20"/>
      <c r="Q6" s="20"/>
      <c r="R6" s="20"/>
      <c r="V6" s="204"/>
      <c r="W6" s="204"/>
      <c r="X6" s="204"/>
      <c r="Y6" s="204"/>
      <c r="Z6" s="204"/>
      <c r="AA6" s="204"/>
      <c r="AB6" s="204"/>
      <c r="AC6" s="204"/>
    </row>
    <row r="7" spans="2:29" ht="15.75" x14ac:dyDescent="0.25">
      <c r="C7" s="1"/>
      <c r="D7" s="203" t="s">
        <v>15</v>
      </c>
      <c r="E7" s="203"/>
      <c r="F7" s="203"/>
      <c r="G7" s="203"/>
      <c r="H7" s="203"/>
      <c r="I7" s="203"/>
      <c r="J7" s="203"/>
      <c r="K7" s="203"/>
      <c r="L7" s="203"/>
      <c r="M7" s="203"/>
      <c r="N7" s="20"/>
      <c r="O7" s="233" t="s">
        <v>69</v>
      </c>
      <c r="P7" s="234"/>
      <c r="Q7" s="234"/>
      <c r="R7" s="235"/>
      <c r="S7" s="19"/>
      <c r="V7" s="203"/>
      <c r="W7" s="203"/>
      <c r="X7" s="203"/>
      <c r="Y7" s="203"/>
      <c r="Z7" s="203"/>
      <c r="AA7" s="203"/>
      <c r="AB7" s="203"/>
      <c r="AC7" s="203"/>
    </row>
    <row r="8" spans="2:29" ht="15.75" x14ac:dyDescent="0.25">
      <c r="C8" s="1"/>
      <c r="D8" s="203" t="s">
        <v>16</v>
      </c>
      <c r="E8" s="203"/>
      <c r="F8" s="203"/>
      <c r="G8" s="203"/>
      <c r="H8" s="203"/>
      <c r="I8" s="203"/>
      <c r="J8" s="203"/>
      <c r="K8" s="203"/>
      <c r="L8" s="203"/>
      <c r="M8" s="203"/>
      <c r="N8" s="20"/>
      <c r="O8" s="236"/>
      <c r="P8" s="237"/>
      <c r="Q8" s="237"/>
      <c r="R8" s="238"/>
      <c r="V8" s="203"/>
      <c r="W8" s="203"/>
      <c r="X8" s="203"/>
      <c r="Y8" s="203"/>
      <c r="Z8" s="203"/>
      <c r="AA8" s="203"/>
      <c r="AB8" s="203"/>
      <c r="AC8" s="203"/>
    </row>
    <row r="9" spans="2:29" ht="16.5" thickBot="1" x14ac:dyDescent="0.3">
      <c r="C9" s="2"/>
      <c r="D9" s="230" t="s">
        <v>17</v>
      </c>
      <c r="E9" s="230"/>
      <c r="F9" s="230"/>
      <c r="G9" s="230"/>
      <c r="H9" s="230"/>
      <c r="I9" s="230"/>
      <c r="J9" s="230"/>
      <c r="K9" s="230"/>
      <c r="L9" s="230"/>
      <c r="M9" s="230"/>
      <c r="N9" s="20"/>
      <c r="O9" s="35"/>
      <c r="P9" s="227" t="s">
        <v>70</v>
      </c>
      <c r="Q9" s="227"/>
      <c r="R9" s="228">
        <v>1</v>
      </c>
      <c r="V9" s="230"/>
      <c r="W9" s="230"/>
      <c r="X9" s="230"/>
      <c r="Y9" s="230"/>
      <c r="Z9" s="230"/>
      <c r="AA9" s="230"/>
      <c r="AB9" s="230"/>
      <c r="AC9" s="230"/>
    </row>
    <row r="10" spans="2:29" ht="5.25" customHeight="1" thickTop="1" x14ac:dyDescent="0.25">
      <c r="B10" s="231"/>
      <c r="C10" s="232"/>
      <c r="D10" s="232"/>
      <c r="E10" s="232"/>
      <c r="F10" s="232"/>
      <c r="G10" s="232"/>
      <c r="H10" s="232"/>
      <c r="I10" s="232"/>
      <c r="J10" s="232"/>
      <c r="K10" s="232"/>
      <c r="L10" s="232"/>
      <c r="M10" s="232"/>
      <c r="N10" s="20"/>
      <c r="O10" s="35"/>
      <c r="P10" s="227"/>
      <c r="Q10" s="227"/>
      <c r="R10" s="228"/>
    </row>
    <row r="11" spans="2:29" ht="15.75" x14ac:dyDescent="0.25">
      <c r="B11" s="226" t="str">
        <f>HOME!G6</f>
        <v>HASIL PENILAIAN TENGAH SEMESTER GENAP</v>
      </c>
      <c r="C11" s="226"/>
      <c r="D11" s="226"/>
      <c r="E11" s="226"/>
      <c r="F11" s="226"/>
      <c r="G11" s="226"/>
      <c r="H11" s="226"/>
      <c r="I11" s="226"/>
      <c r="J11" s="226"/>
      <c r="K11" s="226"/>
      <c r="L11" s="226"/>
      <c r="M11" s="226"/>
      <c r="N11" s="20"/>
      <c r="O11" s="35"/>
      <c r="P11" s="227"/>
      <c r="Q11" s="227"/>
      <c r="R11" s="228"/>
    </row>
    <row r="12" spans="2:29" ht="15.75" x14ac:dyDescent="0.25">
      <c r="B12" s="226" t="str">
        <f>"TAHUN PELAJARAN " &amp; HOME!G7</f>
        <v>TAHUN PELAJARAN 2022/2023</v>
      </c>
      <c r="C12" s="226"/>
      <c r="D12" s="226"/>
      <c r="E12" s="226"/>
      <c r="F12" s="226"/>
      <c r="G12" s="226"/>
      <c r="H12" s="226"/>
      <c r="I12" s="226"/>
      <c r="J12" s="226"/>
      <c r="K12" s="226"/>
      <c r="L12" s="226"/>
      <c r="M12" s="226"/>
      <c r="N12" s="20"/>
      <c r="O12" s="35"/>
      <c r="P12" s="227" t="s">
        <v>71</v>
      </c>
      <c r="Q12" s="227"/>
      <c r="R12" s="228">
        <f>COUNTA(NOMINATIF!C6:C40)</f>
        <v>20</v>
      </c>
    </row>
    <row r="13" spans="2:29" ht="8.25" customHeight="1" x14ac:dyDescent="0.25">
      <c r="B13" s="16"/>
      <c r="C13" s="4"/>
      <c r="D13" s="4"/>
      <c r="E13" s="4"/>
      <c r="F13" s="4"/>
      <c r="G13" s="4"/>
      <c r="H13" s="4"/>
      <c r="I13" s="4"/>
      <c r="J13" s="4"/>
      <c r="K13" s="4"/>
      <c r="L13" s="4"/>
      <c r="M13" s="4"/>
      <c r="N13" s="20"/>
      <c r="O13" s="35"/>
      <c r="P13" s="227"/>
      <c r="Q13" s="227"/>
      <c r="R13" s="228"/>
    </row>
    <row r="14" spans="2:29" ht="15.75" x14ac:dyDescent="0.25">
      <c r="B14" s="224" t="s">
        <v>18</v>
      </c>
      <c r="C14" s="224"/>
      <c r="D14" s="1" t="s">
        <v>6</v>
      </c>
      <c r="E14" s="229" t="str">
        <f>VLOOKUP(R9,'L X AKL'!$B$9:$BI$43,2,)</f>
        <v>AFMALA INSAN QOIRUNISA</v>
      </c>
      <c r="F14" s="229"/>
      <c r="G14" s="18"/>
      <c r="H14" s="1" t="s">
        <v>63</v>
      </c>
      <c r="I14" t="s">
        <v>6</v>
      </c>
      <c r="J14" s="225" t="str">
        <f>HOME!G9</f>
        <v>Teknik Komputer dan Informatika</v>
      </c>
      <c r="K14" s="225"/>
      <c r="L14" s="225"/>
      <c r="M14" s="225"/>
      <c r="N14" s="20"/>
      <c r="O14" s="35"/>
      <c r="P14" s="227"/>
      <c r="Q14" s="227"/>
      <c r="R14" s="228"/>
    </row>
    <row r="15" spans="2:29" ht="15.75" x14ac:dyDescent="0.25">
      <c r="B15" s="224" t="s">
        <v>19</v>
      </c>
      <c r="C15" s="224"/>
      <c r="D15" s="1" t="s">
        <v>6</v>
      </c>
      <c r="E15" s="224" t="str">
        <f>VLOOKUP(R9,'L X AKL'!$B$9:$BI$43,3,)&amp;"/"&amp;VLOOKUP(R9,'L X AKL'!$B$9:$BI$43,4,)</f>
        <v>4020/0059023845</v>
      </c>
      <c r="F15" s="224"/>
      <c r="G15" s="17"/>
      <c r="H15" s="1" t="s">
        <v>10</v>
      </c>
      <c r="I15" t="s">
        <v>6</v>
      </c>
      <c r="J15" s="225" t="str">
        <f>ID!G7</f>
        <v>Akuntansi dan Keuangan Lembaga</v>
      </c>
      <c r="K15" s="225"/>
      <c r="L15" s="225"/>
      <c r="M15" s="225"/>
      <c r="N15" s="20"/>
      <c r="O15" s="35"/>
      <c r="P15" s="20"/>
      <c r="Q15" s="20"/>
      <c r="R15" s="36"/>
    </row>
    <row r="16" spans="2:29" ht="15.75" x14ac:dyDescent="0.25">
      <c r="B16" s="224" t="s">
        <v>9</v>
      </c>
      <c r="C16" s="224"/>
      <c r="D16" s="1" t="s">
        <v>6</v>
      </c>
      <c r="E16" s="224" t="str">
        <f>ID!G8</f>
        <v>XII AKL 1</v>
      </c>
      <c r="F16" s="224"/>
      <c r="G16" s="17"/>
      <c r="H16" s="1" t="s">
        <v>20</v>
      </c>
      <c r="I16" t="s">
        <v>6</v>
      </c>
      <c r="J16" s="225" t="str">
        <f>ID!G9</f>
        <v>4/GENAP</v>
      </c>
      <c r="K16" s="225"/>
      <c r="L16" s="225"/>
      <c r="M16" s="225"/>
      <c r="N16" s="20"/>
      <c r="O16" s="35"/>
      <c r="P16" s="20"/>
      <c r="Q16" s="20"/>
      <c r="R16" s="36"/>
    </row>
    <row r="17" spans="2:19" ht="15" x14ac:dyDescent="0.25">
      <c r="N17" s="20"/>
      <c r="O17" s="35"/>
      <c r="P17" s="20"/>
      <c r="Q17" s="20"/>
      <c r="R17" s="36"/>
    </row>
    <row r="18" spans="2:19" ht="21.75" customHeight="1" x14ac:dyDescent="0.25">
      <c r="B18" s="279" t="s">
        <v>182</v>
      </c>
      <c r="C18" s="280"/>
      <c r="D18" s="280"/>
      <c r="E18" s="280"/>
      <c r="F18" s="280"/>
      <c r="G18" s="280"/>
      <c r="H18" s="280"/>
      <c r="I18" s="280"/>
      <c r="J18" s="280"/>
      <c r="K18" s="280"/>
      <c r="L18" s="280"/>
      <c r="M18" s="281"/>
      <c r="N18" s="20"/>
      <c r="O18" s="35"/>
      <c r="P18" s="20"/>
      <c r="Q18" s="20"/>
      <c r="R18" s="36"/>
    </row>
    <row r="19" spans="2:19" s="12" customFormat="1" ht="37.5" customHeight="1" x14ac:dyDescent="0.25">
      <c r="B19" s="93" t="s">
        <v>27</v>
      </c>
      <c r="C19" s="190" t="s">
        <v>183</v>
      </c>
      <c r="D19" s="190"/>
      <c r="E19" s="190"/>
      <c r="F19" s="213" t="s">
        <v>184</v>
      </c>
      <c r="G19" s="214"/>
      <c r="H19" s="214"/>
      <c r="I19" s="215"/>
      <c r="J19" s="282" t="s">
        <v>185</v>
      </c>
      <c r="K19" s="283"/>
      <c r="L19" s="282" t="s">
        <v>186</v>
      </c>
      <c r="M19" s="283"/>
      <c r="N19" s="20"/>
      <c r="O19" s="35"/>
      <c r="P19" s="20"/>
      <c r="Q19" s="20"/>
      <c r="R19" s="36"/>
      <c r="S19"/>
    </row>
    <row r="20" spans="2:19" s="12" customFormat="1" ht="48.75" customHeight="1" thickBot="1" x14ac:dyDescent="0.3">
      <c r="B20" s="11">
        <v>1</v>
      </c>
      <c r="C20" s="284">
        <f>VLOOKUP(R9,'BK &amp; EX &amp; PKL &amp; Press'!$B$9:$BO$66,51,0)</f>
        <v>0</v>
      </c>
      <c r="D20" s="284"/>
      <c r="E20" s="284"/>
      <c r="F20" s="287">
        <f>VLOOKUP(R9,'BK &amp; EX &amp; PKL &amp; Press'!$B$9:$BO$66,52,0)</f>
        <v>0</v>
      </c>
      <c r="G20" s="288"/>
      <c r="H20" s="288"/>
      <c r="I20" s="289"/>
      <c r="J20" s="285">
        <f>VLOOKUP(R9,'BK &amp; EX &amp; PKL &amp; Press'!$B$9:$BO$66,53,0)</f>
        <v>0</v>
      </c>
      <c r="K20" s="286"/>
      <c r="L20" s="310">
        <f>VLOOKUP(R9,'BK &amp; EX &amp; PKL &amp; Press'!$B$9:$BO$66,54,0)</f>
        <v>0</v>
      </c>
      <c r="M20" s="311"/>
      <c r="N20" s="20"/>
      <c r="O20" s="37"/>
      <c r="P20" s="38"/>
      <c r="Q20" s="38"/>
      <c r="R20" s="39"/>
      <c r="S20"/>
    </row>
    <row r="21" spans="2:19" s="12" customFormat="1" ht="48.75" customHeight="1" x14ac:dyDescent="0.25">
      <c r="B21" s="11">
        <v>2</v>
      </c>
      <c r="C21" s="290"/>
      <c r="D21" s="291"/>
      <c r="E21" s="292"/>
      <c r="F21" s="296"/>
      <c r="G21" s="297"/>
      <c r="H21" s="297"/>
      <c r="I21" s="298"/>
      <c r="J21" s="285"/>
      <c r="K21" s="286"/>
      <c r="L21" s="308"/>
      <c r="M21" s="309"/>
      <c r="N21" s="20"/>
      <c r="O21" s="20"/>
      <c r="P21" s="20"/>
      <c r="Q21" s="20"/>
      <c r="R21" s="20"/>
      <c r="S21"/>
    </row>
    <row r="22" spans="2:19" s="12" customFormat="1" ht="48.75" customHeight="1" x14ac:dyDescent="0.25">
      <c r="B22" s="11">
        <v>3</v>
      </c>
      <c r="C22" s="293"/>
      <c r="D22" s="294"/>
      <c r="E22" s="295"/>
      <c r="F22" s="296"/>
      <c r="G22" s="297"/>
      <c r="H22" s="297"/>
      <c r="I22" s="298"/>
      <c r="J22" s="285"/>
      <c r="K22" s="286"/>
      <c r="L22" s="308"/>
      <c r="M22" s="309"/>
      <c r="N22"/>
      <c r="O22" s="105"/>
      <c r="P22" s="105"/>
      <c r="Q22" s="105"/>
      <c r="R22" s="105"/>
      <c r="S22"/>
    </row>
    <row r="23" spans="2:19" s="12" customFormat="1" ht="36.75" customHeight="1" x14ac:dyDescent="0.25">
      <c r="B23" s="302" t="s">
        <v>187</v>
      </c>
      <c r="C23" s="302"/>
      <c r="D23" s="302"/>
      <c r="E23" s="302"/>
      <c r="F23" s="302"/>
      <c r="G23" s="302"/>
      <c r="H23" s="302"/>
      <c r="I23" s="302"/>
      <c r="J23" s="302"/>
      <c r="K23" s="302"/>
      <c r="L23" s="302"/>
      <c r="M23" s="302"/>
      <c r="N23"/>
      <c r="O23" s="104"/>
      <c r="P23" s="104"/>
      <c r="Q23" s="102"/>
      <c r="R23" s="102"/>
      <c r="S23"/>
    </row>
    <row r="24" spans="2:19" s="12" customFormat="1" ht="20.25" customHeight="1" x14ac:dyDescent="0.25">
      <c r="B24" s="13" t="s">
        <v>27</v>
      </c>
      <c r="C24" s="303" t="s">
        <v>188</v>
      </c>
      <c r="D24" s="303"/>
      <c r="E24" s="303"/>
      <c r="F24" s="209" t="s">
        <v>172</v>
      </c>
      <c r="G24" s="304"/>
      <c r="H24" s="304"/>
      <c r="I24" s="304"/>
      <c r="J24" s="304"/>
      <c r="K24" s="304"/>
      <c r="L24" s="304"/>
      <c r="M24" s="210"/>
      <c r="N24"/>
      <c r="O24" s="104"/>
      <c r="P24" s="104"/>
      <c r="Q24" s="102"/>
      <c r="R24" s="102"/>
      <c r="S24"/>
    </row>
    <row r="25" spans="2:19" s="12" customFormat="1" ht="50.25" customHeight="1" x14ac:dyDescent="0.25">
      <c r="B25" s="13">
        <v>1</v>
      </c>
      <c r="C25" s="187" t="s">
        <v>190</v>
      </c>
      <c r="D25" s="187"/>
      <c r="E25" s="187"/>
      <c r="F25" s="299" t="str">
        <f>VLOOKUP(R9,'BK &amp; EX &amp; PKL &amp; Press'!$B$9:$Y$66,8,0)</f>
        <v>Ananda AFMALA INSAN QOIRUNISA  menunjukkan ketekunan di dalam mengerjakan pekerjaan, baik di sekolah maupun di rumah.</v>
      </c>
      <c r="G25" s="300"/>
      <c r="H25" s="300"/>
      <c r="I25" s="300"/>
      <c r="J25" s="300"/>
      <c r="K25" s="300"/>
      <c r="L25" s="300"/>
      <c r="M25" s="301"/>
      <c r="N25"/>
      <c r="O25" s="104"/>
      <c r="P25" s="104"/>
      <c r="Q25" s="102"/>
      <c r="R25" s="102"/>
      <c r="S25"/>
    </row>
    <row r="26" spans="2:19" s="12" customFormat="1" ht="50.25" customHeight="1" x14ac:dyDescent="0.25">
      <c r="B26" s="13">
        <v>2</v>
      </c>
      <c r="C26" s="187" t="s">
        <v>149</v>
      </c>
      <c r="D26" s="187"/>
      <c r="E26" s="187"/>
      <c r="F26" s="299" t="str">
        <f>VLOOKUP(R9,'BK &amp; EX &amp; PKL &amp; Press'!$B$9:$Y$66,12,0)</f>
        <v>Ananda AFMALA INSAN QOIRUNISA  menunjukkan ketekunan di dalam mengerjakan pekerjaan, baik di sekolah maupun di  rumah.</v>
      </c>
      <c r="G26" s="300"/>
      <c r="H26" s="300"/>
      <c r="I26" s="300"/>
      <c r="J26" s="300"/>
      <c r="K26" s="300"/>
      <c r="L26" s="300"/>
      <c r="M26" s="301"/>
      <c r="N26"/>
      <c r="O26" s="104"/>
      <c r="P26" s="104"/>
      <c r="Q26" s="102"/>
      <c r="R26" s="102"/>
      <c r="S26"/>
    </row>
    <row r="27" spans="2:19" s="12" customFormat="1" ht="50.25" customHeight="1" x14ac:dyDescent="0.25">
      <c r="B27" s="13">
        <v>3</v>
      </c>
      <c r="C27" s="187" t="s">
        <v>150</v>
      </c>
      <c r="D27" s="187"/>
      <c r="E27" s="187"/>
      <c r="F27" s="299" t="str">
        <f>VLOOKUP(R9,'BK &amp; EX &amp; PKL &amp; Press'!$B$9:$Y$66,16,0)</f>
        <v>Ananda AFMALA INSAN QOIRUNISA  menunjukkan ketekunan di dalam mengerjakan pekerjaan, baik di sekolah maupun di rumah.</v>
      </c>
      <c r="G27" s="300"/>
      <c r="H27" s="300"/>
      <c r="I27" s="300"/>
      <c r="J27" s="300"/>
      <c r="K27" s="300"/>
      <c r="L27" s="300"/>
      <c r="M27" s="301"/>
      <c r="N27"/>
      <c r="O27" s="104"/>
      <c r="P27" s="104"/>
      <c r="Q27" s="102"/>
      <c r="R27" s="102"/>
      <c r="S27"/>
    </row>
    <row r="28" spans="2:19" ht="50.25" customHeight="1" x14ac:dyDescent="0.25">
      <c r="B28" s="13">
        <v>4</v>
      </c>
      <c r="C28" s="187" t="s">
        <v>151</v>
      </c>
      <c r="D28" s="187"/>
      <c r="E28" s="187"/>
      <c r="F28" s="299" t="str">
        <f>VLOOKUP(R9,'BK &amp; EX &amp; PKL &amp; Press'!$B$9:$Y$66,20,0)</f>
        <v>Ananda AFMALA INSAN QOIRUNISA  menunjukkan ketekunan di dalam mengerjakan pekerjaan, baik di sekolah maupun di rumah.</v>
      </c>
      <c r="G28" s="300"/>
      <c r="H28" s="300"/>
      <c r="I28" s="300"/>
      <c r="J28" s="300"/>
      <c r="K28" s="300"/>
      <c r="L28" s="300"/>
      <c r="M28" s="301"/>
      <c r="O28" s="104"/>
      <c r="P28" s="104"/>
      <c r="Q28" s="102"/>
      <c r="R28" s="102"/>
    </row>
    <row r="29" spans="2:19" ht="50.25" customHeight="1" x14ac:dyDescent="0.25">
      <c r="B29" s="13">
        <v>5</v>
      </c>
      <c r="C29" s="183" t="s">
        <v>152</v>
      </c>
      <c r="D29" s="183"/>
      <c r="E29" s="183"/>
      <c r="F29" s="299" t="str">
        <f>VLOOKUP(R9,'BK &amp; EX &amp; PKL &amp; Press'!$B$9:$Y$43,24,0)</f>
        <v>Ananda AFMALA INSAN QOIRUNISA  menunjukkan ketekunan di dalam mengerjakan pekerjaan, baik di sekolah maupun di rumah.</v>
      </c>
      <c r="G29" s="300"/>
      <c r="H29" s="300"/>
      <c r="I29" s="300"/>
      <c r="J29" s="300"/>
      <c r="K29" s="300"/>
      <c r="L29" s="300"/>
      <c r="M29" s="301"/>
      <c r="O29" s="104"/>
      <c r="P29" s="104"/>
      <c r="Q29" s="102"/>
      <c r="R29" s="102"/>
    </row>
    <row r="30" spans="2:19" ht="22.5" customHeight="1" x14ac:dyDescent="0.25">
      <c r="B30" s="305" t="s">
        <v>191</v>
      </c>
      <c r="C30" s="306"/>
      <c r="D30" s="306"/>
      <c r="E30" s="306"/>
      <c r="F30" s="306"/>
      <c r="G30" s="306"/>
      <c r="H30" s="306"/>
      <c r="I30" s="306"/>
      <c r="J30" s="306"/>
      <c r="K30" s="306"/>
      <c r="L30" s="306"/>
      <c r="M30" s="307"/>
      <c r="O30" s="102"/>
      <c r="P30" s="102"/>
      <c r="Q30" s="102"/>
      <c r="R30" s="102"/>
    </row>
    <row r="31" spans="2:19" ht="30" customHeight="1" x14ac:dyDescent="0.25">
      <c r="B31" s="312"/>
      <c r="C31" s="313"/>
      <c r="D31" s="313"/>
      <c r="E31" s="313"/>
      <c r="F31" s="313"/>
      <c r="G31" s="313"/>
      <c r="H31" s="313"/>
      <c r="I31" s="313"/>
      <c r="J31" s="313"/>
      <c r="K31" s="313"/>
      <c r="L31" s="313"/>
      <c r="M31" s="314"/>
      <c r="O31" s="103"/>
      <c r="P31" s="103"/>
      <c r="Q31" s="102"/>
      <c r="R31" s="102"/>
    </row>
    <row r="32" spans="2:19" ht="30" customHeight="1" x14ac:dyDescent="0.25">
      <c r="B32" s="315"/>
      <c r="C32" s="316"/>
      <c r="D32" s="316"/>
      <c r="E32" s="316"/>
      <c r="F32" s="316"/>
      <c r="G32" s="316"/>
      <c r="H32" s="316"/>
      <c r="I32" s="316"/>
      <c r="J32" s="316"/>
      <c r="K32" s="316"/>
      <c r="L32" s="316"/>
      <c r="M32" s="317"/>
      <c r="O32" s="103"/>
      <c r="P32" s="103"/>
      <c r="Q32" s="102"/>
      <c r="R32" s="102"/>
    </row>
    <row r="33" spans="2:13" ht="21.75" customHeight="1" x14ac:dyDescent="0.25">
      <c r="B33" s="243" t="s">
        <v>192</v>
      </c>
      <c r="C33" s="244"/>
      <c r="D33" s="244"/>
      <c r="E33" s="244"/>
      <c r="F33" s="244"/>
      <c r="G33" s="244"/>
      <c r="H33" s="244"/>
      <c r="I33" s="244"/>
      <c r="J33" s="244"/>
      <c r="K33" s="244"/>
      <c r="L33" s="244"/>
      <c r="M33" s="245"/>
    </row>
    <row r="34" spans="2:13" ht="15" x14ac:dyDescent="0.25">
      <c r="B34" s="274"/>
      <c r="C34" s="151"/>
      <c r="D34" s="151"/>
      <c r="E34" s="151"/>
      <c r="F34" s="151"/>
      <c r="G34" s="151"/>
      <c r="H34" s="151"/>
      <c r="I34" s="151"/>
      <c r="J34" s="151"/>
      <c r="K34" s="151"/>
      <c r="L34" s="151"/>
      <c r="M34" s="275"/>
    </row>
    <row r="35" spans="2:13" ht="51" customHeight="1" x14ac:dyDescent="0.25">
      <c r="B35" s="276"/>
      <c r="C35" s="277"/>
      <c r="D35" s="277"/>
      <c r="E35" s="277"/>
      <c r="F35" s="277"/>
      <c r="G35" s="277"/>
      <c r="H35" s="277"/>
      <c r="I35" s="277"/>
      <c r="J35" s="277"/>
      <c r="K35" s="277"/>
      <c r="L35" s="277"/>
      <c r="M35" s="278"/>
    </row>
    <row r="36" spans="2:13" ht="15" x14ac:dyDescent="0.25">
      <c r="B36" s="6"/>
      <c r="C36" s="6"/>
      <c r="D36" s="6"/>
      <c r="E36" s="6"/>
      <c r="F36" s="6"/>
      <c r="G36" s="6"/>
      <c r="H36" s="6"/>
      <c r="I36" s="6"/>
      <c r="J36" s="6"/>
      <c r="K36" s="6"/>
      <c r="L36" s="6"/>
      <c r="M36" s="6"/>
    </row>
    <row r="37" spans="2:13" ht="15.75" x14ac:dyDescent="0.25">
      <c r="B37" s="1"/>
      <c r="C37" s="1"/>
      <c r="D37" s="1"/>
      <c r="E37" s="1"/>
      <c r="F37" s="1"/>
      <c r="G37" s="1"/>
      <c r="H37" s="1"/>
      <c r="I37" s="1"/>
      <c r="J37" s="129" t="str">
        <f>ID!G11</f>
        <v>31 MARET 2023</v>
      </c>
      <c r="K37" s="129"/>
      <c r="L37" s="129"/>
      <c r="M37" s="129"/>
    </row>
    <row r="38" spans="2:13" ht="15.75" x14ac:dyDescent="0.25">
      <c r="B38" s="203" t="s">
        <v>180</v>
      </c>
      <c r="C38" s="203"/>
      <c r="D38" s="203"/>
      <c r="E38" s="1"/>
      <c r="F38" s="1" t="s">
        <v>67</v>
      </c>
      <c r="G38" s="1"/>
      <c r="H38" s="1"/>
      <c r="I38" s="1"/>
      <c r="J38" s="1"/>
      <c r="K38" s="1"/>
      <c r="L38" s="1"/>
      <c r="M38" s="1"/>
    </row>
    <row r="39" spans="2:13" ht="15.75" x14ac:dyDescent="0.25">
      <c r="B39" s="1"/>
      <c r="C39" s="1"/>
      <c r="D39" s="1"/>
      <c r="E39" s="203" t="s">
        <v>179</v>
      </c>
      <c r="F39" s="203"/>
      <c r="G39" s="203"/>
      <c r="H39" s="203"/>
      <c r="I39" s="203"/>
      <c r="J39" s="203" t="s">
        <v>62</v>
      </c>
      <c r="K39" s="203"/>
      <c r="L39" s="203"/>
      <c r="M39" s="203"/>
    </row>
    <row r="40" spans="2:13" ht="15.75" x14ac:dyDescent="0.25">
      <c r="B40" s="1"/>
      <c r="C40" s="1"/>
      <c r="D40" s="1"/>
      <c r="E40" s="1"/>
      <c r="F40" s="1"/>
      <c r="G40" s="1"/>
      <c r="H40" s="1"/>
      <c r="I40" s="1"/>
      <c r="J40" s="1"/>
      <c r="K40" s="1"/>
      <c r="L40" s="1"/>
      <c r="M40" s="1"/>
    </row>
    <row r="41" spans="2:13" ht="15.75" x14ac:dyDescent="0.25">
      <c r="B41" s="1"/>
      <c r="C41" s="1"/>
      <c r="D41" s="1"/>
      <c r="E41" s="1"/>
      <c r="F41" s="1"/>
      <c r="G41" s="1"/>
      <c r="H41" s="1"/>
      <c r="I41" s="1"/>
      <c r="J41" s="1"/>
      <c r="K41" s="1"/>
      <c r="L41" s="1"/>
      <c r="M41" s="1"/>
    </row>
    <row r="42" spans="2:13" ht="15.75" x14ac:dyDescent="0.25">
      <c r="B42" s="1"/>
      <c r="C42" s="1"/>
      <c r="D42" s="1"/>
      <c r="E42" s="1"/>
      <c r="F42" s="1"/>
      <c r="G42" s="1"/>
      <c r="H42" s="1"/>
      <c r="I42" s="1"/>
      <c r="J42" s="1"/>
      <c r="K42" s="1"/>
      <c r="L42" s="1"/>
      <c r="M42" s="1"/>
    </row>
    <row r="43" spans="2:13" ht="15.75" x14ac:dyDescent="0.25">
      <c r="B43" s="270" t="s">
        <v>181</v>
      </c>
      <c r="C43" s="270"/>
      <c r="D43" s="270"/>
      <c r="E43" s="204" t="str">
        <f>ID!G6</f>
        <v>Sri Rahayu, S.Pd., SE.</v>
      </c>
      <c r="F43" s="204"/>
      <c r="G43" s="204"/>
      <c r="H43" s="204"/>
      <c r="I43" s="204"/>
      <c r="J43" s="204" t="str">
        <f>ID!G10</f>
        <v>SURADI S.Pd.</v>
      </c>
      <c r="K43" s="204"/>
      <c r="L43" s="204"/>
      <c r="M43" s="204"/>
    </row>
    <row r="44" spans="2:13" ht="15.75" x14ac:dyDescent="0.25">
      <c r="B44" s="4"/>
      <c r="C44" s="4"/>
      <c r="D44" s="4"/>
      <c r="E44" s="4"/>
      <c r="F44" s="1"/>
      <c r="G44" s="1"/>
      <c r="H44" s="4"/>
      <c r="I44" s="4"/>
      <c r="J44" s="4"/>
      <c r="K44" s="4"/>
      <c r="L44" s="4"/>
      <c r="M44" s="4"/>
    </row>
    <row r="45" spans="2:13" s="21" customFormat="1" ht="7.5" customHeight="1" x14ac:dyDescent="0.25"/>
  </sheetData>
  <sheetProtection selectLockedCells="1"/>
  <mergeCells count="74">
    <mergeCell ref="D2:M2"/>
    <mergeCell ref="V2:AC2"/>
    <mergeCell ref="D3:M3"/>
    <mergeCell ref="V3:AC3"/>
    <mergeCell ref="D4:M4"/>
    <mergeCell ref="V4:AC4"/>
    <mergeCell ref="D5:M5"/>
    <mergeCell ref="V5:AC5"/>
    <mergeCell ref="D6:M6"/>
    <mergeCell ref="V6:AC6"/>
    <mergeCell ref="D7:M7"/>
    <mergeCell ref="O7:R8"/>
    <mergeCell ref="V7:AC7"/>
    <mergeCell ref="D8:M8"/>
    <mergeCell ref="V8:AC8"/>
    <mergeCell ref="D9:M9"/>
    <mergeCell ref="P9:Q11"/>
    <mergeCell ref="R9:R11"/>
    <mergeCell ref="V9:AC9"/>
    <mergeCell ref="B10:M10"/>
    <mergeCell ref="B11:M11"/>
    <mergeCell ref="B12:M12"/>
    <mergeCell ref="P12:Q14"/>
    <mergeCell ref="R12:R14"/>
    <mergeCell ref="B14:C14"/>
    <mergeCell ref="E14:F14"/>
    <mergeCell ref="J14:M14"/>
    <mergeCell ref="C20:E20"/>
    <mergeCell ref="F20:I20"/>
    <mergeCell ref="J20:K20"/>
    <mergeCell ref="L20:M20"/>
    <mergeCell ref="B15:C15"/>
    <mergeCell ref="E15:F15"/>
    <mergeCell ref="J15:M15"/>
    <mergeCell ref="B16:C16"/>
    <mergeCell ref="E16:F16"/>
    <mergeCell ref="J16:M16"/>
    <mergeCell ref="B18:M18"/>
    <mergeCell ref="C19:E19"/>
    <mergeCell ref="F19:I19"/>
    <mergeCell ref="J19:K19"/>
    <mergeCell ref="L19:M19"/>
    <mergeCell ref="C26:E26"/>
    <mergeCell ref="F26:M26"/>
    <mergeCell ref="C21:E21"/>
    <mergeCell ref="F21:I21"/>
    <mergeCell ref="J21:K21"/>
    <mergeCell ref="L21:M21"/>
    <mergeCell ref="C22:E22"/>
    <mergeCell ref="F22:I22"/>
    <mergeCell ref="J22:K22"/>
    <mergeCell ref="L22:M22"/>
    <mergeCell ref="B23:M23"/>
    <mergeCell ref="C24:E24"/>
    <mergeCell ref="F24:M24"/>
    <mergeCell ref="C25:E25"/>
    <mergeCell ref="F25:M25"/>
    <mergeCell ref="B38:D38"/>
    <mergeCell ref="C27:E27"/>
    <mergeCell ref="F27:M27"/>
    <mergeCell ref="C28:E28"/>
    <mergeCell ref="F28:M28"/>
    <mergeCell ref="C29:E29"/>
    <mergeCell ref="F29:M29"/>
    <mergeCell ref="B30:M30"/>
    <mergeCell ref="B31:M32"/>
    <mergeCell ref="B33:M33"/>
    <mergeCell ref="B34:M35"/>
    <mergeCell ref="J37:M37"/>
    <mergeCell ref="E39:I39"/>
    <mergeCell ref="J39:M39"/>
    <mergeCell ref="B43:D43"/>
    <mergeCell ref="E43:I43"/>
    <mergeCell ref="J43:M43"/>
  </mergeCells>
  <printOptions horizontalCentered="1"/>
  <pageMargins left="0.31496062992126" right="0.31496062992126" top="0.35433070866141703" bottom="0.35433070866141703" header="0.31496062992126" footer="0.31496062992126"/>
  <pageSetup paperSize="10000" scale="88"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80897" r:id="rId4" name="Spinner 1">
              <controlPr defaultSize="0" autoPict="0">
                <anchor moveWithCells="1" sizeWithCells="1">
                  <from>
                    <xdr:col>14</xdr:col>
                    <xdr:colOff>28575</xdr:colOff>
                    <xdr:row>8</xdr:row>
                    <xdr:rowOff>0</xdr:rowOff>
                  </from>
                  <to>
                    <xdr:col>14</xdr:col>
                    <xdr:colOff>466725</xdr:colOff>
                    <xdr:row>14</xdr:row>
                    <xdr:rowOff>19050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tabColor theme="5" tint="0.39997558519241921"/>
  </sheetPr>
  <dimension ref="A1:L27"/>
  <sheetViews>
    <sheetView zoomScale="70" zoomScaleNormal="70" workbookViewId="0">
      <selection activeCell="G18" activeCellId="2" sqref="G7:G11 G13:G15 G18:G23"/>
    </sheetView>
  </sheetViews>
  <sheetFormatPr defaultColWidth="0" defaultRowHeight="15.75" customHeight="1" zeroHeight="1" x14ac:dyDescent="0.25"/>
  <cols>
    <col min="1" max="1" width="1.5703125" style="74" customWidth="1"/>
    <col min="2" max="2" width="0.85546875" style="54" customWidth="1"/>
    <col min="3" max="3" width="4.85546875" style="54" customWidth="1"/>
    <col min="4" max="5" width="9.140625" style="54" customWidth="1"/>
    <col min="6" max="6" width="37.5703125" style="54" customWidth="1"/>
    <col min="7" max="7" width="14.5703125" style="54" customWidth="1"/>
    <col min="8" max="8" width="1" style="54" customWidth="1"/>
    <col min="9" max="9" width="1.42578125" style="74" customWidth="1"/>
    <col min="10" max="12" width="0" style="54" hidden="1" customWidth="1"/>
    <col min="13" max="16384" width="9.140625" style="54" hidden="1"/>
  </cols>
  <sheetData>
    <row r="1" spans="3:9" s="74" customFormat="1" ht="8.25" customHeight="1" x14ac:dyDescent="0.25"/>
    <row r="2" spans="3:9" ht="68.25" customHeight="1" thickBot="1" x14ac:dyDescent="0.3">
      <c r="C2" s="129"/>
      <c r="D2" s="129"/>
      <c r="E2" s="129"/>
      <c r="F2" s="129"/>
      <c r="G2" s="129"/>
    </row>
    <row r="3" spans="3:9" ht="15.75" customHeight="1" thickBot="1" x14ac:dyDescent="0.35">
      <c r="C3" s="184" t="s">
        <v>72</v>
      </c>
      <c r="D3" s="185"/>
      <c r="E3" s="185"/>
      <c r="F3" s="185"/>
      <c r="G3" s="186"/>
    </row>
    <row r="4" spans="3:9" ht="6" customHeight="1" x14ac:dyDescent="0.25"/>
    <row r="5" spans="3:9" x14ac:dyDescent="0.25">
      <c r="C5" s="15" t="s">
        <v>32</v>
      </c>
      <c r="D5" s="190" t="s">
        <v>33</v>
      </c>
      <c r="E5" s="190"/>
      <c r="F5" s="190"/>
      <c r="G5" s="15" t="s">
        <v>34</v>
      </c>
    </row>
    <row r="6" spans="3:9" x14ac:dyDescent="0.25">
      <c r="C6" s="188" t="s">
        <v>37</v>
      </c>
      <c r="D6" s="188"/>
      <c r="E6" s="188"/>
      <c r="F6" s="188"/>
      <c r="G6" s="188"/>
    </row>
    <row r="7" spans="3:9" x14ac:dyDescent="0.25">
      <c r="C7" s="11">
        <v>1</v>
      </c>
      <c r="D7" s="189" t="s">
        <v>38</v>
      </c>
      <c r="E7" s="189"/>
      <c r="F7" s="189"/>
      <c r="G7" s="76">
        <v>60</v>
      </c>
      <c r="I7" s="75"/>
    </row>
    <row r="8" spans="3:9" x14ac:dyDescent="0.25">
      <c r="C8" s="11">
        <v>2</v>
      </c>
      <c r="D8" s="189" t="s">
        <v>39</v>
      </c>
      <c r="E8" s="189"/>
      <c r="F8" s="189"/>
      <c r="G8" s="76">
        <v>60</v>
      </c>
    </row>
    <row r="9" spans="3:9" x14ac:dyDescent="0.25">
      <c r="C9" s="11">
        <v>3</v>
      </c>
      <c r="D9" s="189" t="s">
        <v>40</v>
      </c>
      <c r="E9" s="189"/>
      <c r="F9" s="189"/>
      <c r="G9" s="76">
        <v>60</v>
      </c>
    </row>
    <row r="10" spans="3:9" x14ac:dyDescent="0.25">
      <c r="C10" s="11">
        <v>4</v>
      </c>
      <c r="D10" s="187" t="s">
        <v>41</v>
      </c>
      <c r="E10" s="187"/>
      <c r="F10" s="187"/>
      <c r="G10" s="76">
        <v>60</v>
      </c>
    </row>
    <row r="11" spans="3:9" x14ac:dyDescent="0.25">
      <c r="C11" s="11">
        <v>5</v>
      </c>
      <c r="D11" s="187" t="s">
        <v>43</v>
      </c>
      <c r="E11" s="187"/>
      <c r="F11" s="187"/>
      <c r="G11" s="76">
        <v>60</v>
      </c>
    </row>
    <row r="12" spans="3:9" x14ac:dyDescent="0.25">
      <c r="C12" s="188" t="s">
        <v>44</v>
      </c>
      <c r="D12" s="188"/>
      <c r="E12" s="188"/>
      <c r="F12" s="188"/>
      <c r="G12" s="188"/>
    </row>
    <row r="13" spans="3:9" x14ac:dyDescent="0.25">
      <c r="C13" s="13">
        <v>1</v>
      </c>
      <c r="D13" s="187" t="s">
        <v>45</v>
      </c>
      <c r="E13" s="187"/>
      <c r="F13" s="187"/>
      <c r="G13" s="76">
        <v>70</v>
      </c>
    </row>
    <row r="14" spans="3:9" x14ac:dyDescent="0.25">
      <c r="C14" s="13">
        <v>2</v>
      </c>
      <c r="D14" s="187" t="s">
        <v>47</v>
      </c>
      <c r="E14" s="187"/>
      <c r="F14" s="187"/>
      <c r="G14" s="76">
        <v>60</v>
      </c>
    </row>
    <row r="15" spans="3:9" x14ac:dyDescent="0.25">
      <c r="C15" s="13">
        <v>3</v>
      </c>
      <c r="D15" s="187" t="s">
        <v>48</v>
      </c>
      <c r="E15" s="187"/>
      <c r="F15" s="187"/>
      <c r="G15" s="76">
        <v>60</v>
      </c>
    </row>
    <row r="16" spans="3:9" x14ac:dyDescent="0.25">
      <c r="C16" s="188" t="s">
        <v>49</v>
      </c>
      <c r="D16" s="188"/>
      <c r="E16" s="188"/>
      <c r="F16" s="188"/>
      <c r="G16" s="188"/>
    </row>
    <row r="17" spans="3:7" x14ac:dyDescent="0.25">
      <c r="C17" s="188" t="s">
        <v>78</v>
      </c>
      <c r="D17" s="188"/>
      <c r="E17" s="188"/>
      <c r="F17" s="188"/>
      <c r="G17" s="188"/>
    </row>
    <row r="18" spans="3:7" x14ac:dyDescent="0.25">
      <c r="C18" s="13">
        <v>1</v>
      </c>
      <c r="D18" s="187" t="s">
        <v>79</v>
      </c>
      <c r="E18" s="187"/>
      <c r="F18" s="187"/>
      <c r="G18" s="76">
        <v>70</v>
      </c>
    </row>
    <row r="19" spans="3:7" x14ac:dyDescent="0.25">
      <c r="C19" s="13">
        <v>2</v>
      </c>
      <c r="D19" s="183" t="s">
        <v>80</v>
      </c>
      <c r="E19" s="183"/>
      <c r="F19" s="183"/>
      <c r="G19" s="76">
        <v>70</v>
      </c>
    </row>
    <row r="20" spans="3:7" x14ac:dyDescent="0.25">
      <c r="C20" s="13">
        <v>3</v>
      </c>
      <c r="D20" s="183" t="s">
        <v>65</v>
      </c>
      <c r="E20" s="183"/>
      <c r="F20" s="183"/>
      <c r="G20" s="76">
        <v>70</v>
      </c>
    </row>
    <row r="21" spans="3:7" x14ac:dyDescent="0.25">
      <c r="C21" s="13">
        <v>4</v>
      </c>
      <c r="D21" s="187" t="s">
        <v>81</v>
      </c>
      <c r="E21" s="187"/>
      <c r="F21" s="187"/>
      <c r="G21" s="76">
        <v>70</v>
      </c>
    </row>
    <row r="22" spans="3:7" x14ac:dyDescent="0.25">
      <c r="C22" s="13">
        <v>5</v>
      </c>
      <c r="D22" s="183" t="s">
        <v>82</v>
      </c>
      <c r="E22" s="183"/>
      <c r="F22" s="183"/>
      <c r="G22" s="76">
        <v>70</v>
      </c>
    </row>
    <row r="23" spans="3:7" x14ac:dyDescent="0.25">
      <c r="C23" s="13">
        <v>6</v>
      </c>
      <c r="D23" s="183" t="s">
        <v>83</v>
      </c>
      <c r="E23" s="183"/>
      <c r="F23" s="183"/>
      <c r="G23" s="76">
        <v>70</v>
      </c>
    </row>
    <row r="24" spans="3:7" x14ac:dyDescent="0.25"/>
    <row r="25" spans="3:7" x14ac:dyDescent="0.25"/>
    <row r="26" spans="3:7" s="74" customFormat="1" ht="9.75" customHeight="1" x14ac:dyDescent="0.25"/>
    <row r="27" spans="3:7" hidden="1" x14ac:dyDescent="0.25"/>
  </sheetData>
  <sheetProtection selectLockedCells="1"/>
  <mergeCells count="21">
    <mergeCell ref="D8:F8"/>
    <mergeCell ref="C2:G2"/>
    <mergeCell ref="C3:G3"/>
    <mergeCell ref="D5:F5"/>
    <mergeCell ref="C6:G6"/>
    <mergeCell ref="D7:F7"/>
    <mergeCell ref="D9:F9"/>
    <mergeCell ref="D10:F10"/>
    <mergeCell ref="D11:F11"/>
    <mergeCell ref="C12:G12"/>
    <mergeCell ref="D13:F13"/>
    <mergeCell ref="D14:F14"/>
    <mergeCell ref="D15:F15"/>
    <mergeCell ref="C16:G16"/>
    <mergeCell ref="C17:G17"/>
    <mergeCell ref="D18:F18"/>
    <mergeCell ref="D19:F19"/>
    <mergeCell ref="D20:F20"/>
    <mergeCell ref="D21:F21"/>
    <mergeCell ref="D22:F22"/>
    <mergeCell ref="D23:F23"/>
  </mergeCells>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
    <tabColor theme="4" tint="-0.249977111117893"/>
  </sheetPr>
  <dimension ref="A1:BJ46"/>
  <sheetViews>
    <sheetView zoomScale="70" zoomScaleNormal="70" workbookViewId="0">
      <selection activeCell="F2" sqref="F2"/>
    </sheetView>
  </sheetViews>
  <sheetFormatPr defaultColWidth="0" defaultRowHeight="15.75" customHeight="1" zeroHeight="1" x14ac:dyDescent="0.25"/>
  <cols>
    <col min="1" max="1" width="1.42578125" style="54" customWidth="1"/>
    <col min="2" max="2" width="6.42578125" style="54" customWidth="1"/>
    <col min="3" max="3" width="27.28515625" style="54" customWidth="1"/>
    <col min="4" max="4" width="7.85546875" style="54" customWidth="1"/>
    <col min="5" max="5" width="13.85546875" style="54" bestFit="1" customWidth="1"/>
    <col min="6" max="47" width="4.7109375" style="55" customWidth="1"/>
    <col min="48" max="53" width="4.7109375" style="55" hidden="1" customWidth="1"/>
    <col min="54" max="59" width="4.7109375" style="55" hidden="1"/>
    <col min="60" max="61" width="9.28515625" style="54" bestFit="1" customWidth="1"/>
    <col min="62" max="62" width="9.140625" style="54" customWidth="1"/>
    <col min="63" max="16384" width="9.140625" style="54" hidden="1"/>
  </cols>
  <sheetData>
    <row r="1" spans="2:61" ht="7.5" customHeight="1" x14ac:dyDescent="0.25"/>
    <row r="2" spans="2:61" ht="78.75" customHeight="1" thickBot="1" x14ac:dyDescent="0.3"/>
    <row r="3" spans="2:61" ht="24" thickBot="1" x14ac:dyDescent="0.4">
      <c r="B3" s="197" t="s">
        <v>95</v>
      </c>
      <c r="C3" s="198"/>
      <c r="D3" s="198"/>
      <c r="E3" s="198"/>
      <c r="F3" s="198"/>
      <c r="G3" s="198"/>
      <c r="H3" s="198"/>
      <c r="I3" s="198"/>
      <c r="J3" s="198"/>
      <c r="K3" s="198"/>
      <c r="L3" s="198"/>
      <c r="M3" s="198"/>
      <c r="N3" s="198"/>
      <c r="O3" s="198"/>
      <c r="P3" s="198"/>
      <c r="Q3" s="198"/>
      <c r="R3" s="198"/>
      <c r="S3" s="198"/>
      <c r="T3" s="198"/>
      <c r="U3" s="198"/>
      <c r="V3" s="198"/>
      <c r="W3" s="198"/>
      <c r="X3" s="198"/>
      <c r="Y3" s="198"/>
      <c r="Z3" s="198"/>
      <c r="AA3" s="198"/>
      <c r="AB3" s="198"/>
      <c r="AC3" s="198"/>
      <c r="AD3" s="198"/>
      <c r="AE3" s="198"/>
      <c r="AF3" s="198"/>
      <c r="AG3" s="198"/>
      <c r="AH3" s="198"/>
      <c r="AI3" s="198"/>
      <c r="AJ3" s="198"/>
      <c r="AK3" s="198"/>
      <c r="AL3" s="198"/>
      <c r="AM3" s="198"/>
      <c r="AN3" s="198"/>
      <c r="AO3" s="198"/>
      <c r="AP3" s="198"/>
      <c r="AQ3" s="198"/>
      <c r="AR3" s="198"/>
      <c r="AS3" s="198"/>
      <c r="AT3" s="198"/>
      <c r="AU3" s="198"/>
      <c r="AV3" s="198"/>
      <c r="AW3" s="198"/>
      <c r="AX3" s="198"/>
      <c r="AY3" s="198"/>
      <c r="AZ3" s="198"/>
      <c r="BA3" s="198"/>
      <c r="BB3" s="198"/>
      <c r="BC3" s="198"/>
      <c r="BD3" s="198"/>
      <c r="BE3" s="198"/>
      <c r="BF3" s="198"/>
      <c r="BG3" s="198"/>
      <c r="BH3" s="198"/>
      <c r="BI3" s="199"/>
    </row>
    <row r="4" spans="2:61" ht="6" customHeight="1" x14ac:dyDescent="0.25"/>
    <row r="5" spans="2:61" x14ac:dyDescent="0.25">
      <c r="B5" s="165" t="s">
        <v>27</v>
      </c>
      <c r="C5" s="165" t="s">
        <v>88</v>
      </c>
      <c r="D5" s="165" t="s">
        <v>29</v>
      </c>
      <c r="E5" s="165" t="s">
        <v>30</v>
      </c>
      <c r="F5" s="56" t="s">
        <v>89</v>
      </c>
      <c r="G5" s="57"/>
      <c r="H5" s="57"/>
      <c r="I5" s="57"/>
      <c r="J5" s="57"/>
      <c r="K5" s="57"/>
      <c r="L5" s="57"/>
      <c r="M5" s="57"/>
      <c r="N5" s="57"/>
      <c r="O5" s="57"/>
      <c r="P5" s="57"/>
      <c r="Q5" s="57"/>
      <c r="R5" s="57"/>
      <c r="S5" s="57"/>
      <c r="T5" s="57"/>
      <c r="U5" s="57"/>
      <c r="V5" s="57"/>
      <c r="W5" s="57"/>
      <c r="X5" s="57"/>
      <c r="Y5" s="57"/>
      <c r="Z5" s="57"/>
      <c r="AA5" s="57"/>
      <c r="AB5" s="57"/>
      <c r="AC5" s="57"/>
      <c r="AD5" s="57"/>
      <c r="AE5" s="57"/>
      <c r="AF5" s="57"/>
      <c r="AG5" s="57"/>
      <c r="AH5" s="57"/>
      <c r="AI5" s="57"/>
      <c r="AJ5" s="57"/>
      <c r="AK5" s="57"/>
      <c r="AL5" s="57"/>
      <c r="AM5" s="57"/>
      <c r="AN5" s="57"/>
      <c r="AO5" s="57"/>
      <c r="AP5" s="57"/>
      <c r="AQ5" s="57"/>
      <c r="AR5" s="57"/>
      <c r="AS5" s="57"/>
      <c r="AT5" s="57"/>
      <c r="AU5" s="57"/>
      <c r="AV5" s="57"/>
      <c r="AW5" s="57"/>
      <c r="AX5" s="57"/>
      <c r="AY5" s="57"/>
      <c r="AZ5" s="57"/>
      <c r="BA5" s="57"/>
      <c r="BB5" s="57"/>
      <c r="BC5" s="57"/>
      <c r="BD5" s="57"/>
      <c r="BE5" s="57"/>
      <c r="BF5" s="57"/>
      <c r="BG5" s="58"/>
      <c r="BH5" s="168" t="s">
        <v>93</v>
      </c>
      <c r="BI5" s="170" t="s">
        <v>94</v>
      </c>
    </row>
    <row r="6" spans="2:61" ht="98.25" customHeight="1" x14ac:dyDescent="0.25">
      <c r="B6" s="166"/>
      <c r="C6" s="166"/>
      <c r="D6" s="166"/>
      <c r="E6" s="166"/>
      <c r="F6" s="194" t="s">
        <v>90</v>
      </c>
      <c r="G6" s="195"/>
      <c r="H6" s="196"/>
      <c r="I6" s="194" t="s">
        <v>92</v>
      </c>
      <c r="J6" s="195"/>
      <c r="K6" s="196"/>
      <c r="L6" s="191" t="s">
        <v>99</v>
      </c>
      <c r="M6" s="192"/>
      <c r="N6" s="193"/>
      <c r="O6" s="194" t="s">
        <v>91</v>
      </c>
      <c r="P6" s="195"/>
      <c r="Q6" s="196"/>
      <c r="R6" s="200" t="s">
        <v>101</v>
      </c>
      <c r="S6" s="201"/>
      <c r="T6" s="202"/>
      <c r="U6" s="191" t="s">
        <v>102</v>
      </c>
      <c r="V6" s="192"/>
      <c r="W6" s="193"/>
      <c r="X6" s="191" t="s">
        <v>104</v>
      </c>
      <c r="Y6" s="192"/>
      <c r="Z6" s="193"/>
      <c r="AA6" s="194" t="s">
        <v>105</v>
      </c>
      <c r="AB6" s="195"/>
      <c r="AC6" s="196"/>
      <c r="AD6" s="191" t="s">
        <v>119</v>
      </c>
      <c r="AE6" s="192"/>
      <c r="AF6" s="193"/>
      <c r="AG6" s="194" t="s">
        <v>120</v>
      </c>
      <c r="AH6" s="195"/>
      <c r="AI6" s="196"/>
      <c r="AJ6" s="194" t="s">
        <v>121</v>
      </c>
      <c r="AK6" s="195"/>
      <c r="AL6" s="196"/>
      <c r="AM6" s="194" t="s">
        <v>122</v>
      </c>
      <c r="AN6" s="195"/>
      <c r="AO6" s="196"/>
      <c r="AP6" s="194" t="s">
        <v>123</v>
      </c>
      <c r="AQ6" s="195"/>
      <c r="AR6" s="196"/>
      <c r="AS6" s="200" t="s">
        <v>124</v>
      </c>
      <c r="AT6" s="201"/>
      <c r="AU6" s="202"/>
      <c r="AV6" s="194" t="s">
        <v>116</v>
      </c>
      <c r="AW6" s="195"/>
      <c r="AX6" s="196"/>
      <c r="AY6" s="191" t="s">
        <v>117</v>
      </c>
      <c r="AZ6" s="192"/>
      <c r="BA6" s="193"/>
      <c r="BB6" s="191" t="s">
        <v>111</v>
      </c>
      <c r="BC6" s="192"/>
      <c r="BD6" s="193"/>
      <c r="BE6" s="191" t="s">
        <v>112</v>
      </c>
      <c r="BF6" s="192"/>
      <c r="BG6" s="193"/>
      <c r="BH6" s="169"/>
      <c r="BI6" s="171"/>
    </row>
    <row r="7" spans="2:61" ht="24" customHeight="1" x14ac:dyDescent="0.25">
      <c r="B7" s="167"/>
      <c r="C7" s="167"/>
      <c r="D7" s="167"/>
      <c r="E7" s="167"/>
      <c r="F7" s="59" t="s">
        <v>96</v>
      </c>
      <c r="G7" s="59" t="s">
        <v>97</v>
      </c>
      <c r="H7" s="59" t="s">
        <v>98</v>
      </c>
      <c r="I7" s="59" t="s">
        <v>96</v>
      </c>
      <c r="J7" s="59" t="s">
        <v>97</v>
      </c>
      <c r="K7" s="59" t="s">
        <v>98</v>
      </c>
      <c r="L7" s="59" t="s">
        <v>96</v>
      </c>
      <c r="M7" s="59" t="s">
        <v>97</v>
      </c>
      <c r="N7" s="59" t="s">
        <v>98</v>
      </c>
      <c r="O7" s="59" t="s">
        <v>96</v>
      </c>
      <c r="P7" s="59" t="s">
        <v>97</v>
      </c>
      <c r="Q7" s="59" t="s">
        <v>98</v>
      </c>
      <c r="R7" s="59" t="s">
        <v>96</v>
      </c>
      <c r="S7" s="59" t="s">
        <v>97</v>
      </c>
      <c r="T7" s="59" t="s">
        <v>98</v>
      </c>
      <c r="U7" s="59" t="s">
        <v>96</v>
      </c>
      <c r="V7" s="59" t="s">
        <v>97</v>
      </c>
      <c r="W7" s="59" t="s">
        <v>98</v>
      </c>
      <c r="X7" s="59" t="s">
        <v>96</v>
      </c>
      <c r="Y7" s="59" t="s">
        <v>97</v>
      </c>
      <c r="Z7" s="59" t="s">
        <v>98</v>
      </c>
      <c r="AA7" s="59" t="s">
        <v>96</v>
      </c>
      <c r="AB7" s="59" t="s">
        <v>97</v>
      </c>
      <c r="AC7" s="59" t="s">
        <v>98</v>
      </c>
      <c r="AD7" s="59" t="s">
        <v>96</v>
      </c>
      <c r="AE7" s="59" t="s">
        <v>97</v>
      </c>
      <c r="AF7" s="59" t="s">
        <v>98</v>
      </c>
      <c r="AG7" s="59" t="s">
        <v>96</v>
      </c>
      <c r="AH7" s="59" t="s">
        <v>97</v>
      </c>
      <c r="AI7" s="59" t="s">
        <v>98</v>
      </c>
      <c r="AJ7" s="59" t="s">
        <v>96</v>
      </c>
      <c r="AK7" s="59" t="s">
        <v>97</v>
      </c>
      <c r="AL7" s="59" t="s">
        <v>98</v>
      </c>
      <c r="AM7" s="59" t="s">
        <v>96</v>
      </c>
      <c r="AN7" s="59" t="s">
        <v>97</v>
      </c>
      <c r="AO7" s="59" t="s">
        <v>98</v>
      </c>
      <c r="AP7" s="59" t="s">
        <v>96</v>
      </c>
      <c r="AQ7" s="59" t="s">
        <v>97</v>
      </c>
      <c r="AR7" s="59" t="s">
        <v>98</v>
      </c>
      <c r="AS7" s="59" t="s">
        <v>96</v>
      </c>
      <c r="AT7" s="59" t="s">
        <v>97</v>
      </c>
      <c r="AU7" s="59" t="s">
        <v>98</v>
      </c>
      <c r="AV7" s="59" t="s">
        <v>96</v>
      </c>
      <c r="AW7" s="59" t="s">
        <v>97</v>
      </c>
      <c r="AX7" s="59" t="s">
        <v>98</v>
      </c>
      <c r="AY7" s="59" t="s">
        <v>96</v>
      </c>
      <c r="AZ7" s="59" t="s">
        <v>97</v>
      </c>
      <c r="BA7" s="59" t="s">
        <v>98</v>
      </c>
      <c r="BB7" s="59" t="s">
        <v>96</v>
      </c>
      <c r="BC7" s="59" t="s">
        <v>97</v>
      </c>
      <c r="BD7" s="59" t="s">
        <v>98</v>
      </c>
      <c r="BE7" s="59" t="s">
        <v>96</v>
      </c>
      <c r="BF7" s="59" t="s">
        <v>97</v>
      </c>
      <c r="BG7" s="59" t="s">
        <v>98</v>
      </c>
      <c r="BH7" s="60"/>
      <c r="BI7" s="61"/>
    </row>
    <row r="8" spans="2:61" x14ac:dyDescent="0.25">
      <c r="B8" s="62">
        <v>1</v>
      </c>
      <c r="C8" s="62">
        <v>2</v>
      </c>
      <c r="D8" s="62">
        <v>3</v>
      </c>
      <c r="E8" s="62">
        <v>4</v>
      </c>
      <c r="F8" s="77">
        <v>5</v>
      </c>
      <c r="G8" s="77">
        <v>6</v>
      </c>
      <c r="H8" s="77">
        <v>7</v>
      </c>
      <c r="I8" s="77">
        <v>8</v>
      </c>
      <c r="J8" s="77">
        <v>9</v>
      </c>
      <c r="K8" s="77">
        <v>10</v>
      </c>
      <c r="L8" s="77">
        <v>11</v>
      </c>
      <c r="M8" s="77">
        <v>12</v>
      </c>
      <c r="N8" s="77">
        <v>13</v>
      </c>
      <c r="O8" s="77">
        <v>14</v>
      </c>
      <c r="P8" s="77">
        <v>15</v>
      </c>
      <c r="Q8" s="77">
        <v>16</v>
      </c>
      <c r="R8" s="77">
        <v>17</v>
      </c>
      <c r="S8" s="77">
        <v>18</v>
      </c>
      <c r="T8" s="77">
        <v>19</v>
      </c>
      <c r="U8" s="77">
        <v>20</v>
      </c>
      <c r="V8" s="77">
        <v>21</v>
      </c>
      <c r="W8" s="77">
        <v>22</v>
      </c>
      <c r="X8" s="77">
        <v>23</v>
      </c>
      <c r="Y8" s="77">
        <v>24</v>
      </c>
      <c r="Z8" s="77">
        <v>25</v>
      </c>
      <c r="AA8" s="77">
        <v>26</v>
      </c>
      <c r="AB8" s="77">
        <v>27</v>
      </c>
      <c r="AC8" s="77">
        <v>28</v>
      </c>
      <c r="AD8" s="77">
        <v>29</v>
      </c>
      <c r="AE8" s="77">
        <v>30</v>
      </c>
      <c r="AF8" s="77">
        <v>31</v>
      </c>
      <c r="AG8" s="77">
        <v>32</v>
      </c>
      <c r="AH8" s="77">
        <v>33</v>
      </c>
      <c r="AI8" s="77">
        <v>34</v>
      </c>
      <c r="AJ8" s="77">
        <v>35</v>
      </c>
      <c r="AK8" s="77">
        <v>36</v>
      </c>
      <c r="AL8" s="77">
        <v>37</v>
      </c>
      <c r="AM8" s="77">
        <v>38</v>
      </c>
      <c r="AN8" s="77">
        <v>39</v>
      </c>
      <c r="AO8" s="77">
        <v>40</v>
      </c>
      <c r="AP8" s="77">
        <v>41</v>
      </c>
      <c r="AQ8" s="77">
        <v>42</v>
      </c>
      <c r="AR8" s="77">
        <v>43</v>
      </c>
      <c r="AS8" s="77">
        <v>44</v>
      </c>
      <c r="AT8" s="77">
        <v>45</v>
      </c>
      <c r="AU8" s="77">
        <v>46</v>
      </c>
      <c r="AV8" s="77">
        <v>47</v>
      </c>
      <c r="AW8" s="77">
        <v>48</v>
      </c>
      <c r="AX8" s="77">
        <v>49</v>
      </c>
      <c r="AY8" s="77">
        <v>50</v>
      </c>
      <c r="AZ8" s="77">
        <v>51</v>
      </c>
      <c r="BA8" s="77">
        <v>52</v>
      </c>
      <c r="BB8" s="77">
        <v>53</v>
      </c>
      <c r="BC8" s="77">
        <v>54</v>
      </c>
      <c r="BD8" s="77">
        <v>55</v>
      </c>
      <c r="BE8" s="77">
        <v>56</v>
      </c>
      <c r="BF8" s="77">
        <v>57</v>
      </c>
      <c r="BG8" s="77">
        <v>58</v>
      </c>
      <c r="BH8" s="77">
        <v>59</v>
      </c>
      <c r="BI8" s="77">
        <v>60</v>
      </c>
    </row>
    <row r="9" spans="2:61" x14ac:dyDescent="0.25">
      <c r="B9" s="63">
        <v>1</v>
      </c>
      <c r="C9" s="64" t="str">
        <f>NOMINATIF!C6</f>
        <v>AFMALA INSAN QOIRUNISA</v>
      </c>
      <c r="D9" s="65">
        <f>NOMINATIF!D6</f>
        <v>4020</v>
      </c>
      <c r="E9" s="65" t="str">
        <f>NOMINATIF!E6</f>
        <v>0059023845</v>
      </c>
      <c r="F9" s="53">
        <v>80</v>
      </c>
      <c r="G9" s="53"/>
      <c r="H9" s="53">
        <v>80</v>
      </c>
      <c r="I9" s="53">
        <v>78</v>
      </c>
      <c r="J9" s="53"/>
      <c r="K9" s="53">
        <v>78</v>
      </c>
      <c r="L9" s="53">
        <v>62</v>
      </c>
      <c r="M9" s="53"/>
      <c r="N9" s="53">
        <v>62</v>
      </c>
      <c r="O9" s="53">
        <v>70</v>
      </c>
      <c r="P9" s="53"/>
      <c r="Q9" s="53">
        <v>70</v>
      </c>
      <c r="R9" s="53">
        <v>50</v>
      </c>
      <c r="S9" s="53"/>
      <c r="T9" s="53">
        <v>50</v>
      </c>
      <c r="U9" s="53">
        <v>80</v>
      </c>
      <c r="V9" s="53"/>
      <c r="W9" s="53">
        <v>80</v>
      </c>
      <c r="X9" s="53">
        <v>98</v>
      </c>
      <c r="Y9" s="53"/>
      <c r="Z9" s="53">
        <v>98</v>
      </c>
      <c r="AA9" s="53">
        <v>88</v>
      </c>
      <c r="AB9" s="53"/>
      <c r="AC9" s="53">
        <v>88</v>
      </c>
      <c r="AD9" s="53">
        <v>76</v>
      </c>
      <c r="AE9" s="53"/>
      <c r="AF9" s="53">
        <v>76</v>
      </c>
      <c r="AG9" s="53">
        <v>85</v>
      </c>
      <c r="AH9" s="53"/>
      <c r="AI9" s="53">
        <v>85</v>
      </c>
      <c r="AJ9" s="53">
        <v>80</v>
      </c>
      <c r="AK9" s="53"/>
      <c r="AL9" s="53">
        <v>80</v>
      </c>
      <c r="AM9" s="33">
        <v>80</v>
      </c>
      <c r="AN9" s="53"/>
      <c r="AO9" s="33">
        <v>80</v>
      </c>
      <c r="AP9" s="53">
        <v>66</v>
      </c>
      <c r="AQ9" s="53"/>
      <c r="AR9" s="53">
        <v>66</v>
      </c>
      <c r="AS9" s="53">
        <v>70</v>
      </c>
      <c r="AT9" s="53"/>
      <c r="AU9" s="53">
        <v>70</v>
      </c>
      <c r="AV9" s="66">
        <f>IFERROR(VLOOKUP(C9,$CO$8:$CP$101,2,0),0)</f>
        <v>0</v>
      </c>
      <c r="AW9" s="66"/>
      <c r="AX9" s="66"/>
      <c r="AY9" s="66">
        <f>IFERROR(VLOOKUP(C9,$CQ$8:$CR$101,2,0),0)</f>
        <v>0</v>
      </c>
      <c r="AZ9" s="66"/>
      <c r="BA9" s="66"/>
      <c r="BB9" s="66">
        <f>IFERROR(VLOOKUP(C9,$CS$8:$CT$101,2,0),0)</f>
        <v>0</v>
      </c>
      <c r="BC9" s="66"/>
      <c r="BD9" s="66"/>
      <c r="BE9" s="66">
        <f>IFERROR(VLOOKUP(C9,$CU$8:$CV$101,2,0),0)</f>
        <v>0</v>
      </c>
      <c r="BF9" s="66"/>
      <c r="BG9" s="66"/>
      <c r="BH9" s="67">
        <f>SUM(F9:BE9)</f>
        <v>2126</v>
      </c>
      <c r="BI9" s="68">
        <f>RANK(BH9,$BH$9:$BH$43)</f>
        <v>17</v>
      </c>
    </row>
    <row r="10" spans="2:61" x14ac:dyDescent="0.25">
      <c r="B10" s="63">
        <v>2</v>
      </c>
      <c r="C10" s="64" t="str">
        <f>NOMINATIF!C7</f>
        <v>Bella Febriyan</v>
      </c>
      <c r="D10" s="65">
        <f>NOMINATIF!D7</f>
        <v>4044</v>
      </c>
      <c r="E10" s="65" t="str">
        <f>NOMINATIF!E7</f>
        <v>0063121607</v>
      </c>
      <c r="F10" s="53">
        <v>80</v>
      </c>
      <c r="G10" s="53"/>
      <c r="H10" s="53">
        <v>80</v>
      </c>
      <c r="I10" s="53">
        <v>84</v>
      </c>
      <c r="J10" s="53"/>
      <c r="K10" s="53">
        <v>84</v>
      </c>
      <c r="L10" s="53">
        <v>64</v>
      </c>
      <c r="M10" s="53"/>
      <c r="N10" s="53">
        <v>64</v>
      </c>
      <c r="O10" s="53">
        <v>71</v>
      </c>
      <c r="P10" s="53"/>
      <c r="Q10" s="53">
        <v>71</v>
      </c>
      <c r="R10" s="53">
        <v>54</v>
      </c>
      <c r="S10" s="53"/>
      <c r="T10" s="53">
        <v>54</v>
      </c>
      <c r="U10" s="53">
        <v>80</v>
      </c>
      <c r="V10" s="53"/>
      <c r="W10" s="53">
        <v>80</v>
      </c>
      <c r="X10" s="53">
        <v>96</v>
      </c>
      <c r="Y10" s="53"/>
      <c r="Z10" s="53">
        <v>96</v>
      </c>
      <c r="AA10" s="53">
        <v>86</v>
      </c>
      <c r="AB10" s="53"/>
      <c r="AC10" s="53">
        <v>86</v>
      </c>
      <c r="AD10" s="53">
        <v>74</v>
      </c>
      <c r="AE10" s="53"/>
      <c r="AF10" s="53">
        <v>74</v>
      </c>
      <c r="AG10" s="53">
        <v>84</v>
      </c>
      <c r="AH10" s="53"/>
      <c r="AI10" s="53">
        <v>84</v>
      </c>
      <c r="AJ10" s="53">
        <v>82</v>
      </c>
      <c r="AK10" s="53"/>
      <c r="AL10" s="53">
        <v>82</v>
      </c>
      <c r="AM10" s="33">
        <v>82</v>
      </c>
      <c r="AN10" s="53"/>
      <c r="AO10" s="33">
        <v>82</v>
      </c>
      <c r="AP10" s="53">
        <v>72</v>
      </c>
      <c r="AQ10" s="53"/>
      <c r="AR10" s="53">
        <v>72</v>
      </c>
      <c r="AS10" s="53">
        <v>72</v>
      </c>
      <c r="AT10" s="53"/>
      <c r="AU10" s="53">
        <v>72</v>
      </c>
      <c r="AV10" s="66">
        <f t="shared" ref="AV10:AV43" si="0">IFERROR(VLOOKUP(C10,$CO$8:$CP$101,2,0),0)</f>
        <v>0</v>
      </c>
      <c r="AW10" s="66"/>
      <c r="AX10" s="66"/>
      <c r="AY10" s="66">
        <f t="shared" ref="AY10:AY43" si="1">IFERROR(VLOOKUP(C10,$CQ$8:$CR$101,2,0),0)</f>
        <v>0</v>
      </c>
      <c r="AZ10" s="66"/>
      <c r="BA10" s="66"/>
      <c r="BB10" s="66">
        <f t="shared" ref="BB10:BB43" si="2">IFERROR(VLOOKUP(C10,$CS$8:$CT$101,2,0),0)</f>
        <v>0</v>
      </c>
      <c r="BC10" s="66"/>
      <c r="BD10" s="66"/>
      <c r="BE10" s="66">
        <f t="shared" ref="BE10:BE43" si="3">IFERROR(VLOOKUP(C10,$CU$8:$CV$101,2,0),0)</f>
        <v>0</v>
      </c>
      <c r="BF10" s="66"/>
      <c r="BG10" s="66"/>
      <c r="BH10" s="67">
        <f t="shared" ref="BH10:BH43" si="4">SUM(F10:BE10)</f>
        <v>2162</v>
      </c>
      <c r="BI10" s="68">
        <f t="shared" ref="BI10:BI43" si="5">RANK(BH10,$BH$9:$BH$43)</f>
        <v>6</v>
      </c>
    </row>
    <row r="11" spans="2:61" x14ac:dyDescent="0.25">
      <c r="B11" s="63">
        <v>3</v>
      </c>
      <c r="C11" s="64" t="str">
        <f>NOMINATIF!C8</f>
        <v>CHINTIA WIDYA PUTRI</v>
      </c>
      <c r="D11" s="65">
        <f>NOMINATIF!D8</f>
        <v>4024</v>
      </c>
      <c r="E11" s="65" t="str">
        <f>NOMINATIF!E8</f>
        <v>0064862293</v>
      </c>
      <c r="F11" s="53">
        <v>78</v>
      </c>
      <c r="G11" s="53"/>
      <c r="H11" s="53">
        <v>78</v>
      </c>
      <c r="I11" s="53">
        <v>70</v>
      </c>
      <c r="J11" s="53"/>
      <c r="K11" s="53">
        <v>70</v>
      </c>
      <c r="L11" s="53">
        <v>62</v>
      </c>
      <c r="M11" s="53"/>
      <c r="N11" s="53">
        <v>62</v>
      </c>
      <c r="O11" s="53">
        <v>70</v>
      </c>
      <c r="P11" s="53"/>
      <c r="Q11" s="53">
        <v>70</v>
      </c>
      <c r="R11" s="53">
        <v>54</v>
      </c>
      <c r="S11" s="53"/>
      <c r="T11" s="53">
        <v>54</v>
      </c>
      <c r="U11" s="53">
        <v>78</v>
      </c>
      <c r="V11" s="53"/>
      <c r="W11" s="53">
        <v>78</v>
      </c>
      <c r="X11" s="53">
        <v>93</v>
      </c>
      <c r="Y11" s="53"/>
      <c r="Z11" s="53">
        <v>93</v>
      </c>
      <c r="AA11" s="53">
        <v>80</v>
      </c>
      <c r="AB11" s="53"/>
      <c r="AC11" s="53">
        <v>80</v>
      </c>
      <c r="AD11" s="53">
        <v>80</v>
      </c>
      <c r="AE11" s="53"/>
      <c r="AF11" s="53">
        <v>80</v>
      </c>
      <c r="AG11" s="53">
        <v>84</v>
      </c>
      <c r="AH11" s="53"/>
      <c r="AI11" s="53">
        <v>84</v>
      </c>
      <c r="AJ11" s="53">
        <v>82</v>
      </c>
      <c r="AK11" s="53"/>
      <c r="AL11" s="53">
        <v>82</v>
      </c>
      <c r="AM11" s="33">
        <v>82</v>
      </c>
      <c r="AN11" s="53"/>
      <c r="AO11" s="33">
        <v>82</v>
      </c>
      <c r="AP11" s="53">
        <v>70</v>
      </c>
      <c r="AQ11" s="53"/>
      <c r="AR11" s="53">
        <v>70</v>
      </c>
      <c r="AS11" s="53">
        <v>70</v>
      </c>
      <c r="AT11" s="53"/>
      <c r="AU11" s="53">
        <v>70</v>
      </c>
      <c r="AV11" s="66">
        <f t="shared" si="0"/>
        <v>0</v>
      </c>
      <c r="AW11" s="66"/>
      <c r="AX11" s="66"/>
      <c r="AY11" s="66">
        <f t="shared" si="1"/>
        <v>0</v>
      </c>
      <c r="AZ11" s="66"/>
      <c r="BA11" s="66"/>
      <c r="BB11" s="66">
        <f t="shared" si="2"/>
        <v>0</v>
      </c>
      <c r="BC11" s="66"/>
      <c r="BD11" s="66"/>
      <c r="BE11" s="66">
        <f t="shared" si="3"/>
        <v>0</v>
      </c>
      <c r="BF11" s="66"/>
      <c r="BG11" s="66"/>
      <c r="BH11" s="67">
        <f t="shared" si="4"/>
        <v>2106</v>
      </c>
      <c r="BI11" s="68">
        <f t="shared" si="5"/>
        <v>20</v>
      </c>
    </row>
    <row r="12" spans="2:61" x14ac:dyDescent="0.25">
      <c r="B12" s="63">
        <v>4</v>
      </c>
      <c r="C12" s="64" t="str">
        <f>NOMINATIF!C9</f>
        <v>DAVINA AZAHRA</v>
      </c>
      <c r="D12" s="65">
        <f>NOMINATIF!D9</f>
        <v>4048</v>
      </c>
      <c r="E12" s="65" t="str">
        <f>NOMINATIF!E9</f>
        <v>0063299654</v>
      </c>
      <c r="F12" s="53">
        <v>80</v>
      </c>
      <c r="G12" s="53"/>
      <c r="H12" s="53">
        <v>80</v>
      </c>
      <c r="I12" s="53">
        <v>84</v>
      </c>
      <c r="J12" s="53"/>
      <c r="K12" s="53">
        <v>84</v>
      </c>
      <c r="L12" s="53">
        <v>67</v>
      </c>
      <c r="M12" s="53"/>
      <c r="N12" s="53">
        <v>67</v>
      </c>
      <c r="O12" s="53">
        <v>69</v>
      </c>
      <c r="P12" s="53"/>
      <c r="Q12" s="53">
        <v>69</v>
      </c>
      <c r="R12" s="53">
        <v>62</v>
      </c>
      <c r="S12" s="53"/>
      <c r="T12" s="53">
        <v>62</v>
      </c>
      <c r="U12" s="53">
        <v>77</v>
      </c>
      <c r="V12" s="53"/>
      <c r="W12" s="53">
        <v>77</v>
      </c>
      <c r="X12" s="53">
        <v>98</v>
      </c>
      <c r="Y12" s="53"/>
      <c r="Z12" s="53">
        <v>98</v>
      </c>
      <c r="AA12" s="53">
        <v>84</v>
      </c>
      <c r="AB12" s="53"/>
      <c r="AC12" s="53">
        <v>84</v>
      </c>
      <c r="AD12" s="53">
        <v>82</v>
      </c>
      <c r="AE12" s="53"/>
      <c r="AF12" s="53">
        <v>82</v>
      </c>
      <c r="AG12" s="53">
        <v>86</v>
      </c>
      <c r="AH12" s="53"/>
      <c r="AI12" s="53">
        <v>86</v>
      </c>
      <c r="AJ12" s="53">
        <v>80</v>
      </c>
      <c r="AK12" s="53"/>
      <c r="AL12" s="53">
        <v>80</v>
      </c>
      <c r="AM12" s="33">
        <v>80</v>
      </c>
      <c r="AN12" s="53"/>
      <c r="AO12" s="33">
        <v>80</v>
      </c>
      <c r="AP12" s="53">
        <v>72</v>
      </c>
      <c r="AQ12" s="53"/>
      <c r="AR12" s="53">
        <v>72</v>
      </c>
      <c r="AS12" s="53">
        <v>70</v>
      </c>
      <c r="AT12" s="53"/>
      <c r="AU12" s="53">
        <v>70</v>
      </c>
      <c r="AV12" s="66">
        <f t="shared" si="0"/>
        <v>0</v>
      </c>
      <c r="AW12" s="66"/>
      <c r="AX12" s="66"/>
      <c r="AY12" s="66">
        <f t="shared" si="1"/>
        <v>0</v>
      </c>
      <c r="AZ12" s="66"/>
      <c r="BA12" s="66"/>
      <c r="BB12" s="66">
        <f t="shared" si="2"/>
        <v>0</v>
      </c>
      <c r="BC12" s="66"/>
      <c r="BD12" s="66"/>
      <c r="BE12" s="66">
        <f t="shared" si="3"/>
        <v>0</v>
      </c>
      <c r="BF12" s="66"/>
      <c r="BG12" s="66"/>
      <c r="BH12" s="67">
        <f t="shared" si="4"/>
        <v>2182</v>
      </c>
      <c r="BI12" s="68">
        <f t="shared" si="5"/>
        <v>1</v>
      </c>
    </row>
    <row r="13" spans="2:61" x14ac:dyDescent="0.25">
      <c r="B13" s="63">
        <v>5</v>
      </c>
      <c r="C13" s="64" t="str">
        <f>NOMINATIF!C10</f>
        <v>DELIA TRI ASTUTI</v>
      </c>
      <c r="D13" s="65">
        <f>NOMINATIF!D10</f>
        <v>4049</v>
      </c>
      <c r="E13" s="65" t="str">
        <f>NOMINATIF!E10</f>
        <v>0051684703</v>
      </c>
      <c r="F13" s="53">
        <v>78</v>
      </c>
      <c r="G13" s="53"/>
      <c r="H13" s="53">
        <v>78</v>
      </c>
      <c r="I13" s="53">
        <v>82</v>
      </c>
      <c r="J13" s="53"/>
      <c r="K13" s="53">
        <v>82</v>
      </c>
      <c r="L13" s="53">
        <v>71</v>
      </c>
      <c r="M13" s="53"/>
      <c r="N13" s="53">
        <v>71</v>
      </c>
      <c r="O13" s="53">
        <v>70</v>
      </c>
      <c r="P13" s="53"/>
      <c r="Q13" s="53">
        <v>70</v>
      </c>
      <c r="R13" s="53">
        <v>52</v>
      </c>
      <c r="S13" s="53"/>
      <c r="T13" s="53">
        <v>52</v>
      </c>
      <c r="U13" s="53">
        <v>77</v>
      </c>
      <c r="V13" s="53"/>
      <c r="W13" s="53">
        <v>77</v>
      </c>
      <c r="X13" s="53">
        <v>94</v>
      </c>
      <c r="Y13" s="53"/>
      <c r="Z13" s="53">
        <v>94</v>
      </c>
      <c r="AA13" s="53">
        <v>80</v>
      </c>
      <c r="AB13" s="53"/>
      <c r="AC13" s="53">
        <v>80</v>
      </c>
      <c r="AD13" s="53">
        <v>84</v>
      </c>
      <c r="AE13" s="53"/>
      <c r="AF13" s="53">
        <v>84</v>
      </c>
      <c r="AG13" s="53">
        <v>80</v>
      </c>
      <c r="AH13" s="53"/>
      <c r="AI13" s="53">
        <v>80</v>
      </c>
      <c r="AJ13" s="53">
        <v>80</v>
      </c>
      <c r="AK13" s="53"/>
      <c r="AL13" s="53">
        <v>80</v>
      </c>
      <c r="AM13" s="33">
        <v>80</v>
      </c>
      <c r="AN13" s="53"/>
      <c r="AO13" s="33">
        <v>80</v>
      </c>
      <c r="AP13" s="53">
        <v>72</v>
      </c>
      <c r="AQ13" s="53"/>
      <c r="AR13" s="53">
        <v>72</v>
      </c>
      <c r="AS13" s="53">
        <v>72</v>
      </c>
      <c r="AT13" s="53"/>
      <c r="AU13" s="53">
        <v>72</v>
      </c>
      <c r="AV13" s="66">
        <f t="shared" si="0"/>
        <v>0</v>
      </c>
      <c r="AW13" s="66"/>
      <c r="AX13" s="66"/>
      <c r="AY13" s="66">
        <f t="shared" si="1"/>
        <v>0</v>
      </c>
      <c r="AZ13" s="66"/>
      <c r="BA13" s="66"/>
      <c r="BB13" s="66">
        <f t="shared" si="2"/>
        <v>0</v>
      </c>
      <c r="BC13" s="66"/>
      <c r="BD13" s="66"/>
      <c r="BE13" s="66">
        <f t="shared" si="3"/>
        <v>0</v>
      </c>
      <c r="BF13" s="66"/>
      <c r="BG13" s="66"/>
      <c r="BH13" s="67">
        <f t="shared" si="4"/>
        <v>2144</v>
      </c>
      <c r="BI13" s="68">
        <f t="shared" si="5"/>
        <v>13</v>
      </c>
    </row>
    <row r="14" spans="2:61" x14ac:dyDescent="0.25">
      <c r="B14" s="63">
        <v>6</v>
      </c>
      <c r="C14" s="64" t="str">
        <f>NOMINATIF!C11</f>
        <v>ELVA AYU SAPUTRI</v>
      </c>
      <c r="D14" s="65">
        <f>NOMINATIF!D11</f>
        <v>4027</v>
      </c>
      <c r="E14" s="65" t="str">
        <f>NOMINATIF!E11</f>
        <v>0067175983</v>
      </c>
      <c r="F14" s="53">
        <v>78</v>
      </c>
      <c r="G14" s="53"/>
      <c r="H14" s="53">
        <v>78</v>
      </c>
      <c r="I14" s="53">
        <v>78</v>
      </c>
      <c r="J14" s="53"/>
      <c r="K14" s="53">
        <v>78</v>
      </c>
      <c r="L14" s="53">
        <v>77</v>
      </c>
      <c r="M14" s="53"/>
      <c r="N14" s="53">
        <v>77</v>
      </c>
      <c r="O14" s="53">
        <v>69</v>
      </c>
      <c r="P14" s="53"/>
      <c r="Q14" s="53">
        <v>69</v>
      </c>
      <c r="R14" s="53">
        <v>56</v>
      </c>
      <c r="S14" s="53"/>
      <c r="T14" s="53">
        <v>56</v>
      </c>
      <c r="U14" s="53">
        <v>78</v>
      </c>
      <c r="V14" s="53"/>
      <c r="W14" s="53">
        <v>78</v>
      </c>
      <c r="X14" s="53">
        <v>96</v>
      </c>
      <c r="Y14" s="53"/>
      <c r="Z14" s="53">
        <v>96</v>
      </c>
      <c r="AA14" s="53">
        <v>86</v>
      </c>
      <c r="AB14" s="53"/>
      <c r="AC14" s="53">
        <v>86</v>
      </c>
      <c r="AD14" s="53">
        <v>77</v>
      </c>
      <c r="AE14" s="53"/>
      <c r="AF14" s="53">
        <v>77</v>
      </c>
      <c r="AG14" s="53">
        <v>84</v>
      </c>
      <c r="AH14" s="53"/>
      <c r="AI14" s="53">
        <v>84</v>
      </c>
      <c r="AJ14" s="53">
        <v>82</v>
      </c>
      <c r="AK14" s="53"/>
      <c r="AL14" s="53">
        <v>82</v>
      </c>
      <c r="AM14" s="33">
        <v>82</v>
      </c>
      <c r="AN14" s="53"/>
      <c r="AO14" s="33">
        <v>82</v>
      </c>
      <c r="AP14" s="53">
        <v>66</v>
      </c>
      <c r="AQ14" s="53"/>
      <c r="AR14" s="53">
        <v>66</v>
      </c>
      <c r="AS14" s="53">
        <v>70</v>
      </c>
      <c r="AT14" s="53"/>
      <c r="AU14" s="53">
        <v>70</v>
      </c>
      <c r="AV14" s="66">
        <f t="shared" si="0"/>
        <v>0</v>
      </c>
      <c r="AW14" s="66"/>
      <c r="AX14" s="66"/>
      <c r="AY14" s="66">
        <f t="shared" si="1"/>
        <v>0</v>
      </c>
      <c r="AZ14" s="66"/>
      <c r="BA14" s="66"/>
      <c r="BB14" s="66">
        <f t="shared" si="2"/>
        <v>0</v>
      </c>
      <c r="BC14" s="66"/>
      <c r="BD14" s="66"/>
      <c r="BE14" s="66">
        <f t="shared" si="3"/>
        <v>0</v>
      </c>
      <c r="BF14" s="66"/>
      <c r="BG14" s="66"/>
      <c r="BH14" s="67">
        <f t="shared" si="4"/>
        <v>2158</v>
      </c>
      <c r="BI14" s="68">
        <f t="shared" si="5"/>
        <v>10</v>
      </c>
    </row>
    <row r="15" spans="2:61" x14ac:dyDescent="0.25">
      <c r="B15" s="63">
        <v>7</v>
      </c>
      <c r="C15" s="64" t="str">
        <f>NOMINATIF!C12</f>
        <v>Irlyn May Ardhiyana</v>
      </c>
      <c r="D15" s="65">
        <f>NOMINATIF!D12</f>
        <v>4030</v>
      </c>
      <c r="E15" s="65" t="str">
        <f>NOMINATIF!E12</f>
        <v>0068161646</v>
      </c>
      <c r="F15" s="53">
        <v>78</v>
      </c>
      <c r="G15" s="53"/>
      <c r="H15" s="53">
        <v>78</v>
      </c>
      <c r="I15" s="53">
        <v>84</v>
      </c>
      <c r="J15" s="53"/>
      <c r="K15" s="53">
        <v>84</v>
      </c>
      <c r="L15" s="53">
        <v>71</v>
      </c>
      <c r="M15" s="53"/>
      <c r="N15" s="53">
        <v>71</v>
      </c>
      <c r="O15" s="53">
        <v>71</v>
      </c>
      <c r="P15" s="53"/>
      <c r="Q15" s="53">
        <v>71</v>
      </c>
      <c r="R15" s="53">
        <v>58</v>
      </c>
      <c r="S15" s="53"/>
      <c r="T15" s="53">
        <v>58</v>
      </c>
      <c r="U15" s="53">
        <v>78</v>
      </c>
      <c r="V15" s="53"/>
      <c r="W15" s="53">
        <v>78</v>
      </c>
      <c r="X15" s="53">
        <v>98</v>
      </c>
      <c r="Y15" s="53"/>
      <c r="Z15" s="53">
        <v>98</v>
      </c>
      <c r="AA15" s="53">
        <v>84</v>
      </c>
      <c r="AB15" s="53"/>
      <c r="AC15" s="53">
        <v>84</v>
      </c>
      <c r="AD15" s="53">
        <v>80</v>
      </c>
      <c r="AE15" s="53"/>
      <c r="AF15" s="53">
        <v>80</v>
      </c>
      <c r="AG15" s="53">
        <v>83</v>
      </c>
      <c r="AH15" s="53"/>
      <c r="AI15" s="53">
        <v>83</v>
      </c>
      <c r="AJ15" s="53">
        <v>82</v>
      </c>
      <c r="AK15" s="53"/>
      <c r="AL15" s="53">
        <v>82</v>
      </c>
      <c r="AM15" s="33">
        <v>82</v>
      </c>
      <c r="AN15" s="53"/>
      <c r="AO15" s="33">
        <v>82</v>
      </c>
      <c r="AP15" s="53">
        <v>70</v>
      </c>
      <c r="AQ15" s="53"/>
      <c r="AR15" s="53">
        <v>70</v>
      </c>
      <c r="AS15" s="53">
        <v>70</v>
      </c>
      <c r="AT15" s="53"/>
      <c r="AU15" s="53">
        <v>70</v>
      </c>
      <c r="AV15" s="66">
        <f t="shared" si="0"/>
        <v>0</v>
      </c>
      <c r="AW15" s="66"/>
      <c r="AX15" s="66"/>
      <c r="AY15" s="66">
        <f t="shared" si="1"/>
        <v>0</v>
      </c>
      <c r="AZ15" s="66"/>
      <c r="BA15" s="66"/>
      <c r="BB15" s="66">
        <f t="shared" si="2"/>
        <v>0</v>
      </c>
      <c r="BC15" s="66"/>
      <c r="BD15" s="66"/>
      <c r="BE15" s="66">
        <f t="shared" si="3"/>
        <v>0</v>
      </c>
      <c r="BF15" s="66"/>
      <c r="BG15" s="66"/>
      <c r="BH15" s="67">
        <f t="shared" si="4"/>
        <v>2178</v>
      </c>
      <c r="BI15" s="68">
        <f t="shared" si="5"/>
        <v>2</v>
      </c>
    </row>
    <row r="16" spans="2:61" x14ac:dyDescent="0.25">
      <c r="B16" s="63">
        <v>8</v>
      </c>
      <c r="C16" s="64" t="str">
        <f>NOMINATIF!C13</f>
        <v>Milla Safira</v>
      </c>
      <c r="D16" s="65">
        <f>NOMINATIF!D13</f>
        <v>4053</v>
      </c>
      <c r="E16" s="65" t="str">
        <f>NOMINATIF!E13</f>
        <v>0057801643</v>
      </c>
      <c r="F16" s="53">
        <v>78</v>
      </c>
      <c r="G16" s="53"/>
      <c r="H16" s="53">
        <v>78</v>
      </c>
      <c r="I16" s="53">
        <v>80</v>
      </c>
      <c r="J16" s="53"/>
      <c r="K16" s="53">
        <v>80</v>
      </c>
      <c r="L16" s="53">
        <v>62</v>
      </c>
      <c r="M16" s="53"/>
      <c r="N16" s="53">
        <v>62</v>
      </c>
      <c r="O16" s="53">
        <v>65</v>
      </c>
      <c r="P16" s="53"/>
      <c r="Q16" s="53">
        <v>65</v>
      </c>
      <c r="R16" s="53">
        <v>54</v>
      </c>
      <c r="S16" s="53"/>
      <c r="T16" s="53">
        <v>54</v>
      </c>
      <c r="U16" s="53">
        <v>78</v>
      </c>
      <c r="V16" s="53"/>
      <c r="W16" s="53">
        <v>78</v>
      </c>
      <c r="X16" s="53">
        <v>96</v>
      </c>
      <c r="Y16" s="53"/>
      <c r="Z16" s="53">
        <v>96</v>
      </c>
      <c r="AA16" s="53">
        <v>84</v>
      </c>
      <c r="AB16" s="53"/>
      <c r="AC16" s="53">
        <v>84</v>
      </c>
      <c r="AD16" s="53">
        <v>88</v>
      </c>
      <c r="AE16" s="53"/>
      <c r="AF16" s="53">
        <v>88</v>
      </c>
      <c r="AG16" s="53">
        <v>82</v>
      </c>
      <c r="AH16" s="53"/>
      <c r="AI16" s="53">
        <v>82</v>
      </c>
      <c r="AJ16" s="53">
        <v>82</v>
      </c>
      <c r="AK16" s="53"/>
      <c r="AL16" s="53">
        <v>82</v>
      </c>
      <c r="AM16" s="33">
        <v>82</v>
      </c>
      <c r="AN16" s="53"/>
      <c r="AO16" s="33">
        <v>82</v>
      </c>
      <c r="AP16" s="53">
        <v>78</v>
      </c>
      <c r="AQ16" s="53"/>
      <c r="AR16" s="53">
        <v>78</v>
      </c>
      <c r="AS16" s="53">
        <v>72</v>
      </c>
      <c r="AT16" s="53"/>
      <c r="AU16" s="53">
        <v>72</v>
      </c>
      <c r="AV16" s="66">
        <f t="shared" si="0"/>
        <v>0</v>
      </c>
      <c r="AW16" s="66"/>
      <c r="AX16" s="66"/>
      <c r="AY16" s="66">
        <f t="shared" si="1"/>
        <v>0</v>
      </c>
      <c r="AZ16" s="66"/>
      <c r="BA16" s="66"/>
      <c r="BB16" s="66">
        <f t="shared" si="2"/>
        <v>0</v>
      </c>
      <c r="BC16" s="66"/>
      <c r="BD16" s="66"/>
      <c r="BE16" s="66">
        <f t="shared" si="3"/>
        <v>0</v>
      </c>
      <c r="BF16" s="66"/>
      <c r="BG16" s="66"/>
      <c r="BH16" s="67">
        <f t="shared" si="4"/>
        <v>2162</v>
      </c>
      <c r="BI16" s="68">
        <f t="shared" si="5"/>
        <v>6</v>
      </c>
    </row>
    <row r="17" spans="2:61" x14ac:dyDescent="0.25">
      <c r="B17" s="63">
        <v>9</v>
      </c>
      <c r="C17" s="64" t="str">
        <f>NOMINATIF!C14</f>
        <v>NATASYA EVI ARIFAH</v>
      </c>
      <c r="D17" s="65">
        <f>NOMINATIF!D14</f>
        <v>4033</v>
      </c>
      <c r="E17" s="65" t="str">
        <f>NOMINATIF!E14</f>
        <v>0066680260</v>
      </c>
      <c r="F17" s="53">
        <v>79</v>
      </c>
      <c r="G17" s="53"/>
      <c r="H17" s="53">
        <v>79</v>
      </c>
      <c r="I17" s="53">
        <v>82</v>
      </c>
      <c r="J17" s="53"/>
      <c r="K17" s="53">
        <v>82</v>
      </c>
      <c r="L17" s="53">
        <v>59</v>
      </c>
      <c r="M17" s="53"/>
      <c r="N17" s="53">
        <v>59</v>
      </c>
      <c r="O17" s="53">
        <v>67</v>
      </c>
      <c r="P17" s="53"/>
      <c r="Q17" s="53">
        <v>67</v>
      </c>
      <c r="R17" s="53">
        <v>61</v>
      </c>
      <c r="S17" s="53"/>
      <c r="T17" s="53">
        <v>61</v>
      </c>
      <c r="U17" s="53">
        <v>79</v>
      </c>
      <c r="V17" s="53"/>
      <c r="W17" s="53">
        <v>79</v>
      </c>
      <c r="X17" s="53">
        <v>93</v>
      </c>
      <c r="Y17" s="53"/>
      <c r="Z17" s="53">
        <v>93</v>
      </c>
      <c r="AA17" s="53">
        <v>84</v>
      </c>
      <c r="AB17" s="53"/>
      <c r="AC17" s="53">
        <v>84</v>
      </c>
      <c r="AD17" s="53">
        <v>78</v>
      </c>
      <c r="AE17" s="53"/>
      <c r="AF17" s="53">
        <v>78</v>
      </c>
      <c r="AG17" s="53">
        <v>86</v>
      </c>
      <c r="AH17" s="53"/>
      <c r="AI17" s="53">
        <v>86</v>
      </c>
      <c r="AJ17" s="53">
        <v>80</v>
      </c>
      <c r="AK17" s="53"/>
      <c r="AL17" s="53">
        <v>80</v>
      </c>
      <c r="AM17" s="33">
        <v>80</v>
      </c>
      <c r="AN17" s="53"/>
      <c r="AO17" s="33">
        <v>80</v>
      </c>
      <c r="AP17" s="53">
        <v>68</v>
      </c>
      <c r="AQ17" s="53"/>
      <c r="AR17" s="53">
        <v>68</v>
      </c>
      <c r="AS17" s="53">
        <v>72</v>
      </c>
      <c r="AT17" s="53"/>
      <c r="AU17" s="53">
        <v>72</v>
      </c>
      <c r="AV17" s="66">
        <f t="shared" si="0"/>
        <v>0</v>
      </c>
      <c r="AW17" s="66"/>
      <c r="AX17" s="66"/>
      <c r="AY17" s="66">
        <f t="shared" si="1"/>
        <v>0</v>
      </c>
      <c r="AZ17" s="66"/>
      <c r="BA17" s="66"/>
      <c r="BB17" s="66">
        <f t="shared" si="2"/>
        <v>0</v>
      </c>
      <c r="BC17" s="66"/>
      <c r="BD17" s="66"/>
      <c r="BE17" s="66">
        <f t="shared" si="3"/>
        <v>0</v>
      </c>
      <c r="BF17" s="66"/>
      <c r="BG17" s="66"/>
      <c r="BH17" s="67">
        <f t="shared" si="4"/>
        <v>2136</v>
      </c>
      <c r="BI17" s="68">
        <f t="shared" si="5"/>
        <v>14</v>
      </c>
    </row>
    <row r="18" spans="2:61" x14ac:dyDescent="0.25">
      <c r="B18" s="63">
        <v>10</v>
      </c>
      <c r="C18" s="64" t="str">
        <f>NOMINATIF!C15</f>
        <v>Nensyih Widyawati Maharani</v>
      </c>
      <c r="D18" s="65">
        <f>NOMINATIF!D15</f>
        <v>4054</v>
      </c>
      <c r="E18" s="65" t="str">
        <f>NOMINATIF!E15</f>
        <v>0064476649</v>
      </c>
      <c r="F18" s="53">
        <v>79</v>
      </c>
      <c r="G18" s="53"/>
      <c r="H18" s="53">
        <v>79</v>
      </c>
      <c r="I18" s="53">
        <v>82</v>
      </c>
      <c r="J18" s="53"/>
      <c r="K18" s="53">
        <v>82</v>
      </c>
      <c r="L18" s="53">
        <v>64</v>
      </c>
      <c r="M18" s="53"/>
      <c r="N18" s="53">
        <v>64</v>
      </c>
      <c r="O18" s="53">
        <v>65</v>
      </c>
      <c r="P18" s="53"/>
      <c r="Q18" s="53">
        <v>65</v>
      </c>
      <c r="R18" s="53">
        <v>50</v>
      </c>
      <c r="S18" s="53"/>
      <c r="T18" s="53">
        <v>50</v>
      </c>
      <c r="U18" s="53">
        <v>79</v>
      </c>
      <c r="V18" s="53"/>
      <c r="W18" s="53">
        <v>79</v>
      </c>
      <c r="X18" s="53">
        <v>96</v>
      </c>
      <c r="Y18" s="53"/>
      <c r="Z18" s="53">
        <v>96</v>
      </c>
      <c r="AA18" s="53">
        <v>88</v>
      </c>
      <c r="AB18" s="53"/>
      <c r="AC18" s="53">
        <v>88</v>
      </c>
      <c r="AD18" s="53">
        <v>84</v>
      </c>
      <c r="AE18" s="53"/>
      <c r="AF18" s="53">
        <v>84</v>
      </c>
      <c r="AG18" s="53">
        <v>86</v>
      </c>
      <c r="AH18" s="53"/>
      <c r="AI18" s="53">
        <v>86</v>
      </c>
      <c r="AJ18" s="53">
        <v>84</v>
      </c>
      <c r="AK18" s="53"/>
      <c r="AL18" s="53">
        <v>84</v>
      </c>
      <c r="AM18" s="33">
        <v>84</v>
      </c>
      <c r="AN18" s="53"/>
      <c r="AO18" s="33">
        <v>84</v>
      </c>
      <c r="AP18" s="53">
        <v>72</v>
      </c>
      <c r="AQ18" s="53"/>
      <c r="AR18" s="53">
        <v>72</v>
      </c>
      <c r="AS18" s="53">
        <v>68</v>
      </c>
      <c r="AT18" s="53"/>
      <c r="AU18" s="53">
        <v>68</v>
      </c>
      <c r="AV18" s="66">
        <f t="shared" si="0"/>
        <v>0</v>
      </c>
      <c r="AW18" s="66"/>
      <c r="AX18" s="66"/>
      <c r="AY18" s="66">
        <f t="shared" si="1"/>
        <v>0</v>
      </c>
      <c r="AZ18" s="66"/>
      <c r="BA18" s="66"/>
      <c r="BB18" s="66">
        <f t="shared" si="2"/>
        <v>0</v>
      </c>
      <c r="BC18" s="66"/>
      <c r="BD18" s="66"/>
      <c r="BE18" s="66">
        <f t="shared" si="3"/>
        <v>0</v>
      </c>
      <c r="BF18" s="66"/>
      <c r="BG18" s="66"/>
      <c r="BH18" s="67">
        <f t="shared" si="4"/>
        <v>2162</v>
      </c>
      <c r="BI18" s="68">
        <f t="shared" si="5"/>
        <v>6</v>
      </c>
    </row>
    <row r="19" spans="2:61" x14ac:dyDescent="0.25">
      <c r="B19" s="63">
        <v>11</v>
      </c>
      <c r="C19" s="64" t="str">
        <f>NOMINATIF!C16</f>
        <v>Olifah Hiasianjeng Prehatin</v>
      </c>
      <c r="D19" s="65">
        <f>NOMINATIF!D16</f>
        <v>4056</v>
      </c>
      <c r="E19" s="65" t="str">
        <f>NOMINATIF!E16</f>
        <v>0056102322</v>
      </c>
      <c r="F19" s="53">
        <v>80</v>
      </c>
      <c r="G19" s="53"/>
      <c r="H19" s="53">
        <v>80</v>
      </c>
      <c r="I19" s="53">
        <v>74</v>
      </c>
      <c r="J19" s="53"/>
      <c r="K19" s="53">
        <v>74</v>
      </c>
      <c r="L19" s="53">
        <v>76</v>
      </c>
      <c r="M19" s="53"/>
      <c r="N19" s="53">
        <v>76</v>
      </c>
      <c r="O19" s="53">
        <v>70</v>
      </c>
      <c r="P19" s="53"/>
      <c r="Q19" s="53">
        <v>70</v>
      </c>
      <c r="R19" s="53">
        <v>62</v>
      </c>
      <c r="S19" s="53"/>
      <c r="T19" s="53">
        <v>62</v>
      </c>
      <c r="U19" s="53">
        <v>79</v>
      </c>
      <c r="V19" s="53"/>
      <c r="W19" s="53">
        <v>79</v>
      </c>
      <c r="X19" s="53">
        <v>98</v>
      </c>
      <c r="Y19" s="53"/>
      <c r="Z19" s="53">
        <v>98</v>
      </c>
      <c r="AA19" s="53">
        <v>82</v>
      </c>
      <c r="AB19" s="53"/>
      <c r="AC19" s="53">
        <v>82</v>
      </c>
      <c r="AD19" s="53">
        <v>78</v>
      </c>
      <c r="AE19" s="53"/>
      <c r="AF19" s="53">
        <v>78</v>
      </c>
      <c r="AG19" s="53">
        <v>84</v>
      </c>
      <c r="AH19" s="53"/>
      <c r="AI19" s="53">
        <v>84</v>
      </c>
      <c r="AJ19" s="53">
        <v>82</v>
      </c>
      <c r="AK19" s="53"/>
      <c r="AL19" s="53">
        <v>82</v>
      </c>
      <c r="AM19" s="33">
        <v>82</v>
      </c>
      <c r="AN19" s="53"/>
      <c r="AO19" s="33">
        <v>82</v>
      </c>
      <c r="AP19" s="53">
        <v>68</v>
      </c>
      <c r="AQ19" s="53"/>
      <c r="AR19" s="53">
        <v>68</v>
      </c>
      <c r="AS19" s="53">
        <v>70</v>
      </c>
      <c r="AT19" s="53"/>
      <c r="AU19" s="53">
        <v>70</v>
      </c>
      <c r="AV19" s="66">
        <f t="shared" si="0"/>
        <v>0</v>
      </c>
      <c r="AW19" s="66"/>
      <c r="AX19" s="66"/>
      <c r="AY19" s="66">
        <f t="shared" si="1"/>
        <v>0</v>
      </c>
      <c r="AZ19" s="66"/>
      <c r="BA19" s="66"/>
      <c r="BB19" s="66">
        <f t="shared" si="2"/>
        <v>0</v>
      </c>
      <c r="BC19" s="66"/>
      <c r="BD19" s="66"/>
      <c r="BE19" s="66">
        <f t="shared" si="3"/>
        <v>0</v>
      </c>
      <c r="BF19" s="66"/>
      <c r="BG19" s="66"/>
      <c r="BH19" s="67">
        <f t="shared" si="4"/>
        <v>2170</v>
      </c>
      <c r="BI19" s="68">
        <f t="shared" si="5"/>
        <v>3</v>
      </c>
    </row>
    <row r="20" spans="2:61" x14ac:dyDescent="0.25">
      <c r="B20" s="63">
        <v>12</v>
      </c>
      <c r="C20" s="64" t="str">
        <f>NOMINATIF!C17</f>
        <v>Putri Wijayanti</v>
      </c>
      <c r="D20" s="65">
        <f>NOMINATIF!D17</f>
        <v>4057</v>
      </c>
      <c r="E20" s="65" t="str">
        <f>NOMINATIF!E17</f>
        <v>0065546535</v>
      </c>
      <c r="F20" s="53">
        <v>82</v>
      </c>
      <c r="G20" s="53"/>
      <c r="H20" s="53">
        <v>82</v>
      </c>
      <c r="I20" s="53">
        <v>82</v>
      </c>
      <c r="J20" s="53"/>
      <c r="K20" s="53">
        <v>82</v>
      </c>
      <c r="L20" s="53">
        <v>62</v>
      </c>
      <c r="M20" s="53"/>
      <c r="N20" s="53">
        <v>62</v>
      </c>
      <c r="O20" s="53">
        <v>69</v>
      </c>
      <c r="P20" s="53"/>
      <c r="Q20" s="53">
        <v>69</v>
      </c>
      <c r="R20" s="53">
        <v>67</v>
      </c>
      <c r="S20" s="53"/>
      <c r="T20" s="53">
        <v>67</v>
      </c>
      <c r="U20" s="53">
        <v>80</v>
      </c>
      <c r="V20" s="53"/>
      <c r="W20" s="53">
        <v>80</v>
      </c>
      <c r="X20" s="53">
        <v>98</v>
      </c>
      <c r="Y20" s="53"/>
      <c r="Z20" s="53">
        <v>98</v>
      </c>
      <c r="AA20" s="53">
        <v>76</v>
      </c>
      <c r="AB20" s="53"/>
      <c r="AC20" s="53">
        <v>76</v>
      </c>
      <c r="AD20" s="53">
        <v>78</v>
      </c>
      <c r="AE20" s="53"/>
      <c r="AF20" s="53">
        <v>78</v>
      </c>
      <c r="AG20" s="53">
        <v>83</v>
      </c>
      <c r="AH20" s="53"/>
      <c r="AI20" s="53">
        <v>83</v>
      </c>
      <c r="AJ20" s="53">
        <v>82</v>
      </c>
      <c r="AK20" s="53"/>
      <c r="AL20" s="53">
        <v>82</v>
      </c>
      <c r="AM20" s="33">
        <v>82</v>
      </c>
      <c r="AN20" s="53"/>
      <c r="AO20" s="33">
        <v>82</v>
      </c>
      <c r="AP20" s="53">
        <v>68</v>
      </c>
      <c r="AQ20" s="53"/>
      <c r="AR20" s="53">
        <v>68</v>
      </c>
      <c r="AS20" s="53">
        <v>70</v>
      </c>
      <c r="AT20" s="53"/>
      <c r="AU20" s="53">
        <v>70</v>
      </c>
      <c r="AV20" s="66">
        <f t="shared" si="0"/>
        <v>0</v>
      </c>
      <c r="AW20" s="66"/>
      <c r="AX20" s="66"/>
      <c r="AY20" s="66">
        <f t="shared" si="1"/>
        <v>0</v>
      </c>
      <c r="AZ20" s="66"/>
      <c r="BA20" s="66"/>
      <c r="BB20" s="66">
        <f t="shared" si="2"/>
        <v>0</v>
      </c>
      <c r="BC20" s="66"/>
      <c r="BD20" s="66"/>
      <c r="BE20" s="66">
        <f t="shared" si="3"/>
        <v>0</v>
      </c>
      <c r="BF20" s="66"/>
      <c r="BG20" s="66"/>
      <c r="BH20" s="67">
        <f t="shared" si="4"/>
        <v>2158</v>
      </c>
      <c r="BI20" s="68">
        <f t="shared" si="5"/>
        <v>10</v>
      </c>
    </row>
    <row r="21" spans="2:61" x14ac:dyDescent="0.25">
      <c r="B21" s="63">
        <v>13</v>
      </c>
      <c r="C21" s="64" t="str">
        <f>NOMINATIF!C18</f>
        <v>Rafli Ramadani</v>
      </c>
      <c r="D21" s="65">
        <f>NOMINATIF!D18</f>
        <v>4058</v>
      </c>
      <c r="E21" s="65" t="str">
        <f>NOMINATIF!E18</f>
        <v>0055462823</v>
      </c>
      <c r="F21" s="53">
        <v>80</v>
      </c>
      <c r="G21" s="53"/>
      <c r="H21" s="53">
        <v>80</v>
      </c>
      <c r="I21" s="53">
        <v>80</v>
      </c>
      <c r="J21" s="53"/>
      <c r="K21" s="53">
        <v>80</v>
      </c>
      <c r="L21" s="53">
        <v>70</v>
      </c>
      <c r="M21" s="53"/>
      <c r="N21" s="53">
        <v>70</v>
      </c>
      <c r="O21" s="53">
        <v>65</v>
      </c>
      <c r="P21" s="53"/>
      <c r="Q21" s="53">
        <v>65</v>
      </c>
      <c r="R21" s="53">
        <v>50</v>
      </c>
      <c r="S21" s="53"/>
      <c r="T21" s="53">
        <v>50</v>
      </c>
      <c r="U21" s="53">
        <v>82</v>
      </c>
      <c r="V21" s="53"/>
      <c r="W21" s="53">
        <v>82</v>
      </c>
      <c r="X21" s="53">
        <v>87</v>
      </c>
      <c r="Y21" s="53"/>
      <c r="Z21" s="53">
        <v>87</v>
      </c>
      <c r="AA21" s="53">
        <v>78</v>
      </c>
      <c r="AB21" s="53"/>
      <c r="AC21" s="53">
        <v>78</v>
      </c>
      <c r="AD21" s="53">
        <v>82</v>
      </c>
      <c r="AE21" s="53"/>
      <c r="AF21" s="53">
        <v>82</v>
      </c>
      <c r="AG21" s="53">
        <v>86</v>
      </c>
      <c r="AH21" s="53"/>
      <c r="AI21" s="53">
        <v>86</v>
      </c>
      <c r="AJ21" s="53">
        <v>80</v>
      </c>
      <c r="AK21" s="53"/>
      <c r="AL21" s="53">
        <v>80</v>
      </c>
      <c r="AM21" s="33">
        <v>80</v>
      </c>
      <c r="AN21" s="53"/>
      <c r="AO21" s="33">
        <v>80</v>
      </c>
      <c r="AP21" s="53">
        <v>72</v>
      </c>
      <c r="AQ21" s="53"/>
      <c r="AR21" s="53">
        <v>72</v>
      </c>
      <c r="AS21" s="53">
        <v>64</v>
      </c>
      <c r="AT21" s="53"/>
      <c r="AU21" s="53">
        <v>64</v>
      </c>
      <c r="AV21" s="66">
        <f t="shared" si="0"/>
        <v>0</v>
      </c>
      <c r="AW21" s="66"/>
      <c r="AX21" s="66"/>
      <c r="AY21" s="66">
        <f t="shared" si="1"/>
        <v>0</v>
      </c>
      <c r="AZ21" s="66"/>
      <c r="BA21" s="66"/>
      <c r="BB21" s="66">
        <f t="shared" si="2"/>
        <v>0</v>
      </c>
      <c r="BC21" s="66"/>
      <c r="BD21" s="66"/>
      <c r="BE21" s="66">
        <f t="shared" si="3"/>
        <v>0</v>
      </c>
      <c r="BF21" s="66"/>
      <c r="BG21" s="66"/>
      <c r="BH21" s="67">
        <f t="shared" si="4"/>
        <v>2112</v>
      </c>
      <c r="BI21" s="68">
        <f t="shared" si="5"/>
        <v>19</v>
      </c>
    </row>
    <row r="22" spans="2:61" x14ac:dyDescent="0.25">
      <c r="B22" s="63">
        <v>14</v>
      </c>
      <c r="C22" s="64" t="str">
        <f>NOMINATIF!C19</f>
        <v>Rheiva Elfa Rossidah</v>
      </c>
      <c r="D22" s="65">
        <f>NOMINATIF!D19</f>
        <v>4036</v>
      </c>
      <c r="E22" s="65" t="str">
        <f>NOMINATIF!E19</f>
        <v>0072838616</v>
      </c>
      <c r="F22" s="53">
        <v>78</v>
      </c>
      <c r="G22" s="53"/>
      <c r="H22" s="53">
        <v>78</v>
      </c>
      <c r="I22" s="53">
        <v>80</v>
      </c>
      <c r="J22" s="53"/>
      <c r="K22" s="53">
        <v>80</v>
      </c>
      <c r="L22" s="53">
        <v>70</v>
      </c>
      <c r="M22" s="53"/>
      <c r="N22" s="53">
        <v>70</v>
      </c>
      <c r="O22" s="53">
        <v>64</v>
      </c>
      <c r="P22" s="53"/>
      <c r="Q22" s="53">
        <v>64</v>
      </c>
      <c r="R22" s="53">
        <v>60</v>
      </c>
      <c r="S22" s="53"/>
      <c r="T22" s="53">
        <v>60</v>
      </c>
      <c r="U22" s="53">
        <v>78</v>
      </c>
      <c r="V22" s="53"/>
      <c r="W22" s="53">
        <v>78</v>
      </c>
      <c r="X22" s="53">
        <v>93</v>
      </c>
      <c r="Y22" s="53"/>
      <c r="Z22" s="53">
        <v>93</v>
      </c>
      <c r="AA22" s="53">
        <v>80</v>
      </c>
      <c r="AB22" s="53"/>
      <c r="AC22" s="53">
        <v>80</v>
      </c>
      <c r="AD22" s="53">
        <v>86</v>
      </c>
      <c r="AE22" s="53"/>
      <c r="AF22" s="53">
        <v>86</v>
      </c>
      <c r="AG22" s="53">
        <v>85</v>
      </c>
      <c r="AH22" s="53"/>
      <c r="AI22" s="53">
        <v>85</v>
      </c>
      <c r="AJ22" s="53">
        <v>80</v>
      </c>
      <c r="AK22" s="53"/>
      <c r="AL22" s="53">
        <v>80</v>
      </c>
      <c r="AM22" s="33">
        <v>80</v>
      </c>
      <c r="AN22" s="53"/>
      <c r="AO22" s="33">
        <v>80</v>
      </c>
      <c r="AP22" s="53">
        <v>76</v>
      </c>
      <c r="AQ22" s="53"/>
      <c r="AR22" s="53">
        <v>76</v>
      </c>
      <c r="AS22" s="53">
        <v>70</v>
      </c>
      <c r="AT22" s="53"/>
      <c r="AU22" s="53">
        <v>70</v>
      </c>
      <c r="AV22" s="66">
        <f t="shared" si="0"/>
        <v>0</v>
      </c>
      <c r="AW22" s="66"/>
      <c r="AX22" s="66"/>
      <c r="AY22" s="66">
        <f t="shared" si="1"/>
        <v>0</v>
      </c>
      <c r="AZ22" s="66"/>
      <c r="BA22" s="66"/>
      <c r="BB22" s="66">
        <f t="shared" si="2"/>
        <v>0</v>
      </c>
      <c r="BC22" s="66"/>
      <c r="BD22" s="66"/>
      <c r="BE22" s="66">
        <f t="shared" si="3"/>
        <v>0</v>
      </c>
      <c r="BF22" s="66"/>
      <c r="BG22" s="66"/>
      <c r="BH22" s="67">
        <f t="shared" si="4"/>
        <v>2160</v>
      </c>
      <c r="BI22" s="68">
        <f t="shared" si="5"/>
        <v>9</v>
      </c>
    </row>
    <row r="23" spans="2:61" x14ac:dyDescent="0.25">
      <c r="B23" s="63">
        <v>15</v>
      </c>
      <c r="C23" s="64" t="str">
        <f>NOMINATIF!C20</f>
        <v>Selvia Indah Fitriani</v>
      </c>
      <c r="D23" s="65">
        <f>NOMINATIF!D20</f>
        <v>4037</v>
      </c>
      <c r="E23" s="65" t="str">
        <f>NOMINATIF!E20</f>
        <v>0052393386</v>
      </c>
      <c r="F23" s="53">
        <v>80</v>
      </c>
      <c r="G23" s="53"/>
      <c r="H23" s="53">
        <v>80</v>
      </c>
      <c r="I23" s="53">
        <v>72</v>
      </c>
      <c r="J23" s="53"/>
      <c r="K23" s="53">
        <v>72</v>
      </c>
      <c r="L23" s="53">
        <v>63</v>
      </c>
      <c r="M23" s="53"/>
      <c r="N23" s="53">
        <v>63</v>
      </c>
      <c r="O23" s="53">
        <v>63</v>
      </c>
      <c r="P23" s="53"/>
      <c r="Q23" s="53">
        <v>63</v>
      </c>
      <c r="R23" s="53">
        <v>56</v>
      </c>
      <c r="S23" s="53"/>
      <c r="T23" s="53">
        <v>56</v>
      </c>
      <c r="U23" s="53">
        <v>78</v>
      </c>
      <c r="V23" s="53"/>
      <c r="W23" s="53">
        <v>78</v>
      </c>
      <c r="X23" s="53">
        <v>91</v>
      </c>
      <c r="Y23" s="53"/>
      <c r="Z23" s="53">
        <v>91</v>
      </c>
      <c r="AA23" s="53">
        <v>82</v>
      </c>
      <c r="AB23" s="53"/>
      <c r="AC23" s="53">
        <v>82</v>
      </c>
      <c r="AD23" s="53">
        <v>82</v>
      </c>
      <c r="AE23" s="53"/>
      <c r="AF23" s="53">
        <v>82</v>
      </c>
      <c r="AG23" s="53">
        <v>84</v>
      </c>
      <c r="AH23" s="53"/>
      <c r="AI23" s="53">
        <v>84</v>
      </c>
      <c r="AJ23" s="53">
        <v>82</v>
      </c>
      <c r="AK23" s="53"/>
      <c r="AL23" s="53">
        <v>82</v>
      </c>
      <c r="AM23" s="33">
        <v>82</v>
      </c>
      <c r="AN23" s="53"/>
      <c r="AO23" s="33">
        <v>82</v>
      </c>
      <c r="AP23" s="53">
        <v>72</v>
      </c>
      <c r="AQ23" s="53"/>
      <c r="AR23" s="53">
        <v>72</v>
      </c>
      <c r="AS23" s="53">
        <v>70</v>
      </c>
      <c r="AT23" s="53"/>
      <c r="AU23" s="53">
        <v>70</v>
      </c>
      <c r="AV23" s="66">
        <f t="shared" si="0"/>
        <v>0</v>
      </c>
      <c r="AW23" s="66"/>
      <c r="AX23" s="66"/>
      <c r="AY23" s="66">
        <f t="shared" si="1"/>
        <v>0</v>
      </c>
      <c r="AZ23" s="66"/>
      <c r="BA23" s="66"/>
      <c r="BB23" s="66">
        <f t="shared" si="2"/>
        <v>0</v>
      </c>
      <c r="BC23" s="66"/>
      <c r="BD23" s="66"/>
      <c r="BE23" s="66">
        <f t="shared" si="3"/>
        <v>0</v>
      </c>
      <c r="BF23" s="66"/>
      <c r="BG23" s="66"/>
      <c r="BH23" s="67">
        <f t="shared" si="4"/>
        <v>2114</v>
      </c>
      <c r="BI23" s="68">
        <f t="shared" si="5"/>
        <v>18</v>
      </c>
    </row>
    <row r="24" spans="2:61" x14ac:dyDescent="0.25">
      <c r="B24" s="63">
        <v>16</v>
      </c>
      <c r="C24" s="64" t="str">
        <f>NOMINATIF!C21</f>
        <v>TIA APRILIA</v>
      </c>
      <c r="D24" s="65">
        <f>NOMINATIF!D21</f>
        <v>4038</v>
      </c>
      <c r="E24" s="65" t="str">
        <f>NOMINATIF!E21</f>
        <v>0066060316</v>
      </c>
      <c r="F24" s="53">
        <v>79</v>
      </c>
      <c r="G24" s="53"/>
      <c r="H24" s="53">
        <v>79</v>
      </c>
      <c r="I24" s="53">
        <v>78</v>
      </c>
      <c r="J24" s="53"/>
      <c r="K24" s="53">
        <v>78</v>
      </c>
      <c r="L24" s="53">
        <v>68</v>
      </c>
      <c r="M24" s="53"/>
      <c r="N24" s="53">
        <v>68</v>
      </c>
      <c r="O24" s="53">
        <v>69</v>
      </c>
      <c r="P24" s="53"/>
      <c r="Q24" s="53">
        <v>69</v>
      </c>
      <c r="R24" s="53">
        <v>50</v>
      </c>
      <c r="S24" s="53"/>
      <c r="T24" s="53">
        <v>50</v>
      </c>
      <c r="U24" s="53">
        <v>79</v>
      </c>
      <c r="V24" s="53"/>
      <c r="W24" s="53">
        <v>79</v>
      </c>
      <c r="X24" s="53">
        <v>84</v>
      </c>
      <c r="Y24" s="53"/>
      <c r="Z24" s="53">
        <v>84</v>
      </c>
      <c r="AA24" s="53">
        <v>86</v>
      </c>
      <c r="AB24" s="53"/>
      <c r="AC24" s="53">
        <v>86</v>
      </c>
      <c r="AD24" s="53">
        <v>88</v>
      </c>
      <c r="AE24" s="53"/>
      <c r="AF24" s="53">
        <v>88</v>
      </c>
      <c r="AG24" s="53">
        <v>83</v>
      </c>
      <c r="AH24" s="53"/>
      <c r="AI24" s="53">
        <v>83</v>
      </c>
      <c r="AJ24" s="53">
        <v>80</v>
      </c>
      <c r="AK24" s="53"/>
      <c r="AL24" s="53">
        <v>80</v>
      </c>
      <c r="AM24" s="33">
        <v>80</v>
      </c>
      <c r="AN24" s="53"/>
      <c r="AO24" s="33">
        <v>80</v>
      </c>
      <c r="AP24" s="53">
        <v>78</v>
      </c>
      <c r="AQ24" s="53"/>
      <c r="AR24" s="53">
        <v>78</v>
      </c>
      <c r="AS24" s="53">
        <v>72</v>
      </c>
      <c r="AT24" s="53"/>
      <c r="AU24" s="53">
        <v>72</v>
      </c>
      <c r="AV24" s="66">
        <f t="shared" si="0"/>
        <v>0</v>
      </c>
      <c r="AW24" s="66"/>
      <c r="AX24" s="66"/>
      <c r="AY24" s="66">
        <f t="shared" si="1"/>
        <v>0</v>
      </c>
      <c r="AZ24" s="66"/>
      <c r="BA24" s="66"/>
      <c r="BB24" s="66">
        <f t="shared" si="2"/>
        <v>0</v>
      </c>
      <c r="BC24" s="66"/>
      <c r="BD24" s="66"/>
      <c r="BE24" s="66">
        <f t="shared" si="3"/>
        <v>0</v>
      </c>
      <c r="BF24" s="66"/>
      <c r="BG24" s="66"/>
      <c r="BH24" s="67">
        <f t="shared" si="4"/>
        <v>2148</v>
      </c>
      <c r="BI24" s="68">
        <f t="shared" si="5"/>
        <v>12</v>
      </c>
    </row>
    <row r="25" spans="2:61" x14ac:dyDescent="0.25">
      <c r="B25" s="63">
        <v>17</v>
      </c>
      <c r="C25" s="64" t="str">
        <f>NOMINATIF!C22</f>
        <v>Tri Yulianti</v>
      </c>
      <c r="D25" s="65">
        <f>NOMINATIF!D22</f>
        <v>4060</v>
      </c>
      <c r="E25" s="65" t="str">
        <f>NOMINATIF!E22</f>
        <v>0068674216</v>
      </c>
      <c r="F25" s="53">
        <v>78</v>
      </c>
      <c r="G25" s="53"/>
      <c r="H25" s="53">
        <v>78</v>
      </c>
      <c r="I25" s="53">
        <v>84</v>
      </c>
      <c r="J25" s="53"/>
      <c r="K25" s="53">
        <v>84</v>
      </c>
      <c r="L25" s="53">
        <v>68</v>
      </c>
      <c r="M25" s="53"/>
      <c r="N25" s="53">
        <v>68</v>
      </c>
      <c r="O25" s="53">
        <v>64</v>
      </c>
      <c r="P25" s="53"/>
      <c r="Q25" s="53">
        <v>64</v>
      </c>
      <c r="R25" s="53">
        <v>62</v>
      </c>
      <c r="S25" s="53"/>
      <c r="T25" s="53">
        <v>62</v>
      </c>
      <c r="U25" s="53">
        <v>78</v>
      </c>
      <c r="V25" s="53"/>
      <c r="W25" s="53">
        <v>78</v>
      </c>
      <c r="X25" s="53">
        <v>98</v>
      </c>
      <c r="Y25" s="53"/>
      <c r="Z25" s="53">
        <v>98</v>
      </c>
      <c r="AA25" s="53">
        <v>78</v>
      </c>
      <c r="AB25" s="53"/>
      <c r="AC25" s="53">
        <v>78</v>
      </c>
      <c r="AD25" s="53">
        <v>80</v>
      </c>
      <c r="AE25" s="53"/>
      <c r="AF25" s="53">
        <v>80</v>
      </c>
      <c r="AG25" s="53">
        <v>84</v>
      </c>
      <c r="AH25" s="53"/>
      <c r="AI25" s="53">
        <v>84</v>
      </c>
      <c r="AJ25" s="53">
        <v>74</v>
      </c>
      <c r="AK25" s="53"/>
      <c r="AL25" s="53">
        <v>74</v>
      </c>
      <c r="AM25" s="33">
        <v>74</v>
      </c>
      <c r="AN25" s="53"/>
      <c r="AO25" s="33">
        <v>74</v>
      </c>
      <c r="AP25" s="53">
        <v>70</v>
      </c>
      <c r="AQ25" s="53"/>
      <c r="AR25" s="53">
        <v>70</v>
      </c>
      <c r="AS25" s="53">
        <v>72</v>
      </c>
      <c r="AT25" s="53"/>
      <c r="AU25" s="53">
        <v>72</v>
      </c>
      <c r="AV25" s="66">
        <f t="shared" si="0"/>
        <v>0</v>
      </c>
      <c r="AW25" s="66"/>
      <c r="AX25" s="66"/>
      <c r="AY25" s="66">
        <f t="shared" si="1"/>
        <v>0</v>
      </c>
      <c r="AZ25" s="66"/>
      <c r="BA25" s="66"/>
      <c r="BB25" s="66">
        <f t="shared" si="2"/>
        <v>0</v>
      </c>
      <c r="BC25" s="66"/>
      <c r="BD25" s="66"/>
      <c r="BE25" s="66">
        <f t="shared" si="3"/>
        <v>0</v>
      </c>
      <c r="BF25" s="66"/>
      <c r="BG25" s="66"/>
      <c r="BH25" s="67">
        <f t="shared" si="4"/>
        <v>2128</v>
      </c>
      <c r="BI25" s="68">
        <f t="shared" si="5"/>
        <v>16</v>
      </c>
    </row>
    <row r="26" spans="2:61" x14ac:dyDescent="0.25">
      <c r="B26" s="63">
        <v>18</v>
      </c>
      <c r="C26" s="64" t="str">
        <f>NOMINATIF!C23</f>
        <v>Triya Wulandari</v>
      </c>
      <c r="D26" s="65">
        <f>NOMINATIF!D23</f>
        <v>4039</v>
      </c>
      <c r="E26" s="65" t="str">
        <f>NOMINATIF!E23</f>
        <v>0051300903</v>
      </c>
      <c r="F26" s="53">
        <v>78</v>
      </c>
      <c r="G26" s="53"/>
      <c r="H26" s="53">
        <v>78</v>
      </c>
      <c r="I26" s="53">
        <v>80</v>
      </c>
      <c r="J26" s="53"/>
      <c r="K26" s="53">
        <v>80</v>
      </c>
      <c r="L26" s="53">
        <v>72</v>
      </c>
      <c r="M26" s="53"/>
      <c r="N26" s="53">
        <v>72</v>
      </c>
      <c r="O26" s="53">
        <v>71</v>
      </c>
      <c r="P26" s="53"/>
      <c r="Q26" s="53">
        <v>71</v>
      </c>
      <c r="R26" s="53">
        <v>50</v>
      </c>
      <c r="S26" s="53"/>
      <c r="T26" s="53">
        <v>50</v>
      </c>
      <c r="U26" s="53">
        <v>78</v>
      </c>
      <c r="V26" s="53"/>
      <c r="W26" s="53">
        <v>78</v>
      </c>
      <c r="X26" s="53">
        <v>93</v>
      </c>
      <c r="Y26" s="53"/>
      <c r="Z26" s="53">
        <v>93</v>
      </c>
      <c r="AA26" s="53">
        <v>88</v>
      </c>
      <c r="AB26" s="53"/>
      <c r="AC26" s="53">
        <v>88</v>
      </c>
      <c r="AD26" s="53">
        <v>82</v>
      </c>
      <c r="AE26" s="53"/>
      <c r="AF26" s="53">
        <v>82</v>
      </c>
      <c r="AG26" s="53">
        <v>85</v>
      </c>
      <c r="AH26" s="53"/>
      <c r="AI26" s="53">
        <v>85</v>
      </c>
      <c r="AJ26" s="53">
        <v>82</v>
      </c>
      <c r="AK26" s="53"/>
      <c r="AL26" s="53">
        <v>82</v>
      </c>
      <c r="AM26" s="33">
        <v>82</v>
      </c>
      <c r="AN26" s="53"/>
      <c r="AO26" s="33">
        <v>82</v>
      </c>
      <c r="AP26" s="53">
        <v>72</v>
      </c>
      <c r="AQ26" s="53"/>
      <c r="AR26" s="53">
        <v>72</v>
      </c>
      <c r="AS26" s="53">
        <v>72</v>
      </c>
      <c r="AT26" s="53"/>
      <c r="AU26" s="53">
        <v>72</v>
      </c>
      <c r="AV26" s="66">
        <f t="shared" si="0"/>
        <v>0</v>
      </c>
      <c r="AW26" s="66"/>
      <c r="AX26" s="66"/>
      <c r="AY26" s="66">
        <f t="shared" si="1"/>
        <v>0</v>
      </c>
      <c r="AZ26" s="66"/>
      <c r="BA26" s="66"/>
      <c r="BB26" s="66">
        <f t="shared" si="2"/>
        <v>0</v>
      </c>
      <c r="BC26" s="66"/>
      <c r="BD26" s="66"/>
      <c r="BE26" s="66">
        <f t="shared" si="3"/>
        <v>0</v>
      </c>
      <c r="BF26" s="66"/>
      <c r="BG26" s="66"/>
      <c r="BH26" s="67">
        <f t="shared" si="4"/>
        <v>2170</v>
      </c>
      <c r="BI26" s="68">
        <f t="shared" si="5"/>
        <v>3</v>
      </c>
    </row>
    <row r="27" spans="2:61" x14ac:dyDescent="0.25">
      <c r="B27" s="63">
        <v>19</v>
      </c>
      <c r="C27" s="64" t="str">
        <f>NOMINATIF!C24</f>
        <v>VANESZA PUTRI PATRECIA</v>
      </c>
      <c r="D27" s="65">
        <f>NOMINATIF!D24</f>
        <v>4040</v>
      </c>
      <c r="E27" s="65" t="str">
        <f>NOMINATIF!E24</f>
        <v>0064416027</v>
      </c>
      <c r="F27" s="53">
        <v>79</v>
      </c>
      <c r="G27" s="53"/>
      <c r="H27" s="53">
        <v>79</v>
      </c>
      <c r="I27" s="53">
        <v>82</v>
      </c>
      <c r="J27" s="53"/>
      <c r="K27" s="53">
        <v>82</v>
      </c>
      <c r="L27" s="53">
        <v>74</v>
      </c>
      <c r="M27" s="53"/>
      <c r="N27" s="53">
        <v>74</v>
      </c>
      <c r="O27" s="53">
        <v>70</v>
      </c>
      <c r="P27" s="53"/>
      <c r="Q27" s="53">
        <v>70</v>
      </c>
      <c r="R27" s="53">
        <v>50</v>
      </c>
      <c r="S27" s="53"/>
      <c r="T27" s="53">
        <v>50</v>
      </c>
      <c r="U27" s="53">
        <v>79</v>
      </c>
      <c r="V27" s="53"/>
      <c r="W27" s="53">
        <v>79</v>
      </c>
      <c r="X27" s="53">
        <v>96</v>
      </c>
      <c r="Y27" s="53"/>
      <c r="Z27" s="53">
        <v>96</v>
      </c>
      <c r="AA27" s="53">
        <v>84</v>
      </c>
      <c r="AB27" s="53"/>
      <c r="AC27" s="53">
        <v>84</v>
      </c>
      <c r="AD27" s="53">
        <v>82</v>
      </c>
      <c r="AE27" s="53"/>
      <c r="AF27" s="53">
        <v>82</v>
      </c>
      <c r="AG27" s="53">
        <v>83</v>
      </c>
      <c r="AH27" s="53"/>
      <c r="AI27" s="53">
        <v>83</v>
      </c>
      <c r="AJ27" s="53">
        <v>82</v>
      </c>
      <c r="AK27" s="53"/>
      <c r="AL27" s="53">
        <v>82</v>
      </c>
      <c r="AM27" s="33">
        <v>82</v>
      </c>
      <c r="AN27" s="53"/>
      <c r="AO27" s="33">
        <v>82</v>
      </c>
      <c r="AP27" s="53">
        <v>72</v>
      </c>
      <c r="AQ27" s="53"/>
      <c r="AR27" s="53">
        <v>72</v>
      </c>
      <c r="AS27" s="53">
        <v>68</v>
      </c>
      <c r="AT27" s="53"/>
      <c r="AU27" s="53">
        <v>68</v>
      </c>
      <c r="AV27" s="66">
        <f t="shared" si="0"/>
        <v>0</v>
      </c>
      <c r="AW27" s="66"/>
      <c r="AX27" s="66"/>
      <c r="AY27" s="66">
        <f t="shared" si="1"/>
        <v>0</v>
      </c>
      <c r="AZ27" s="66"/>
      <c r="BA27" s="66"/>
      <c r="BB27" s="66">
        <f t="shared" si="2"/>
        <v>0</v>
      </c>
      <c r="BC27" s="66"/>
      <c r="BD27" s="66"/>
      <c r="BE27" s="66">
        <f t="shared" si="3"/>
        <v>0</v>
      </c>
      <c r="BF27" s="66"/>
      <c r="BG27" s="66"/>
      <c r="BH27" s="67">
        <f t="shared" si="4"/>
        <v>2166</v>
      </c>
      <c r="BI27" s="68">
        <f t="shared" si="5"/>
        <v>5</v>
      </c>
    </row>
    <row r="28" spans="2:61" x14ac:dyDescent="0.25">
      <c r="B28" s="63">
        <v>20</v>
      </c>
      <c r="C28" s="64" t="str">
        <f>NOMINATIF!C25</f>
        <v>Yanuar Diah Lestari</v>
      </c>
      <c r="D28" s="65">
        <f>NOMINATIF!D25</f>
        <v>4061</v>
      </c>
      <c r="E28" s="65" t="str">
        <f>NOMINATIF!E25</f>
        <v>0052554227</v>
      </c>
      <c r="F28" s="53">
        <v>80</v>
      </c>
      <c r="G28" s="53"/>
      <c r="H28" s="53">
        <v>80</v>
      </c>
      <c r="I28" s="53">
        <v>76</v>
      </c>
      <c r="J28" s="53"/>
      <c r="K28" s="53">
        <v>76</v>
      </c>
      <c r="L28" s="53">
        <v>69</v>
      </c>
      <c r="M28" s="53"/>
      <c r="N28" s="53">
        <v>69</v>
      </c>
      <c r="O28" s="53">
        <v>69</v>
      </c>
      <c r="P28" s="53"/>
      <c r="Q28" s="53">
        <v>69</v>
      </c>
      <c r="R28" s="53">
        <v>56</v>
      </c>
      <c r="S28" s="53"/>
      <c r="T28" s="53">
        <v>56</v>
      </c>
      <c r="U28" s="53">
        <v>78</v>
      </c>
      <c r="V28" s="53"/>
      <c r="W28" s="53">
        <v>78</v>
      </c>
      <c r="X28" s="53">
        <v>88</v>
      </c>
      <c r="Y28" s="53"/>
      <c r="Z28" s="53">
        <v>88</v>
      </c>
      <c r="AA28" s="53">
        <v>76</v>
      </c>
      <c r="AB28" s="53"/>
      <c r="AC28" s="53">
        <v>76</v>
      </c>
      <c r="AD28" s="53">
        <v>84</v>
      </c>
      <c r="AE28" s="53"/>
      <c r="AF28" s="53">
        <v>84</v>
      </c>
      <c r="AG28" s="53">
        <v>85</v>
      </c>
      <c r="AH28" s="53"/>
      <c r="AI28" s="53">
        <v>85</v>
      </c>
      <c r="AJ28" s="53">
        <v>82</v>
      </c>
      <c r="AK28" s="53"/>
      <c r="AL28" s="53">
        <v>82</v>
      </c>
      <c r="AM28" s="33">
        <v>82</v>
      </c>
      <c r="AN28" s="53"/>
      <c r="AO28" s="33">
        <v>82</v>
      </c>
      <c r="AP28" s="53">
        <v>74</v>
      </c>
      <c r="AQ28" s="53"/>
      <c r="AR28" s="53">
        <v>74</v>
      </c>
      <c r="AS28" s="53">
        <v>68</v>
      </c>
      <c r="AT28" s="53"/>
      <c r="AU28" s="53">
        <v>68</v>
      </c>
      <c r="AV28" s="66">
        <f t="shared" si="0"/>
        <v>0</v>
      </c>
      <c r="AW28" s="66"/>
      <c r="AX28" s="66"/>
      <c r="AY28" s="66">
        <f t="shared" si="1"/>
        <v>0</v>
      </c>
      <c r="AZ28" s="66"/>
      <c r="BA28" s="66"/>
      <c r="BB28" s="66">
        <f t="shared" si="2"/>
        <v>0</v>
      </c>
      <c r="BC28" s="66"/>
      <c r="BD28" s="66"/>
      <c r="BE28" s="66">
        <f t="shared" si="3"/>
        <v>0</v>
      </c>
      <c r="BF28" s="66"/>
      <c r="BG28" s="66"/>
      <c r="BH28" s="67">
        <f t="shared" si="4"/>
        <v>2134</v>
      </c>
      <c r="BI28" s="68">
        <f t="shared" si="5"/>
        <v>15</v>
      </c>
    </row>
    <row r="29" spans="2:61" x14ac:dyDescent="0.25">
      <c r="B29" s="63">
        <v>21</v>
      </c>
      <c r="C29" s="64">
        <f>NOMINATIF!C26</f>
        <v>0</v>
      </c>
      <c r="D29" s="65">
        <f>NOMINATIF!D26</f>
        <v>0</v>
      </c>
      <c r="E29" s="65">
        <f>NOMINATIF!E26</f>
        <v>0</v>
      </c>
      <c r="F29" s="53">
        <f t="shared" ref="F29" si="6">IFERROR(VLOOKUP(C29,$BM$8:$BN$101,2,0),0)</f>
        <v>0</v>
      </c>
      <c r="G29" s="53"/>
      <c r="H29" s="53"/>
      <c r="I29" s="53">
        <f t="shared" ref="I29:I43" si="7">IFERROR(VLOOKUP(C29,$BO$8:$BP$101,2,0),0)</f>
        <v>0</v>
      </c>
      <c r="J29" s="53"/>
      <c r="K29" s="53"/>
      <c r="L29" s="53">
        <f t="shared" ref="L29:L43" si="8">IFERROR(VLOOKUP(C29,$BQ$8:$BR$101,2,0),0)</f>
        <v>0</v>
      </c>
      <c r="M29" s="53"/>
      <c r="N29" s="53"/>
      <c r="O29" s="53">
        <f t="shared" ref="O29:O43" si="9">IFERROR(VLOOKUP(C29,$BS$8:$BT$39,2,0),0)</f>
        <v>0</v>
      </c>
      <c r="P29" s="53"/>
      <c r="Q29" s="53"/>
      <c r="R29" s="53">
        <f t="shared" ref="R29:R43" si="10">IFERROR(VLOOKUP(C29,$BU$8:$BV$101,2,0),0)</f>
        <v>0</v>
      </c>
      <c r="S29" s="53"/>
      <c r="T29" s="53"/>
      <c r="U29" s="53">
        <f t="shared" ref="U29:U43" si="11">IFERROR(VLOOKUP(C29,$BW$8:$BX$101,2,0),0)</f>
        <v>0</v>
      </c>
      <c r="V29" s="53"/>
      <c r="W29" s="53"/>
      <c r="X29" s="53">
        <f t="shared" ref="X29:X43" si="12">IFERROR(VLOOKUP(C29,$BY$8:$BZ$101,2,0),0)</f>
        <v>0</v>
      </c>
      <c r="Y29" s="53"/>
      <c r="Z29" s="53"/>
      <c r="AA29" s="53">
        <f t="shared" ref="AA29:AA43" si="13">IFERROR(VLOOKUP(C29,$CA$8:$CB$39,2,0),0)</f>
        <v>0</v>
      </c>
      <c r="AB29" s="53"/>
      <c r="AC29" s="53"/>
      <c r="AD29" s="53">
        <f t="shared" ref="AD29:AD43" si="14">IFERROR(VLOOKUP(C29,$CC$8:$CD$101,2,0),0)</f>
        <v>0</v>
      </c>
      <c r="AE29" s="53"/>
      <c r="AF29" s="53"/>
      <c r="AG29" s="53">
        <v>0</v>
      </c>
      <c r="AH29" s="53"/>
      <c r="AI29" s="53"/>
      <c r="AJ29" s="53">
        <f t="shared" ref="AJ29:AJ43" si="15">IFERROR(VLOOKUP(C29,$CG$8:$CH$101,2,0),0)</f>
        <v>0</v>
      </c>
      <c r="AK29" s="53"/>
      <c r="AL29" s="53"/>
      <c r="AM29" s="53">
        <f t="shared" ref="AM29" si="16">IFERROR(VLOOKUP(C29,$CI$8:$CJ$39,2,0),0)</f>
        <v>0</v>
      </c>
      <c r="AN29" s="53"/>
      <c r="AO29" s="53"/>
      <c r="AP29" s="53">
        <f t="shared" ref="AP29" si="17">IFERROR(VLOOKUP(C29,$CK$8:$CL$101,2,0),0)</f>
        <v>0</v>
      </c>
      <c r="AQ29" s="53"/>
      <c r="AR29" s="53"/>
      <c r="AS29" s="53">
        <f t="shared" ref="AS29:AS43" si="18">IFERROR(VLOOKUP(C29,$CM$8:$CN$101,2,0),0)</f>
        <v>0</v>
      </c>
      <c r="AT29" s="53"/>
      <c r="AU29" s="53"/>
      <c r="AV29" s="66">
        <f t="shared" si="0"/>
        <v>0</v>
      </c>
      <c r="AW29" s="66"/>
      <c r="AX29" s="66"/>
      <c r="AY29" s="66">
        <f t="shared" si="1"/>
        <v>0</v>
      </c>
      <c r="AZ29" s="66"/>
      <c r="BA29" s="66"/>
      <c r="BB29" s="66">
        <f t="shared" si="2"/>
        <v>0</v>
      </c>
      <c r="BC29" s="66"/>
      <c r="BD29" s="66"/>
      <c r="BE29" s="66">
        <f t="shared" si="3"/>
        <v>0</v>
      </c>
      <c r="BF29" s="66"/>
      <c r="BG29" s="66"/>
      <c r="BH29" s="67">
        <f t="shared" si="4"/>
        <v>0</v>
      </c>
      <c r="BI29" s="68">
        <f t="shared" si="5"/>
        <v>21</v>
      </c>
    </row>
    <row r="30" spans="2:61" x14ac:dyDescent="0.25">
      <c r="B30" s="63">
        <v>22</v>
      </c>
      <c r="C30" s="64">
        <f>NOMINATIF!C27</f>
        <v>0</v>
      </c>
      <c r="D30" s="65">
        <f>NOMINATIF!D27</f>
        <v>0</v>
      </c>
      <c r="E30" s="65">
        <f>NOMINATIF!E27</f>
        <v>0</v>
      </c>
      <c r="F30" s="53">
        <f t="shared" ref="F30:F43" si="19">IFERROR(VLOOKUP(C30,$BM$8:$BN$101,2,0),0)</f>
        <v>0</v>
      </c>
      <c r="G30" s="53"/>
      <c r="H30" s="53"/>
      <c r="I30" s="53">
        <f t="shared" si="7"/>
        <v>0</v>
      </c>
      <c r="J30" s="53"/>
      <c r="K30" s="53"/>
      <c r="L30" s="53">
        <f t="shared" si="8"/>
        <v>0</v>
      </c>
      <c r="M30" s="53"/>
      <c r="N30" s="53"/>
      <c r="O30" s="53">
        <f t="shared" si="9"/>
        <v>0</v>
      </c>
      <c r="P30" s="53"/>
      <c r="Q30" s="53"/>
      <c r="R30" s="53">
        <f t="shared" si="10"/>
        <v>0</v>
      </c>
      <c r="S30" s="53"/>
      <c r="T30" s="53"/>
      <c r="U30" s="53">
        <f t="shared" si="11"/>
        <v>0</v>
      </c>
      <c r="V30" s="53"/>
      <c r="W30" s="53"/>
      <c r="X30" s="53">
        <f t="shared" si="12"/>
        <v>0</v>
      </c>
      <c r="Y30" s="53"/>
      <c r="Z30" s="53"/>
      <c r="AA30" s="53">
        <f t="shared" si="13"/>
        <v>0</v>
      </c>
      <c r="AB30" s="53"/>
      <c r="AC30" s="53"/>
      <c r="AD30" s="53">
        <f t="shared" si="14"/>
        <v>0</v>
      </c>
      <c r="AE30" s="53"/>
      <c r="AF30" s="53"/>
      <c r="AG30" s="53">
        <f t="shared" ref="AG30:AG43" si="20">IFERROR(VLOOKUP(C30,$CE$8:$CF$101,2,0),0)</f>
        <v>0</v>
      </c>
      <c r="AH30" s="53"/>
      <c r="AI30" s="53"/>
      <c r="AJ30" s="53">
        <f t="shared" si="15"/>
        <v>0</v>
      </c>
      <c r="AK30" s="53"/>
      <c r="AL30" s="53"/>
      <c r="AM30" s="53">
        <f t="shared" ref="AM30:AM43" si="21">IFERROR(VLOOKUP(C30,$CI$8:$CJ$39,2,0),0)</f>
        <v>0</v>
      </c>
      <c r="AN30" s="53"/>
      <c r="AO30" s="53"/>
      <c r="AP30" s="53">
        <f t="shared" ref="AP30:AP43" si="22">IFERROR(VLOOKUP(C30,$CK$8:$CL$101,2,0),0)</f>
        <v>0</v>
      </c>
      <c r="AQ30" s="53"/>
      <c r="AR30" s="53"/>
      <c r="AS30" s="53">
        <f t="shared" si="18"/>
        <v>0</v>
      </c>
      <c r="AT30" s="53"/>
      <c r="AU30" s="53"/>
      <c r="AV30" s="66">
        <f t="shared" si="0"/>
        <v>0</v>
      </c>
      <c r="AW30" s="66"/>
      <c r="AX30" s="66"/>
      <c r="AY30" s="66">
        <f t="shared" si="1"/>
        <v>0</v>
      </c>
      <c r="AZ30" s="66"/>
      <c r="BA30" s="66"/>
      <c r="BB30" s="66">
        <f t="shared" si="2"/>
        <v>0</v>
      </c>
      <c r="BC30" s="66"/>
      <c r="BD30" s="66"/>
      <c r="BE30" s="66">
        <f t="shared" si="3"/>
        <v>0</v>
      </c>
      <c r="BF30" s="66"/>
      <c r="BG30" s="66"/>
      <c r="BH30" s="67">
        <f t="shared" si="4"/>
        <v>0</v>
      </c>
      <c r="BI30" s="68">
        <f t="shared" si="5"/>
        <v>21</v>
      </c>
    </row>
    <row r="31" spans="2:61" x14ac:dyDescent="0.25">
      <c r="B31" s="63">
        <v>23</v>
      </c>
      <c r="C31" s="64">
        <f>NOMINATIF!C28</f>
        <v>0</v>
      </c>
      <c r="D31" s="65">
        <f>NOMINATIF!D28</f>
        <v>0</v>
      </c>
      <c r="E31" s="65">
        <f>NOMINATIF!E28</f>
        <v>0</v>
      </c>
      <c r="F31" s="53">
        <f t="shared" si="19"/>
        <v>0</v>
      </c>
      <c r="G31" s="53"/>
      <c r="H31" s="53"/>
      <c r="I31" s="53">
        <f t="shared" si="7"/>
        <v>0</v>
      </c>
      <c r="J31" s="53"/>
      <c r="K31" s="53"/>
      <c r="L31" s="53">
        <f t="shared" si="8"/>
        <v>0</v>
      </c>
      <c r="M31" s="53"/>
      <c r="N31" s="53"/>
      <c r="O31" s="53">
        <f t="shared" si="9"/>
        <v>0</v>
      </c>
      <c r="P31" s="53" t="s">
        <v>230</v>
      </c>
      <c r="Q31" s="53"/>
      <c r="R31" s="53">
        <f t="shared" si="10"/>
        <v>0</v>
      </c>
      <c r="S31" s="53"/>
      <c r="T31" s="53"/>
      <c r="U31" s="53">
        <f t="shared" si="11"/>
        <v>0</v>
      </c>
      <c r="V31" s="53"/>
      <c r="W31" s="53"/>
      <c r="X31" s="53">
        <f t="shared" si="12"/>
        <v>0</v>
      </c>
      <c r="Y31" s="53"/>
      <c r="Z31" s="53"/>
      <c r="AA31" s="53">
        <f t="shared" si="13"/>
        <v>0</v>
      </c>
      <c r="AB31" s="53"/>
      <c r="AC31" s="53"/>
      <c r="AD31" s="53">
        <f t="shared" si="14"/>
        <v>0</v>
      </c>
      <c r="AE31" s="53"/>
      <c r="AF31" s="53"/>
      <c r="AG31" s="53">
        <f t="shared" si="20"/>
        <v>0</v>
      </c>
      <c r="AH31" s="53"/>
      <c r="AI31" s="53"/>
      <c r="AJ31" s="53">
        <f t="shared" si="15"/>
        <v>0</v>
      </c>
      <c r="AK31" s="53"/>
      <c r="AL31" s="53"/>
      <c r="AM31" s="53">
        <f t="shared" si="21"/>
        <v>0</v>
      </c>
      <c r="AN31" s="53"/>
      <c r="AO31" s="53"/>
      <c r="AP31" s="53">
        <f t="shared" si="22"/>
        <v>0</v>
      </c>
      <c r="AQ31" s="53"/>
      <c r="AR31" s="53"/>
      <c r="AS31" s="53">
        <f t="shared" si="18"/>
        <v>0</v>
      </c>
      <c r="AT31" s="53"/>
      <c r="AU31" s="53"/>
      <c r="AV31" s="66">
        <f t="shared" si="0"/>
        <v>0</v>
      </c>
      <c r="AW31" s="66"/>
      <c r="AX31" s="66"/>
      <c r="AY31" s="66">
        <f t="shared" si="1"/>
        <v>0</v>
      </c>
      <c r="AZ31" s="66"/>
      <c r="BA31" s="66"/>
      <c r="BB31" s="66">
        <f t="shared" si="2"/>
        <v>0</v>
      </c>
      <c r="BC31" s="66"/>
      <c r="BD31" s="66"/>
      <c r="BE31" s="66">
        <f t="shared" si="3"/>
        <v>0</v>
      </c>
      <c r="BF31" s="66"/>
      <c r="BG31" s="66"/>
      <c r="BH31" s="67">
        <f t="shared" si="4"/>
        <v>0</v>
      </c>
      <c r="BI31" s="68">
        <f t="shared" si="5"/>
        <v>21</v>
      </c>
    </row>
    <row r="32" spans="2:61" x14ac:dyDescent="0.25">
      <c r="B32" s="63">
        <v>24</v>
      </c>
      <c r="C32" s="64">
        <f>NOMINATIF!C29</f>
        <v>0</v>
      </c>
      <c r="D32" s="65">
        <f>NOMINATIF!D29</f>
        <v>0</v>
      </c>
      <c r="E32" s="65">
        <f>NOMINATIF!E29</f>
        <v>0</v>
      </c>
      <c r="F32" s="53">
        <f t="shared" si="19"/>
        <v>0</v>
      </c>
      <c r="G32" s="53"/>
      <c r="H32" s="53"/>
      <c r="I32" s="53">
        <f t="shared" si="7"/>
        <v>0</v>
      </c>
      <c r="J32" s="53"/>
      <c r="K32" s="53"/>
      <c r="L32" s="53">
        <f t="shared" si="8"/>
        <v>0</v>
      </c>
      <c r="M32" s="53"/>
      <c r="N32" s="53"/>
      <c r="O32" s="53">
        <f t="shared" si="9"/>
        <v>0</v>
      </c>
      <c r="P32" s="53"/>
      <c r="Q32" s="53"/>
      <c r="R32" s="53">
        <f t="shared" si="10"/>
        <v>0</v>
      </c>
      <c r="S32" s="53"/>
      <c r="T32" s="53"/>
      <c r="U32" s="53">
        <f t="shared" si="11"/>
        <v>0</v>
      </c>
      <c r="V32" s="53"/>
      <c r="W32" s="53"/>
      <c r="X32" s="53">
        <f t="shared" si="12"/>
        <v>0</v>
      </c>
      <c r="Y32" s="53"/>
      <c r="Z32" s="53"/>
      <c r="AA32" s="53">
        <f t="shared" si="13"/>
        <v>0</v>
      </c>
      <c r="AB32" s="53"/>
      <c r="AC32" s="53"/>
      <c r="AD32" s="53">
        <f t="shared" si="14"/>
        <v>0</v>
      </c>
      <c r="AE32" s="53"/>
      <c r="AF32" s="53"/>
      <c r="AG32" s="53">
        <f t="shared" si="20"/>
        <v>0</v>
      </c>
      <c r="AH32" s="53"/>
      <c r="AI32" s="53"/>
      <c r="AJ32" s="53">
        <f t="shared" si="15"/>
        <v>0</v>
      </c>
      <c r="AK32" s="53"/>
      <c r="AL32" s="53"/>
      <c r="AM32" s="53">
        <f t="shared" si="21"/>
        <v>0</v>
      </c>
      <c r="AN32" s="53"/>
      <c r="AO32" s="53"/>
      <c r="AP32" s="53">
        <f t="shared" si="22"/>
        <v>0</v>
      </c>
      <c r="AQ32" s="53"/>
      <c r="AR32" s="53"/>
      <c r="AS32" s="53">
        <f t="shared" si="18"/>
        <v>0</v>
      </c>
      <c r="AT32" s="53"/>
      <c r="AU32" s="53"/>
      <c r="AV32" s="66">
        <f t="shared" si="0"/>
        <v>0</v>
      </c>
      <c r="AW32" s="66"/>
      <c r="AX32" s="66"/>
      <c r="AY32" s="66">
        <f t="shared" si="1"/>
        <v>0</v>
      </c>
      <c r="AZ32" s="66"/>
      <c r="BA32" s="66"/>
      <c r="BB32" s="66">
        <f t="shared" si="2"/>
        <v>0</v>
      </c>
      <c r="BC32" s="66"/>
      <c r="BD32" s="66"/>
      <c r="BE32" s="66">
        <f t="shared" si="3"/>
        <v>0</v>
      </c>
      <c r="BF32" s="66"/>
      <c r="BG32" s="66"/>
      <c r="BH32" s="67">
        <f t="shared" si="4"/>
        <v>0</v>
      </c>
      <c r="BI32" s="68">
        <f t="shared" si="5"/>
        <v>21</v>
      </c>
    </row>
    <row r="33" spans="2:61" x14ac:dyDescent="0.25">
      <c r="B33" s="63">
        <v>25</v>
      </c>
      <c r="C33" s="64">
        <f>NOMINATIF!C30</f>
        <v>0</v>
      </c>
      <c r="D33" s="65">
        <f>NOMINATIF!D30</f>
        <v>0</v>
      </c>
      <c r="E33" s="65">
        <f>NOMINATIF!E30</f>
        <v>0</v>
      </c>
      <c r="F33" s="53">
        <f t="shared" si="19"/>
        <v>0</v>
      </c>
      <c r="G33" s="53"/>
      <c r="H33" s="53"/>
      <c r="I33" s="53">
        <f t="shared" si="7"/>
        <v>0</v>
      </c>
      <c r="J33" s="53"/>
      <c r="K33" s="53"/>
      <c r="L33" s="53">
        <f t="shared" si="8"/>
        <v>0</v>
      </c>
      <c r="M33" s="53"/>
      <c r="N33" s="53"/>
      <c r="O33" s="53">
        <f t="shared" si="9"/>
        <v>0</v>
      </c>
      <c r="P33" s="53"/>
      <c r="Q33" s="53"/>
      <c r="R33" s="53">
        <f t="shared" si="10"/>
        <v>0</v>
      </c>
      <c r="S33" s="53"/>
      <c r="T33" s="53"/>
      <c r="U33" s="53">
        <f t="shared" si="11"/>
        <v>0</v>
      </c>
      <c r="V33" s="53"/>
      <c r="W33" s="53"/>
      <c r="X33" s="53">
        <f t="shared" si="12"/>
        <v>0</v>
      </c>
      <c r="Y33" s="53"/>
      <c r="Z33" s="53"/>
      <c r="AA33" s="53">
        <f t="shared" si="13"/>
        <v>0</v>
      </c>
      <c r="AB33" s="53"/>
      <c r="AC33" s="53"/>
      <c r="AD33" s="53">
        <f t="shared" si="14"/>
        <v>0</v>
      </c>
      <c r="AE33" s="53"/>
      <c r="AF33" s="53"/>
      <c r="AG33" s="53">
        <f t="shared" si="20"/>
        <v>0</v>
      </c>
      <c r="AH33" s="53"/>
      <c r="AI33" s="53"/>
      <c r="AJ33" s="53">
        <f t="shared" si="15"/>
        <v>0</v>
      </c>
      <c r="AK33" s="53"/>
      <c r="AL33" s="53"/>
      <c r="AM33" s="53">
        <f t="shared" si="21"/>
        <v>0</v>
      </c>
      <c r="AN33" s="53"/>
      <c r="AO33" s="53"/>
      <c r="AP33" s="53">
        <f t="shared" si="22"/>
        <v>0</v>
      </c>
      <c r="AQ33" s="53"/>
      <c r="AR33" s="53"/>
      <c r="AS33" s="53">
        <f t="shared" si="18"/>
        <v>0</v>
      </c>
      <c r="AT33" s="53"/>
      <c r="AU33" s="53"/>
      <c r="AV33" s="66">
        <f t="shared" si="0"/>
        <v>0</v>
      </c>
      <c r="AW33" s="66"/>
      <c r="AX33" s="66"/>
      <c r="AY33" s="66">
        <f t="shared" si="1"/>
        <v>0</v>
      </c>
      <c r="AZ33" s="66"/>
      <c r="BA33" s="66"/>
      <c r="BB33" s="66">
        <f t="shared" si="2"/>
        <v>0</v>
      </c>
      <c r="BC33" s="66"/>
      <c r="BD33" s="66"/>
      <c r="BE33" s="66">
        <f t="shared" si="3"/>
        <v>0</v>
      </c>
      <c r="BF33" s="66"/>
      <c r="BG33" s="66"/>
      <c r="BH33" s="67">
        <f t="shared" si="4"/>
        <v>0</v>
      </c>
      <c r="BI33" s="68">
        <f t="shared" si="5"/>
        <v>21</v>
      </c>
    </row>
    <row r="34" spans="2:61" x14ac:dyDescent="0.25">
      <c r="B34" s="63">
        <v>26</v>
      </c>
      <c r="C34" s="64">
        <f>NOMINATIF!C31</f>
        <v>0</v>
      </c>
      <c r="D34" s="65">
        <f>NOMINATIF!D31</f>
        <v>0</v>
      </c>
      <c r="E34" s="65">
        <f>NOMINATIF!E31</f>
        <v>0</v>
      </c>
      <c r="F34" s="53">
        <f t="shared" si="19"/>
        <v>0</v>
      </c>
      <c r="G34" s="53"/>
      <c r="H34" s="53"/>
      <c r="I34" s="53">
        <f t="shared" si="7"/>
        <v>0</v>
      </c>
      <c r="J34" s="53"/>
      <c r="K34" s="53"/>
      <c r="L34" s="53">
        <f t="shared" si="8"/>
        <v>0</v>
      </c>
      <c r="M34" s="53"/>
      <c r="N34" s="53"/>
      <c r="O34" s="53">
        <f t="shared" si="9"/>
        <v>0</v>
      </c>
      <c r="P34" s="53"/>
      <c r="Q34" s="53"/>
      <c r="R34" s="53">
        <f t="shared" si="10"/>
        <v>0</v>
      </c>
      <c r="S34" s="53"/>
      <c r="T34" s="53"/>
      <c r="U34" s="53">
        <f t="shared" si="11"/>
        <v>0</v>
      </c>
      <c r="V34" s="53"/>
      <c r="W34" s="53"/>
      <c r="X34" s="53">
        <f t="shared" si="12"/>
        <v>0</v>
      </c>
      <c r="Y34" s="53"/>
      <c r="Z34" s="53"/>
      <c r="AA34" s="53">
        <f t="shared" si="13"/>
        <v>0</v>
      </c>
      <c r="AB34" s="53"/>
      <c r="AC34" s="53"/>
      <c r="AD34" s="53">
        <f t="shared" si="14"/>
        <v>0</v>
      </c>
      <c r="AE34" s="53"/>
      <c r="AF34" s="53"/>
      <c r="AG34" s="53">
        <f t="shared" si="20"/>
        <v>0</v>
      </c>
      <c r="AH34" s="53"/>
      <c r="AI34" s="53"/>
      <c r="AJ34" s="53">
        <f t="shared" si="15"/>
        <v>0</v>
      </c>
      <c r="AK34" s="53"/>
      <c r="AL34" s="53"/>
      <c r="AM34" s="53">
        <f t="shared" si="21"/>
        <v>0</v>
      </c>
      <c r="AN34" s="53"/>
      <c r="AO34" s="53"/>
      <c r="AP34" s="53">
        <f t="shared" si="22"/>
        <v>0</v>
      </c>
      <c r="AQ34" s="53"/>
      <c r="AR34" s="53"/>
      <c r="AS34" s="53">
        <f t="shared" si="18"/>
        <v>0</v>
      </c>
      <c r="AT34" s="53"/>
      <c r="AU34" s="53"/>
      <c r="AV34" s="66">
        <f t="shared" si="0"/>
        <v>0</v>
      </c>
      <c r="AW34" s="66"/>
      <c r="AX34" s="66"/>
      <c r="AY34" s="66">
        <f t="shared" si="1"/>
        <v>0</v>
      </c>
      <c r="AZ34" s="66"/>
      <c r="BA34" s="66"/>
      <c r="BB34" s="66">
        <f t="shared" si="2"/>
        <v>0</v>
      </c>
      <c r="BC34" s="66"/>
      <c r="BD34" s="66"/>
      <c r="BE34" s="66">
        <f t="shared" si="3"/>
        <v>0</v>
      </c>
      <c r="BF34" s="66"/>
      <c r="BG34" s="66"/>
      <c r="BH34" s="67">
        <f t="shared" si="4"/>
        <v>0</v>
      </c>
      <c r="BI34" s="68">
        <f t="shared" si="5"/>
        <v>21</v>
      </c>
    </row>
    <row r="35" spans="2:61" x14ac:dyDescent="0.25">
      <c r="B35" s="63">
        <v>27</v>
      </c>
      <c r="C35" s="64">
        <f>NOMINATIF!C32</f>
        <v>0</v>
      </c>
      <c r="D35" s="65">
        <f>NOMINATIF!D32</f>
        <v>0</v>
      </c>
      <c r="E35" s="65">
        <f>NOMINATIF!E32</f>
        <v>0</v>
      </c>
      <c r="F35" s="53">
        <f t="shared" si="19"/>
        <v>0</v>
      </c>
      <c r="G35" s="53"/>
      <c r="H35" s="53"/>
      <c r="I35" s="53">
        <f t="shared" si="7"/>
        <v>0</v>
      </c>
      <c r="J35" s="53"/>
      <c r="K35" s="53"/>
      <c r="L35" s="53">
        <f t="shared" si="8"/>
        <v>0</v>
      </c>
      <c r="M35" s="53"/>
      <c r="N35" s="53"/>
      <c r="O35" s="53">
        <f t="shared" si="9"/>
        <v>0</v>
      </c>
      <c r="P35" s="53"/>
      <c r="Q35" s="53"/>
      <c r="R35" s="53">
        <f t="shared" si="10"/>
        <v>0</v>
      </c>
      <c r="S35" s="53"/>
      <c r="T35" s="53"/>
      <c r="U35" s="53">
        <f t="shared" si="11"/>
        <v>0</v>
      </c>
      <c r="V35" s="53"/>
      <c r="W35" s="53"/>
      <c r="X35" s="53">
        <f t="shared" si="12"/>
        <v>0</v>
      </c>
      <c r="Y35" s="53"/>
      <c r="Z35" s="53"/>
      <c r="AA35" s="53">
        <f t="shared" si="13"/>
        <v>0</v>
      </c>
      <c r="AB35" s="53"/>
      <c r="AC35" s="53"/>
      <c r="AD35" s="53">
        <f t="shared" si="14"/>
        <v>0</v>
      </c>
      <c r="AE35" s="53"/>
      <c r="AF35" s="53"/>
      <c r="AG35" s="53">
        <f t="shared" si="20"/>
        <v>0</v>
      </c>
      <c r="AH35" s="53"/>
      <c r="AI35" s="53"/>
      <c r="AJ35" s="53">
        <f t="shared" si="15"/>
        <v>0</v>
      </c>
      <c r="AK35" s="53"/>
      <c r="AL35" s="53"/>
      <c r="AM35" s="53">
        <f t="shared" si="21"/>
        <v>0</v>
      </c>
      <c r="AN35" s="53"/>
      <c r="AO35" s="53"/>
      <c r="AP35" s="53">
        <f t="shared" si="22"/>
        <v>0</v>
      </c>
      <c r="AQ35" s="53"/>
      <c r="AR35" s="53"/>
      <c r="AS35" s="53">
        <f t="shared" si="18"/>
        <v>0</v>
      </c>
      <c r="AT35" s="53"/>
      <c r="AU35" s="53"/>
      <c r="AV35" s="66">
        <f t="shared" si="0"/>
        <v>0</v>
      </c>
      <c r="AW35" s="66"/>
      <c r="AX35" s="66"/>
      <c r="AY35" s="66">
        <f t="shared" si="1"/>
        <v>0</v>
      </c>
      <c r="AZ35" s="66"/>
      <c r="BA35" s="66"/>
      <c r="BB35" s="66">
        <f t="shared" si="2"/>
        <v>0</v>
      </c>
      <c r="BC35" s="66"/>
      <c r="BD35" s="66"/>
      <c r="BE35" s="66">
        <f t="shared" si="3"/>
        <v>0</v>
      </c>
      <c r="BF35" s="66"/>
      <c r="BG35" s="66"/>
      <c r="BH35" s="67">
        <f t="shared" si="4"/>
        <v>0</v>
      </c>
      <c r="BI35" s="68">
        <f t="shared" si="5"/>
        <v>21</v>
      </c>
    </row>
    <row r="36" spans="2:61" x14ac:dyDescent="0.25">
      <c r="B36" s="63">
        <v>28</v>
      </c>
      <c r="C36" s="64">
        <f>NOMINATIF!C33</f>
        <v>0</v>
      </c>
      <c r="D36" s="65">
        <f>NOMINATIF!D33</f>
        <v>0</v>
      </c>
      <c r="E36" s="65">
        <f>NOMINATIF!E33</f>
        <v>0</v>
      </c>
      <c r="F36" s="53">
        <f t="shared" si="19"/>
        <v>0</v>
      </c>
      <c r="G36" s="53"/>
      <c r="H36" s="53"/>
      <c r="I36" s="53">
        <f t="shared" si="7"/>
        <v>0</v>
      </c>
      <c r="J36" s="53"/>
      <c r="K36" s="53"/>
      <c r="L36" s="53">
        <f t="shared" si="8"/>
        <v>0</v>
      </c>
      <c r="M36" s="53"/>
      <c r="N36" s="53"/>
      <c r="O36" s="53">
        <f t="shared" si="9"/>
        <v>0</v>
      </c>
      <c r="P36" s="53"/>
      <c r="Q36" s="53"/>
      <c r="R36" s="53">
        <f t="shared" si="10"/>
        <v>0</v>
      </c>
      <c r="S36" s="53"/>
      <c r="T36" s="53"/>
      <c r="U36" s="53">
        <f t="shared" si="11"/>
        <v>0</v>
      </c>
      <c r="V36" s="53"/>
      <c r="W36" s="53"/>
      <c r="X36" s="53">
        <f t="shared" si="12"/>
        <v>0</v>
      </c>
      <c r="Y36" s="53"/>
      <c r="Z36" s="53"/>
      <c r="AA36" s="53">
        <f t="shared" si="13"/>
        <v>0</v>
      </c>
      <c r="AB36" s="53"/>
      <c r="AC36" s="53"/>
      <c r="AD36" s="53">
        <f t="shared" si="14"/>
        <v>0</v>
      </c>
      <c r="AE36" s="53"/>
      <c r="AF36" s="53"/>
      <c r="AG36" s="53">
        <f t="shared" si="20"/>
        <v>0</v>
      </c>
      <c r="AH36" s="53"/>
      <c r="AI36" s="53"/>
      <c r="AJ36" s="53">
        <f t="shared" si="15"/>
        <v>0</v>
      </c>
      <c r="AK36" s="53"/>
      <c r="AL36" s="53"/>
      <c r="AM36" s="53">
        <f t="shared" si="21"/>
        <v>0</v>
      </c>
      <c r="AN36" s="53"/>
      <c r="AO36" s="53"/>
      <c r="AP36" s="53">
        <f t="shared" si="22"/>
        <v>0</v>
      </c>
      <c r="AQ36" s="53"/>
      <c r="AR36" s="53"/>
      <c r="AS36" s="53">
        <f t="shared" si="18"/>
        <v>0</v>
      </c>
      <c r="AT36" s="53"/>
      <c r="AU36" s="53"/>
      <c r="AV36" s="66">
        <f t="shared" si="0"/>
        <v>0</v>
      </c>
      <c r="AW36" s="66"/>
      <c r="AX36" s="66"/>
      <c r="AY36" s="66">
        <f t="shared" si="1"/>
        <v>0</v>
      </c>
      <c r="AZ36" s="66"/>
      <c r="BA36" s="66"/>
      <c r="BB36" s="66">
        <f t="shared" si="2"/>
        <v>0</v>
      </c>
      <c r="BC36" s="66"/>
      <c r="BD36" s="66"/>
      <c r="BE36" s="66">
        <f t="shared" si="3"/>
        <v>0</v>
      </c>
      <c r="BF36" s="66"/>
      <c r="BG36" s="66"/>
      <c r="BH36" s="67">
        <f t="shared" si="4"/>
        <v>0</v>
      </c>
      <c r="BI36" s="68">
        <f t="shared" si="5"/>
        <v>21</v>
      </c>
    </row>
    <row r="37" spans="2:61" x14ac:dyDescent="0.25">
      <c r="B37" s="63">
        <v>29</v>
      </c>
      <c r="C37" s="64">
        <f>NOMINATIF!C34</f>
        <v>0</v>
      </c>
      <c r="D37" s="65">
        <f>NOMINATIF!D34</f>
        <v>0</v>
      </c>
      <c r="E37" s="65">
        <f>NOMINATIF!E34</f>
        <v>0</v>
      </c>
      <c r="F37" s="53">
        <f t="shared" si="19"/>
        <v>0</v>
      </c>
      <c r="G37" s="53"/>
      <c r="H37" s="53"/>
      <c r="I37" s="53">
        <f t="shared" si="7"/>
        <v>0</v>
      </c>
      <c r="J37" s="53"/>
      <c r="K37" s="53"/>
      <c r="L37" s="53">
        <f t="shared" si="8"/>
        <v>0</v>
      </c>
      <c r="M37" s="53"/>
      <c r="N37" s="53"/>
      <c r="O37" s="53">
        <f t="shared" si="9"/>
        <v>0</v>
      </c>
      <c r="P37" s="53"/>
      <c r="Q37" s="53"/>
      <c r="R37" s="53">
        <f t="shared" si="10"/>
        <v>0</v>
      </c>
      <c r="S37" s="53"/>
      <c r="T37" s="53"/>
      <c r="U37" s="53">
        <f t="shared" si="11"/>
        <v>0</v>
      </c>
      <c r="V37" s="53"/>
      <c r="W37" s="53"/>
      <c r="X37" s="53">
        <f t="shared" si="12"/>
        <v>0</v>
      </c>
      <c r="Y37" s="53"/>
      <c r="Z37" s="53"/>
      <c r="AA37" s="53">
        <f t="shared" si="13"/>
        <v>0</v>
      </c>
      <c r="AB37" s="53"/>
      <c r="AC37" s="53"/>
      <c r="AD37" s="53">
        <f t="shared" si="14"/>
        <v>0</v>
      </c>
      <c r="AE37" s="53"/>
      <c r="AF37" s="53"/>
      <c r="AG37" s="53">
        <f t="shared" si="20"/>
        <v>0</v>
      </c>
      <c r="AH37" s="53"/>
      <c r="AI37" s="53"/>
      <c r="AJ37" s="53">
        <f t="shared" si="15"/>
        <v>0</v>
      </c>
      <c r="AK37" s="53"/>
      <c r="AL37" s="53"/>
      <c r="AM37" s="53">
        <f t="shared" si="21"/>
        <v>0</v>
      </c>
      <c r="AN37" s="53"/>
      <c r="AO37" s="53"/>
      <c r="AP37" s="53">
        <f t="shared" si="22"/>
        <v>0</v>
      </c>
      <c r="AQ37" s="53"/>
      <c r="AR37" s="53"/>
      <c r="AS37" s="53">
        <f t="shared" si="18"/>
        <v>0</v>
      </c>
      <c r="AT37" s="53"/>
      <c r="AU37" s="53"/>
      <c r="AV37" s="66">
        <f t="shared" si="0"/>
        <v>0</v>
      </c>
      <c r="AW37" s="66"/>
      <c r="AX37" s="66"/>
      <c r="AY37" s="66">
        <f t="shared" si="1"/>
        <v>0</v>
      </c>
      <c r="AZ37" s="66"/>
      <c r="BA37" s="66"/>
      <c r="BB37" s="66">
        <f t="shared" si="2"/>
        <v>0</v>
      </c>
      <c r="BC37" s="66"/>
      <c r="BD37" s="66"/>
      <c r="BE37" s="66">
        <f t="shared" si="3"/>
        <v>0</v>
      </c>
      <c r="BF37" s="66"/>
      <c r="BG37" s="66"/>
      <c r="BH37" s="67">
        <f t="shared" si="4"/>
        <v>0</v>
      </c>
      <c r="BI37" s="68">
        <f t="shared" si="5"/>
        <v>21</v>
      </c>
    </row>
    <row r="38" spans="2:61" x14ac:dyDescent="0.25">
      <c r="B38" s="63">
        <v>30</v>
      </c>
      <c r="C38" s="64">
        <f>NOMINATIF!C35</f>
        <v>0</v>
      </c>
      <c r="D38" s="65">
        <f>NOMINATIF!D35</f>
        <v>0</v>
      </c>
      <c r="E38" s="65">
        <f>NOMINATIF!E35</f>
        <v>0</v>
      </c>
      <c r="F38" s="53">
        <f t="shared" si="19"/>
        <v>0</v>
      </c>
      <c r="G38" s="53"/>
      <c r="H38" s="53"/>
      <c r="I38" s="53">
        <f t="shared" si="7"/>
        <v>0</v>
      </c>
      <c r="J38" s="53"/>
      <c r="K38" s="53"/>
      <c r="L38" s="53">
        <f t="shared" si="8"/>
        <v>0</v>
      </c>
      <c r="M38" s="53"/>
      <c r="N38" s="53"/>
      <c r="O38" s="53">
        <f t="shared" si="9"/>
        <v>0</v>
      </c>
      <c r="P38" s="53"/>
      <c r="Q38" s="53"/>
      <c r="R38" s="53">
        <f t="shared" si="10"/>
        <v>0</v>
      </c>
      <c r="S38" s="53"/>
      <c r="T38" s="53"/>
      <c r="U38" s="53">
        <f t="shared" si="11"/>
        <v>0</v>
      </c>
      <c r="V38" s="53"/>
      <c r="W38" s="53"/>
      <c r="X38" s="53">
        <f t="shared" si="12"/>
        <v>0</v>
      </c>
      <c r="Y38" s="53"/>
      <c r="Z38" s="53"/>
      <c r="AA38" s="53">
        <f t="shared" si="13"/>
        <v>0</v>
      </c>
      <c r="AB38" s="53"/>
      <c r="AC38" s="53"/>
      <c r="AD38" s="53">
        <f t="shared" si="14"/>
        <v>0</v>
      </c>
      <c r="AE38" s="53"/>
      <c r="AF38" s="53"/>
      <c r="AG38" s="53">
        <f t="shared" si="20"/>
        <v>0</v>
      </c>
      <c r="AH38" s="53"/>
      <c r="AI38" s="53"/>
      <c r="AJ38" s="53">
        <f t="shared" si="15"/>
        <v>0</v>
      </c>
      <c r="AK38" s="53"/>
      <c r="AL38" s="53"/>
      <c r="AM38" s="53">
        <f t="shared" si="21"/>
        <v>0</v>
      </c>
      <c r="AN38" s="53"/>
      <c r="AO38" s="53"/>
      <c r="AP38" s="53">
        <f t="shared" si="22"/>
        <v>0</v>
      </c>
      <c r="AQ38" s="53"/>
      <c r="AR38" s="53"/>
      <c r="AS38" s="53">
        <f t="shared" si="18"/>
        <v>0</v>
      </c>
      <c r="AT38" s="53"/>
      <c r="AU38" s="53"/>
      <c r="AV38" s="66">
        <f t="shared" si="0"/>
        <v>0</v>
      </c>
      <c r="AW38" s="66"/>
      <c r="AX38" s="66"/>
      <c r="AY38" s="66">
        <f t="shared" si="1"/>
        <v>0</v>
      </c>
      <c r="AZ38" s="66"/>
      <c r="BA38" s="66"/>
      <c r="BB38" s="66">
        <f t="shared" si="2"/>
        <v>0</v>
      </c>
      <c r="BC38" s="66"/>
      <c r="BD38" s="66"/>
      <c r="BE38" s="66">
        <f t="shared" si="3"/>
        <v>0</v>
      </c>
      <c r="BF38" s="66"/>
      <c r="BG38" s="66"/>
      <c r="BH38" s="67">
        <f t="shared" si="4"/>
        <v>0</v>
      </c>
      <c r="BI38" s="68">
        <f t="shared" si="5"/>
        <v>21</v>
      </c>
    </row>
    <row r="39" spans="2:61" x14ac:dyDescent="0.25">
      <c r="B39" s="63">
        <v>31</v>
      </c>
      <c r="C39" s="64">
        <f>NOMINATIF!C36</f>
        <v>0</v>
      </c>
      <c r="D39" s="65">
        <f>NOMINATIF!D36</f>
        <v>0</v>
      </c>
      <c r="E39" s="65">
        <f>NOMINATIF!E36</f>
        <v>0</v>
      </c>
      <c r="F39" s="53">
        <f t="shared" si="19"/>
        <v>0</v>
      </c>
      <c r="G39" s="53"/>
      <c r="H39" s="53"/>
      <c r="I39" s="53">
        <f t="shared" si="7"/>
        <v>0</v>
      </c>
      <c r="J39" s="53"/>
      <c r="K39" s="53"/>
      <c r="L39" s="53">
        <f t="shared" si="8"/>
        <v>0</v>
      </c>
      <c r="M39" s="53"/>
      <c r="N39" s="53"/>
      <c r="O39" s="53">
        <f t="shared" si="9"/>
        <v>0</v>
      </c>
      <c r="P39" s="53"/>
      <c r="Q39" s="53"/>
      <c r="R39" s="53">
        <f t="shared" si="10"/>
        <v>0</v>
      </c>
      <c r="S39" s="53"/>
      <c r="T39" s="53"/>
      <c r="U39" s="53">
        <f t="shared" si="11"/>
        <v>0</v>
      </c>
      <c r="V39" s="53"/>
      <c r="W39" s="53"/>
      <c r="X39" s="53">
        <f t="shared" si="12"/>
        <v>0</v>
      </c>
      <c r="Y39" s="53"/>
      <c r="Z39" s="53"/>
      <c r="AA39" s="53">
        <f t="shared" si="13"/>
        <v>0</v>
      </c>
      <c r="AB39" s="53"/>
      <c r="AC39" s="53"/>
      <c r="AD39" s="53">
        <f t="shared" si="14"/>
        <v>0</v>
      </c>
      <c r="AE39" s="53"/>
      <c r="AF39" s="53"/>
      <c r="AG39" s="53">
        <f t="shared" si="20"/>
        <v>0</v>
      </c>
      <c r="AH39" s="53"/>
      <c r="AI39" s="53"/>
      <c r="AJ39" s="53">
        <f t="shared" si="15"/>
        <v>0</v>
      </c>
      <c r="AK39" s="53"/>
      <c r="AL39" s="53"/>
      <c r="AM39" s="53">
        <f t="shared" si="21"/>
        <v>0</v>
      </c>
      <c r="AN39" s="53"/>
      <c r="AO39" s="53"/>
      <c r="AP39" s="53">
        <f t="shared" si="22"/>
        <v>0</v>
      </c>
      <c r="AQ39" s="53"/>
      <c r="AR39" s="53"/>
      <c r="AS39" s="53">
        <f t="shared" si="18"/>
        <v>0</v>
      </c>
      <c r="AT39" s="53"/>
      <c r="AU39" s="53"/>
      <c r="AV39" s="66">
        <f t="shared" si="0"/>
        <v>0</v>
      </c>
      <c r="AW39" s="66"/>
      <c r="AX39" s="66"/>
      <c r="AY39" s="66">
        <f t="shared" si="1"/>
        <v>0</v>
      </c>
      <c r="AZ39" s="66"/>
      <c r="BA39" s="66"/>
      <c r="BB39" s="66">
        <f t="shared" si="2"/>
        <v>0</v>
      </c>
      <c r="BC39" s="66"/>
      <c r="BD39" s="66"/>
      <c r="BE39" s="66">
        <f t="shared" si="3"/>
        <v>0</v>
      </c>
      <c r="BF39" s="66"/>
      <c r="BG39" s="66"/>
      <c r="BH39" s="67">
        <f t="shared" si="4"/>
        <v>0</v>
      </c>
      <c r="BI39" s="68">
        <f t="shared" si="5"/>
        <v>21</v>
      </c>
    </row>
    <row r="40" spans="2:61" x14ac:dyDescent="0.25">
      <c r="B40" s="63">
        <v>32</v>
      </c>
      <c r="C40" s="64">
        <f>NOMINATIF!C37</f>
        <v>0</v>
      </c>
      <c r="D40" s="65">
        <f>NOMINATIF!D37</f>
        <v>0</v>
      </c>
      <c r="E40" s="65">
        <f>NOMINATIF!E37</f>
        <v>0</v>
      </c>
      <c r="F40" s="53">
        <f t="shared" si="19"/>
        <v>0</v>
      </c>
      <c r="G40" s="53"/>
      <c r="H40" s="53"/>
      <c r="I40" s="53">
        <f t="shared" si="7"/>
        <v>0</v>
      </c>
      <c r="J40" s="53"/>
      <c r="K40" s="53"/>
      <c r="L40" s="53">
        <f t="shared" si="8"/>
        <v>0</v>
      </c>
      <c r="M40" s="53"/>
      <c r="N40" s="53"/>
      <c r="O40" s="53">
        <f t="shared" si="9"/>
        <v>0</v>
      </c>
      <c r="P40" s="53"/>
      <c r="Q40" s="53"/>
      <c r="R40" s="53">
        <f t="shared" si="10"/>
        <v>0</v>
      </c>
      <c r="S40" s="53"/>
      <c r="T40" s="53"/>
      <c r="U40" s="53">
        <f t="shared" si="11"/>
        <v>0</v>
      </c>
      <c r="V40" s="53"/>
      <c r="W40" s="53"/>
      <c r="X40" s="53">
        <f t="shared" si="12"/>
        <v>0</v>
      </c>
      <c r="Y40" s="53"/>
      <c r="Z40" s="53"/>
      <c r="AA40" s="53">
        <f t="shared" si="13"/>
        <v>0</v>
      </c>
      <c r="AB40" s="53"/>
      <c r="AC40" s="53"/>
      <c r="AD40" s="53">
        <f t="shared" si="14"/>
        <v>0</v>
      </c>
      <c r="AE40" s="53"/>
      <c r="AF40" s="53"/>
      <c r="AG40" s="53">
        <f t="shared" si="20"/>
        <v>0</v>
      </c>
      <c r="AH40" s="53"/>
      <c r="AI40" s="53"/>
      <c r="AJ40" s="53">
        <f t="shared" si="15"/>
        <v>0</v>
      </c>
      <c r="AK40" s="53"/>
      <c r="AL40" s="53"/>
      <c r="AM40" s="53">
        <f t="shared" si="21"/>
        <v>0</v>
      </c>
      <c r="AN40" s="53"/>
      <c r="AO40" s="53"/>
      <c r="AP40" s="53">
        <f t="shared" si="22"/>
        <v>0</v>
      </c>
      <c r="AQ40" s="53"/>
      <c r="AR40" s="53"/>
      <c r="AS40" s="53">
        <f t="shared" si="18"/>
        <v>0</v>
      </c>
      <c r="AT40" s="53"/>
      <c r="AU40" s="53"/>
      <c r="AV40" s="66">
        <f t="shared" si="0"/>
        <v>0</v>
      </c>
      <c r="AW40" s="66"/>
      <c r="AX40" s="66"/>
      <c r="AY40" s="66">
        <f t="shared" si="1"/>
        <v>0</v>
      </c>
      <c r="AZ40" s="66"/>
      <c r="BA40" s="66"/>
      <c r="BB40" s="66">
        <f t="shared" si="2"/>
        <v>0</v>
      </c>
      <c r="BC40" s="66"/>
      <c r="BD40" s="66"/>
      <c r="BE40" s="66">
        <f t="shared" si="3"/>
        <v>0</v>
      </c>
      <c r="BF40" s="66"/>
      <c r="BG40" s="66"/>
      <c r="BH40" s="67">
        <f t="shared" si="4"/>
        <v>0</v>
      </c>
      <c r="BI40" s="68">
        <f t="shared" si="5"/>
        <v>21</v>
      </c>
    </row>
    <row r="41" spans="2:61" x14ac:dyDescent="0.25">
      <c r="B41" s="63">
        <v>33</v>
      </c>
      <c r="C41" s="64">
        <f>NOMINATIF!C38</f>
        <v>0</v>
      </c>
      <c r="D41" s="65">
        <f>NOMINATIF!D38</f>
        <v>0</v>
      </c>
      <c r="E41" s="65">
        <f>NOMINATIF!E38</f>
        <v>0</v>
      </c>
      <c r="F41" s="53">
        <f t="shared" si="19"/>
        <v>0</v>
      </c>
      <c r="G41" s="53"/>
      <c r="H41" s="53"/>
      <c r="I41" s="53">
        <f t="shared" si="7"/>
        <v>0</v>
      </c>
      <c r="J41" s="53"/>
      <c r="K41" s="53"/>
      <c r="L41" s="53">
        <f t="shared" si="8"/>
        <v>0</v>
      </c>
      <c r="M41" s="53"/>
      <c r="N41" s="53"/>
      <c r="O41" s="53">
        <f t="shared" si="9"/>
        <v>0</v>
      </c>
      <c r="P41" s="53"/>
      <c r="Q41" s="53"/>
      <c r="R41" s="53">
        <f t="shared" si="10"/>
        <v>0</v>
      </c>
      <c r="S41" s="53"/>
      <c r="T41" s="53"/>
      <c r="U41" s="53">
        <f t="shared" si="11"/>
        <v>0</v>
      </c>
      <c r="V41" s="53"/>
      <c r="W41" s="53"/>
      <c r="X41" s="53">
        <f t="shared" si="12"/>
        <v>0</v>
      </c>
      <c r="Y41" s="53"/>
      <c r="Z41" s="53"/>
      <c r="AA41" s="53">
        <f t="shared" si="13"/>
        <v>0</v>
      </c>
      <c r="AB41" s="53"/>
      <c r="AC41" s="53"/>
      <c r="AD41" s="53">
        <f t="shared" si="14"/>
        <v>0</v>
      </c>
      <c r="AE41" s="53"/>
      <c r="AF41" s="53"/>
      <c r="AG41" s="53">
        <f t="shared" si="20"/>
        <v>0</v>
      </c>
      <c r="AH41" s="53"/>
      <c r="AI41" s="53"/>
      <c r="AJ41" s="53">
        <f t="shared" si="15"/>
        <v>0</v>
      </c>
      <c r="AK41" s="53"/>
      <c r="AL41" s="53"/>
      <c r="AM41" s="53">
        <f t="shared" si="21"/>
        <v>0</v>
      </c>
      <c r="AN41" s="53"/>
      <c r="AO41" s="53"/>
      <c r="AP41" s="53">
        <f t="shared" si="22"/>
        <v>0</v>
      </c>
      <c r="AQ41" s="53"/>
      <c r="AR41" s="53"/>
      <c r="AS41" s="53">
        <f t="shared" si="18"/>
        <v>0</v>
      </c>
      <c r="AT41" s="53"/>
      <c r="AU41" s="53"/>
      <c r="AV41" s="66">
        <f t="shared" si="0"/>
        <v>0</v>
      </c>
      <c r="AW41" s="66"/>
      <c r="AX41" s="66"/>
      <c r="AY41" s="66">
        <f t="shared" si="1"/>
        <v>0</v>
      </c>
      <c r="AZ41" s="66"/>
      <c r="BA41" s="66"/>
      <c r="BB41" s="66">
        <f t="shared" si="2"/>
        <v>0</v>
      </c>
      <c r="BC41" s="66"/>
      <c r="BD41" s="66"/>
      <c r="BE41" s="66">
        <f t="shared" si="3"/>
        <v>0</v>
      </c>
      <c r="BF41" s="66"/>
      <c r="BG41" s="66"/>
      <c r="BH41" s="67">
        <f t="shared" si="4"/>
        <v>0</v>
      </c>
      <c r="BI41" s="68">
        <f t="shared" si="5"/>
        <v>21</v>
      </c>
    </row>
    <row r="42" spans="2:61" x14ac:dyDescent="0.25">
      <c r="B42" s="63">
        <v>34</v>
      </c>
      <c r="C42" s="64">
        <f>NOMINATIF!C39</f>
        <v>0</v>
      </c>
      <c r="D42" s="65">
        <f>NOMINATIF!D39</f>
        <v>0</v>
      </c>
      <c r="E42" s="65">
        <f>NOMINATIF!E39</f>
        <v>0</v>
      </c>
      <c r="F42" s="53">
        <f t="shared" si="19"/>
        <v>0</v>
      </c>
      <c r="G42" s="53"/>
      <c r="H42" s="53"/>
      <c r="I42" s="53">
        <f t="shared" si="7"/>
        <v>0</v>
      </c>
      <c r="J42" s="53"/>
      <c r="K42" s="53"/>
      <c r="L42" s="53">
        <f t="shared" si="8"/>
        <v>0</v>
      </c>
      <c r="M42" s="53"/>
      <c r="N42" s="53"/>
      <c r="O42" s="53">
        <f t="shared" si="9"/>
        <v>0</v>
      </c>
      <c r="P42" s="53"/>
      <c r="Q42" s="53"/>
      <c r="R42" s="53">
        <f t="shared" si="10"/>
        <v>0</v>
      </c>
      <c r="S42" s="53"/>
      <c r="T42" s="53"/>
      <c r="U42" s="53">
        <f t="shared" si="11"/>
        <v>0</v>
      </c>
      <c r="V42" s="53"/>
      <c r="W42" s="53"/>
      <c r="X42" s="53">
        <f t="shared" si="12"/>
        <v>0</v>
      </c>
      <c r="Y42" s="53"/>
      <c r="Z42" s="53"/>
      <c r="AA42" s="53">
        <f t="shared" si="13"/>
        <v>0</v>
      </c>
      <c r="AB42" s="53"/>
      <c r="AC42" s="53"/>
      <c r="AD42" s="53">
        <f t="shared" si="14"/>
        <v>0</v>
      </c>
      <c r="AE42" s="53"/>
      <c r="AF42" s="53"/>
      <c r="AG42" s="53">
        <f t="shared" si="20"/>
        <v>0</v>
      </c>
      <c r="AH42" s="53"/>
      <c r="AI42" s="53"/>
      <c r="AJ42" s="53">
        <f t="shared" si="15"/>
        <v>0</v>
      </c>
      <c r="AK42" s="53"/>
      <c r="AL42" s="53"/>
      <c r="AM42" s="53">
        <f t="shared" si="21"/>
        <v>0</v>
      </c>
      <c r="AN42" s="53"/>
      <c r="AO42" s="53"/>
      <c r="AP42" s="53">
        <f t="shared" si="22"/>
        <v>0</v>
      </c>
      <c r="AQ42" s="53"/>
      <c r="AR42" s="53"/>
      <c r="AS42" s="53">
        <f t="shared" si="18"/>
        <v>0</v>
      </c>
      <c r="AT42" s="53"/>
      <c r="AU42" s="53"/>
      <c r="AV42" s="66">
        <f t="shared" si="0"/>
        <v>0</v>
      </c>
      <c r="AW42" s="66"/>
      <c r="AX42" s="66"/>
      <c r="AY42" s="66">
        <f t="shared" si="1"/>
        <v>0</v>
      </c>
      <c r="AZ42" s="66"/>
      <c r="BA42" s="66"/>
      <c r="BB42" s="66">
        <f t="shared" si="2"/>
        <v>0</v>
      </c>
      <c r="BC42" s="66"/>
      <c r="BD42" s="66"/>
      <c r="BE42" s="66">
        <f t="shared" si="3"/>
        <v>0</v>
      </c>
      <c r="BF42" s="66"/>
      <c r="BG42" s="66"/>
      <c r="BH42" s="67">
        <f t="shared" si="4"/>
        <v>0</v>
      </c>
      <c r="BI42" s="68">
        <f t="shared" si="5"/>
        <v>21</v>
      </c>
    </row>
    <row r="43" spans="2:61" x14ac:dyDescent="0.25">
      <c r="B43" s="63">
        <v>35</v>
      </c>
      <c r="C43" s="64">
        <f>NOMINATIF!C40</f>
        <v>0</v>
      </c>
      <c r="D43" s="65">
        <f>NOMINATIF!D40</f>
        <v>0</v>
      </c>
      <c r="E43" s="65">
        <f>NOMINATIF!E40</f>
        <v>0</v>
      </c>
      <c r="F43" s="53">
        <f t="shared" si="19"/>
        <v>0</v>
      </c>
      <c r="G43" s="53"/>
      <c r="H43" s="53"/>
      <c r="I43" s="53">
        <f t="shared" si="7"/>
        <v>0</v>
      </c>
      <c r="J43" s="53"/>
      <c r="K43" s="53"/>
      <c r="L43" s="53">
        <f t="shared" si="8"/>
        <v>0</v>
      </c>
      <c r="M43" s="53"/>
      <c r="N43" s="53"/>
      <c r="O43" s="53">
        <f t="shared" si="9"/>
        <v>0</v>
      </c>
      <c r="P43" s="53"/>
      <c r="Q43" s="53"/>
      <c r="R43" s="53">
        <f t="shared" si="10"/>
        <v>0</v>
      </c>
      <c r="S43" s="53"/>
      <c r="T43" s="53"/>
      <c r="U43" s="53">
        <f t="shared" si="11"/>
        <v>0</v>
      </c>
      <c r="V43" s="53"/>
      <c r="W43" s="53"/>
      <c r="X43" s="53">
        <f t="shared" si="12"/>
        <v>0</v>
      </c>
      <c r="Y43" s="53"/>
      <c r="Z43" s="53"/>
      <c r="AA43" s="53">
        <f t="shared" si="13"/>
        <v>0</v>
      </c>
      <c r="AB43" s="53"/>
      <c r="AC43" s="53"/>
      <c r="AD43" s="53">
        <f t="shared" si="14"/>
        <v>0</v>
      </c>
      <c r="AE43" s="53"/>
      <c r="AF43" s="53"/>
      <c r="AG43" s="53">
        <f t="shared" si="20"/>
        <v>0</v>
      </c>
      <c r="AH43" s="53"/>
      <c r="AI43" s="53"/>
      <c r="AJ43" s="53">
        <f t="shared" si="15"/>
        <v>0</v>
      </c>
      <c r="AK43" s="53"/>
      <c r="AL43" s="53"/>
      <c r="AM43" s="53">
        <f t="shared" si="21"/>
        <v>0</v>
      </c>
      <c r="AN43" s="53"/>
      <c r="AO43" s="53"/>
      <c r="AP43" s="53">
        <f t="shared" si="22"/>
        <v>0</v>
      </c>
      <c r="AQ43" s="53"/>
      <c r="AR43" s="53"/>
      <c r="AS43" s="53">
        <f t="shared" si="18"/>
        <v>0</v>
      </c>
      <c r="AT43" s="53"/>
      <c r="AU43" s="53"/>
      <c r="AV43" s="66">
        <f t="shared" si="0"/>
        <v>0</v>
      </c>
      <c r="AW43" s="66"/>
      <c r="AX43" s="66"/>
      <c r="AY43" s="66">
        <f t="shared" si="1"/>
        <v>0</v>
      </c>
      <c r="AZ43" s="66"/>
      <c r="BA43" s="66"/>
      <c r="BB43" s="66">
        <f t="shared" si="2"/>
        <v>0</v>
      </c>
      <c r="BC43" s="66"/>
      <c r="BD43" s="66"/>
      <c r="BE43" s="66">
        <f t="shared" si="3"/>
        <v>0</v>
      </c>
      <c r="BF43" s="66"/>
      <c r="BG43" s="66"/>
      <c r="BH43" s="67">
        <f t="shared" si="4"/>
        <v>0</v>
      </c>
      <c r="BI43" s="68">
        <f t="shared" si="5"/>
        <v>21</v>
      </c>
    </row>
    <row r="44" spans="2:61" x14ac:dyDescent="0.25"/>
    <row r="45" spans="2:61" x14ac:dyDescent="0.25"/>
    <row r="46" spans="2:61" x14ac:dyDescent="0.25"/>
  </sheetData>
  <sheetProtection selectLockedCells="1"/>
  <mergeCells count="25">
    <mergeCell ref="AD6:AF6"/>
    <mergeCell ref="B3:BI3"/>
    <mergeCell ref="B5:B7"/>
    <mergeCell ref="C5:C7"/>
    <mergeCell ref="D5:D7"/>
    <mergeCell ref="E5:E7"/>
    <mergeCell ref="BH5:BH6"/>
    <mergeCell ref="BI5:BI6"/>
    <mergeCell ref="F6:H6"/>
    <mergeCell ref="I6:K6"/>
    <mergeCell ref="L6:N6"/>
    <mergeCell ref="O6:Q6"/>
    <mergeCell ref="R6:T6"/>
    <mergeCell ref="U6:W6"/>
    <mergeCell ref="X6:Z6"/>
    <mergeCell ref="AA6:AC6"/>
    <mergeCell ref="AY6:BA6"/>
    <mergeCell ref="BB6:BD6"/>
    <mergeCell ref="BE6:BG6"/>
    <mergeCell ref="AG6:AI6"/>
    <mergeCell ref="AJ6:AL6"/>
    <mergeCell ref="AM6:AO6"/>
    <mergeCell ref="AP6:AR6"/>
    <mergeCell ref="AS6:AU6"/>
    <mergeCell ref="AV6:AX6"/>
  </mergeCells>
  <pageMargins left="0.7" right="0.7" top="0.75" bottom="0.75" header="0.3" footer="0.3"/>
  <pageSetup orientation="portrait" r:id="rId1"/>
  <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tabColor rgb="FF00B0F0"/>
  </sheetPr>
  <dimension ref="A1:AC54"/>
  <sheetViews>
    <sheetView zoomScale="60" zoomScaleNormal="60" workbookViewId="0">
      <selection activeCell="O39" sqref="O39"/>
    </sheetView>
  </sheetViews>
  <sheetFormatPr defaultColWidth="0" defaultRowHeight="0" customHeight="1" zeroHeight="1" x14ac:dyDescent="0.25"/>
  <cols>
    <col min="1" max="1" width="1.5703125" style="12" customWidth="1"/>
    <col min="2" max="2" width="3.85546875" customWidth="1"/>
    <col min="3" max="3" width="16.7109375" customWidth="1"/>
    <col min="4" max="4" width="1.140625" customWidth="1"/>
    <col min="5" max="5" width="22.42578125" customWidth="1"/>
    <col min="6" max="6" width="8.140625" customWidth="1"/>
    <col min="7" max="7" width="2.140625" customWidth="1"/>
    <col min="8" max="8" width="18.5703125" customWidth="1"/>
    <col min="9" max="9" width="2.28515625" customWidth="1"/>
    <col min="10" max="10" width="16.140625" hidden="1" customWidth="1"/>
    <col min="11" max="11" width="1.85546875" hidden="1" customWidth="1"/>
    <col min="12" max="12" width="5.5703125" customWidth="1"/>
    <col min="13" max="13" width="28.42578125" customWidth="1"/>
    <col min="14" max="14" width="1.7109375" customWidth="1"/>
    <col min="15" max="16" width="9.140625" customWidth="1"/>
    <col min="17" max="17" width="2.42578125" customWidth="1"/>
    <col min="18" max="18" width="16.7109375" customWidth="1"/>
    <col min="19" max="19" width="1" customWidth="1"/>
    <col min="20" max="20" width="1.7109375" style="12" customWidth="1"/>
    <col min="21" max="29" width="0" hidden="1" customWidth="1"/>
    <col min="30" max="16384" width="9.140625" hidden="1"/>
  </cols>
  <sheetData>
    <row r="1" spans="2:29" s="12" customFormat="1" ht="7.5" customHeight="1" x14ac:dyDescent="0.25">
      <c r="S1"/>
    </row>
    <row r="2" spans="2:29" ht="15.75" x14ac:dyDescent="0.25">
      <c r="C2" s="3"/>
      <c r="D2" s="204" t="s">
        <v>11</v>
      </c>
      <c r="E2" s="204"/>
      <c r="F2" s="204"/>
      <c r="G2" s="204"/>
      <c r="H2" s="204"/>
      <c r="I2" s="204"/>
      <c r="J2" s="204"/>
      <c r="K2" s="204"/>
      <c r="L2" s="204"/>
      <c r="M2" s="204"/>
      <c r="V2" s="204"/>
      <c r="W2" s="204"/>
      <c r="X2" s="204"/>
      <c r="Y2" s="204"/>
      <c r="Z2" s="204"/>
      <c r="AA2" s="204"/>
      <c r="AB2" s="204"/>
      <c r="AC2" s="204"/>
    </row>
    <row r="3" spans="2:29" ht="15.75" x14ac:dyDescent="0.25">
      <c r="C3" s="3"/>
      <c r="D3" s="204" t="s">
        <v>12</v>
      </c>
      <c r="E3" s="204"/>
      <c r="F3" s="204"/>
      <c r="G3" s="204"/>
      <c r="H3" s="204"/>
      <c r="I3" s="204"/>
      <c r="J3" s="204"/>
      <c r="K3" s="204"/>
      <c r="L3" s="204"/>
      <c r="M3" s="204"/>
      <c r="V3" s="204"/>
      <c r="W3" s="204"/>
      <c r="X3" s="204"/>
      <c r="Y3" s="204"/>
      <c r="Z3" s="204"/>
      <c r="AA3" s="204"/>
      <c r="AB3" s="204"/>
      <c r="AC3" s="204"/>
    </row>
    <row r="4" spans="2:29" ht="15.75" x14ac:dyDescent="0.25">
      <c r="C4" s="1"/>
      <c r="D4" s="203" t="s">
        <v>13</v>
      </c>
      <c r="E4" s="203"/>
      <c r="F4" s="203"/>
      <c r="G4" s="203"/>
      <c r="H4" s="203"/>
      <c r="I4" s="203"/>
      <c r="J4" s="203"/>
      <c r="K4" s="203"/>
      <c r="L4" s="203"/>
      <c r="M4" s="203"/>
      <c r="V4" s="203"/>
      <c r="W4" s="203"/>
      <c r="X4" s="203"/>
      <c r="Y4" s="203"/>
      <c r="Z4" s="203"/>
      <c r="AA4" s="203"/>
      <c r="AB4" s="203"/>
      <c r="AC4" s="203"/>
    </row>
    <row r="5" spans="2:29" ht="15.75" x14ac:dyDescent="0.25">
      <c r="C5" s="1"/>
      <c r="D5" s="203" t="s">
        <v>14</v>
      </c>
      <c r="E5" s="203"/>
      <c r="F5" s="203"/>
      <c r="G5" s="203"/>
      <c r="H5" s="203"/>
      <c r="I5" s="203"/>
      <c r="J5" s="203"/>
      <c r="K5" s="203"/>
      <c r="L5" s="203"/>
      <c r="M5" s="203"/>
      <c r="V5" s="203"/>
      <c r="W5" s="203"/>
      <c r="X5" s="203"/>
      <c r="Y5" s="203"/>
      <c r="Z5" s="203"/>
      <c r="AA5" s="203"/>
      <c r="AB5" s="203"/>
      <c r="AC5" s="203"/>
    </row>
    <row r="6" spans="2:29" ht="16.5" thickBot="1" x14ac:dyDescent="0.3">
      <c r="C6" s="3"/>
      <c r="D6" s="204" t="s">
        <v>1</v>
      </c>
      <c r="E6" s="204"/>
      <c r="F6" s="204"/>
      <c r="G6" s="204"/>
      <c r="H6" s="204"/>
      <c r="I6" s="204"/>
      <c r="J6" s="204"/>
      <c r="K6" s="204"/>
      <c r="L6" s="204"/>
      <c r="M6" s="204"/>
      <c r="V6" s="204"/>
      <c r="W6" s="204"/>
      <c r="X6" s="204"/>
      <c r="Y6" s="204"/>
      <c r="Z6" s="204"/>
      <c r="AA6" s="204"/>
      <c r="AB6" s="204"/>
      <c r="AC6" s="204"/>
    </row>
    <row r="7" spans="2:29" ht="15.75" x14ac:dyDescent="0.25">
      <c r="C7" s="1"/>
      <c r="D7" s="203" t="s">
        <v>15</v>
      </c>
      <c r="E7" s="203"/>
      <c r="F7" s="203"/>
      <c r="G7" s="203"/>
      <c r="H7" s="203"/>
      <c r="I7" s="203"/>
      <c r="J7" s="203"/>
      <c r="K7" s="203"/>
      <c r="L7" s="203"/>
      <c r="M7" s="203"/>
      <c r="O7" s="326" t="s">
        <v>69</v>
      </c>
      <c r="P7" s="327"/>
      <c r="Q7" s="327"/>
      <c r="R7" s="328"/>
      <c r="S7" s="19"/>
      <c r="V7" s="203"/>
      <c r="W7" s="203"/>
      <c r="X7" s="203"/>
      <c r="Y7" s="203"/>
      <c r="Z7" s="203"/>
      <c r="AA7" s="203"/>
      <c r="AB7" s="203"/>
      <c r="AC7" s="203"/>
    </row>
    <row r="8" spans="2:29" ht="15.75" x14ac:dyDescent="0.25">
      <c r="C8" s="1"/>
      <c r="D8" s="203" t="s">
        <v>16</v>
      </c>
      <c r="E8" s="203"/>
      <c r="F8" s="203"/>
      <c r="G8" s="203"/>
      <c r="H8" s="203"/>
      <c r="I8" s="203"/>
      <c r="J8" s="203"/>
      <c r="K8" s="203"/>
      <c r="L8" s="203"/>
      <c r="M8" s="203"/>
      <c r="O8" s="329"/>
      <c r="P8" s="330"/>
      <c r="Q8" s="330"/>
      <c r="R8" s="331"/>
      <c r="V8" s="203"/>
      <c r="W8" s="203"/>
      <c r="X8" s="203"/>
      <c r="Y8" s="203"/>
      <c r="Z8" s="203"/>
      <c r="AA8" s="203"/>
      <c r="AB8" s="203"/>
      <c r="AC8" s="203"/>
    </row>
    <row r="9" spans="2:29" ht="16.5" thickBot="1" x14ac:dyDescent="0.3">
      <c r="C9" s="2"/>
      <c r="D9" s="230" t="s">
        <v>17</v>
      </c>
      <c r="E9" s="230"/>
      <c r="F9" s="230"/>
      <c r="G9" s="230"/>
      <c r="H9" s="230"/>
      <c r="I9" s="230"/>
      <c r="J9" s="230"/>
      <c r="K9" s="230"/>
      <c r="L9" s="230"/>
      <c r="M9" s="230"/>
      <c r="O9" s="22"/>
      <c r="P9" s="325" t="s">
        <v>70</v>
      </c>
      <c r="Q9" s="325"/>
      <c r="R9" s="228">
        <v>13</v>
      </c>
      <c r="V9" s="230"/>
      <c r="W9" s="230"/>
      <c r="X9" s="230"/>
      <c r="Y9" s="230"/>
      <c r="Z9" s="230"/>
      <c r="AA9" s="230"/>
      <c r="AB9" s="230"/>
      <c r="AC9" s="230"/>
    </row>
    <row r="10" spans="2:29" ht="5.25" customHeight="1" thickTop="1" x14ac:dyDescent="0.25">
      <c r="B10" s="231"/>
      <c r="C10" s="232"/>
      <c r="D10" s="232"/>
      <c r="E10" s="232"/>
      <c r="F10" s="232"/>
      <c r="G10" s="232"/>
      <c r="H10" s="232"/>
      <c r="I10" s="232"/>
      <c r="J10" s="232"/>
      <c r="K10" s="232"/>
      <c r="L10" s="232"/>
      <c r="M10" s="232"/>
      <c r="O10" s="22"/>
      <c r="P10" s="325"/>
      <c r="Q10" s="325"/>
      <c r="R10" s="228"/>
    </row>
    <row r="11" spans="2:29" ht="15.75" x14ac:dyDescent="0.25">
      <c r="B11" s="226" t="str">
        <f>HOME!G6</f>
        <v>HASIL PENILAIAN TENGAH SEMESTER GENAP</v>
      </c>
      <c r="C11" s="226"/>
      <c r="D11" s="226"/>
      <c r="E11" s="226"/>
      <c r="F11" s="226"/>
      <c r="G11" s="226"/>
      <c r="H11" s="226"/>
      <c r="I11" s="226"/>
      <c r="J11" s="226"/>
      <c r="K11" s="226"/>
      <c r="L11" s="226"/>
      <c r="M11" s="226"/>
      <c r="O11" s="22"/>
      <c r="P11" s="325"/>
      <c r="Q11" s="325"/>
      <c r="R11" s="228"/>
    </row>
    <row r="12" spans="2:29" ht="15.75" x14ac:dyDescent="0.25">
      <c r="B12" s="226" t="str">
        <f>"TAHUN PELAJARAN " &amp; HOME!G7</f>
        <v>TAHUN PELAJARAN 2022/2023</v>
      </c>
      <c r="C12" s="226"/>
      <c r="D12" s="226"/>
      <c r="E12" s="226"/>
      <c r="F12" s="226"/>
      <c r="G12" s="226"/>
      <c r="H12" s="226"/>
      <c r="I12" s="226"/>
      <c r="J12" s="226"/>
      <c r="K12" s="226"/>
      <c r="L12" s="226"/>
      <c r="M12" s="226"/>
      <c r="O12" s="22"/>
      <c r="P12" s="325" t="s">
        <v>71</v>
      </c>
      <c r="Q12" s="325"/>
      <c r="R12" s="228">
        <f>COUNTA(NOMINATIF!C6:C40)</f>
        <v>20</v>
      </c>
    </row>
    <row r="13" spans="2:29" ht="8.25" customHeight="1" x14ac:dyDescent="0.25">
      <c r="B13" s="16"/>
      <c r="C13" s="4"/>
      <c r="D13" s="4"/>
      <c r="E13" s="4"/>
      <c r="F13" s="4"/>
      <c r="G13" s="4"/>
      <c r="H13" s="4"/>
      <c r="I13" s="4"/>
      <c r="J13" s="4"/>
      <c r="K13" s="4"/>
      <c r="L13" s="4"/>
      <c r="M13" s="4"/>
      <c r="O13" s="22"/>
      <c r="P13" s="325"/>
      <c r="Q13" s="325"/>
      <c r="R13" s="228"/>
    </row>
    <row r="14" spans="2:29" ht="15.75" x14ac:dyDescent="0.25">
      <c r="B14" s="224" t="s">
        <v>18</v>
      </c>
      <c r="C14" s="224"/>
      <c r="D14" s="1" t="s">
        <v>6</v>
      </c>
      <c r="E14" s="229" t="str">
        <f>VLOOKUP(R9,'L XI AKL'!$B$9:$BI$43,2)</f>
        <v>Rafli Ramadani</v>
      </c>
      <c r="F14" s="229"/>
      <c r="G14" s="18"/>
      <c r="H14" s="1" t="s">
        <v>63</v>
      </c>
      <c r="I14" t="s">
        <v>6</v>
      </c>
      <c r="J14" s="225" t="str">
        <f>HOME!G9</f>
        <v>Teknik Komputer dan Informatika</v>
      </c>
      <c r="K14" s="225"/>
      <c r="L14" s="225"/>
      <c r="M14" s="225"/>
      <c r="O14" s="22"/>
      <c r="P14" s="325"/>
      <c r="Q14" s="325"/>
      <c r="R14" s="228"/>
    </row>
    <row r="15" spans="2:29" ht="15.75" x14ac:dyDescent="0.25">
      <c r="B15" s="224" t="s">
        <v>19</v>
      </c>
      <c r="C15" s="224"/>
      <c r="D15" s="1" t="s">
        <v>6</v>
      </c>
      <c r="E15" s="224" t="str">
        <f>VLOOKUP(R9,'L XI AKL'!$B$9:$BI$43,3) &amp; "/" &amp; VLOOKUP(R9,'L XI AKL'!$B$9:$BI$43,4)</f>
        <v>4058/0055462823</v>
      </c>
      <c r="F15" s="224"/>
      <c r="G15" s="17"/>
      <c r="H15" s="1" t="s">
        <v>10</v>
      </c>
      <c r="I15" t="s">
        <v>6</v>
      </c>
      <c r="J15" s="225" t="str">
        <f>ID!G7</f>
        <v>Akuntansi dan Keuangan Lembaga</v>
      </c>
      <c r="K15" s="225"/>
      <c r="L15" s="225"/>
      <c r="M15" s="225"/>
      <c r="O15" s="22"/>
      <c r="R15" s="23"/>
    </row>
    <row r="16" spans="2:29" ht="15.75" x14ac:dyDescent="0.25">
      <c r="B16" s="224" t="s">
        <v>9</v>
      </c>
      <c r="C16" s="224"/>
      <c r="D16" s="1" t="s">
        <v>6</v>
      </c>
      <c r="E16" s="224" t="str">
        <f>ID!G8</f>
        <v>XII AKL 1</v>
      </c>
      <c r="F16" s="224"/>
      <c r="G16" s="17"/>
      <c r="H16" s="1" t="s">
        <v>20</v>
      </c>
      <c r="I16" t="s">
        <v>6</v>
      </c>
      <c r="J16" s="225" t="str">
        <f>ID!G9</f>
        <v>4/GENAP</v>
      </c>
      <c r="K16" s="225"/>
      <c r="L16" s="225"/>
      <c r="M16" s="225"/>
      <c r="O16" s="22"/>
      <c r="R16" s="23"/>
    </row>
    <row r="17" spans="1:19" s="12" customFormat="1" ht="15" x14ac:dyDescent="0.25">
      <c r="B17"/>
      <c r="C17"/>
      <c r="D17"/>
      <c r="E17"/>
      <c r="F17"/>
      <c r="G17"/>
      <c r="H17"/>
      <c r="I17"/>
      <c r="J17"/>
      <c r="K17"/>
      <c r="L17"/>
      <c r="M17"/>
      <c r="N17"/>
      <c r="O17" s="22"/>
      <c r="P17"/>
      <c r="Q17"/>
      <c r="R17" s="23"/>
      <c r="S17"/>
    </row>
    <row r="18" spans="1:19" s="12" customFormat="1" ht="31.5" customHeight="1" x14ac:dyDescent="0.25">
      <c r="B18" s="15" t="s">
        <v>32</v>
      </c>
      <c r="C18" s="190" t="s">
        <v>33</v>
      </c>
      <c r="D18" s="190"/>
      <c r="E18" s="190"/>
      <c r="F18" s="222" t="s">
        <v>34</v>
      </c>
      <c r="G18" s="223"/>
      <c r="H18" s="222" t="s">
        <v>35</v>
      </c>
      <c r="I18" s="223"/>
      <c r="J18" s="222" t="s">
        <v>66</v>
      </c>
      <c r="K18" s="223"/>
      <c r="L18" s="15" t="s">
        <v>98</v>
      </c>
      <c r="M18" s="15" t="s">
        <v>36</v>
      </c>
      <c r="N18"/>
      <c r="O18" s="22"/>
      <c r="P18"/>
      <c r="Q18"/>
      <c r="R18" s="23"/>
      <c r="S18"/>
    </row>
    <row r="19" spans="1:19" s="12" customFormat="1" ht="15.75" x14ac:dyDescent="0.25">
      <c r="B19" s="188" t="s">
        <v>37</v>
      </c>
      <c r="C19" s="188"/>
      <c r="D19" s="188"/>
      <c r="E19" s="188"/>
      <c r="F19" s="188"/>
      <c r="G19" s="188"/>
      <c r="H19" s="188"/>
      <c r="I19" s="188"/>
      <c r="J19" s="188"/>
      <c r="K19" s="188"/>
      <c r="L19" s="188"/>
      <c r="M19" s="188"/>
      <c r="N19"/>
      <c r="O19" s="22"/>
      <c r="P19"/>
      <c r="Q19"/>
      <c r="R19" s="23"/>
      <c r="S19"/>
    </row>
    <row r="20" spans="1:19" s="12" customFormat="1" ht="15.75" customHeight="1" x14ac:dyDescent="0.25">
      <c r="B20" s="11">
        <v>1</v>
      </c>
      <c r="C20" s="189" t="s">
        <v>38</v>
      </c>
      <c r="D20" s="189"/>
      <c r="E20" s="189"/>
      <c r="F20" s="209">
        <f>'MP XI AKL'!G7</f>
        <v>60</v>
      </c>
      <c r="G20" s="210"/>
      <c r="H20" s="211">
        <f>VLOOKUP(R9,'L XI AKL'!$B$9:$BI$43,5)</f>
        <v>80</v>
      </c>
      <c r="I20" s="212"/>
      <c r="J20" s="211">
        <f>VLOOKUP(R9,'L XI AKL'!$B$9:$BI$43,6)</f>
        <v>0</v>
      </c>
      <c r="K20" s="212"/>
      <c r="L20" s="14">
        <f>IF(J20=0,H20,AVERAGE(H20:K20))</f>
        <v>80</v>
      </c>
      <c r="M20" s="14" t="str">
        <f>IF(F20=60,IF(AND(L20&gt;$O$25,L20&lt;$P$25),$R$25,IF(AND(L20&gt;=$O$26,L20&lt;=$P$26),$R$26,IF(AND(L20&gt;=$O$27,L20&lt;=$P$27),$R$27,IF(AND(L20&gt;=$O$28,L20&lt;=$P$28),$R$28,IF(AND(L20&gt;=$O$29,L20&lt;=$P$29),$R$29,IF(AND(L20&gt;=$O$30,L20&lt;=$P$30),$R$30,IF(AND(L20&gt;=$O$31,L20&lt;=$P$31),$R$31,IF(AND(L20&gt;=$O$32,L20&lt;$P$32),$R$32,IF(AND(L20&gt;$O$33,L20&lt;$P$33),$R$33,IF(AND(L20&lt;=$P$34),$R$34,0)))))))))),IF(F20=70,IF(AND(L20&gt;$O$38,L20&lt;$P$38),$R$38,IF(AND(L20&gt;=$O$39,L20&lt;=$P$39),$R$39,IF(AND(L20&gt;=$O$40,L20&lt;=$P$40),$R$40,IF(AND(L20&gt;=$O$41,L20&lt;=$P$41),$R$41,IF(AND(L20&gt;=$O$42,L20&lt;=$P$42),$R$42,IF(AND(L20&gt;=$O$43,L20&lt;=$P$43),$R$43,IF(AND(L20&gt;=$O$44,L20&lt;=$P$44),$R$44,IF(AND(L20&gt;=$O$45,L20&lt;$P$45),$R$45,IF(AND(L20&gt;$O$46,L20&lt;$P$46),$R$46,IF(AND(L20&lt;=$P$47),$R$47,0))))))))))))</f>
        <v>B+</v>
      </c>
      <c r="N20"/>
      <c r="O20" s="22"/>
      <c r="P20"/>
      <c r="Q20"/>
      <c r="R20" s="23"/>
      <c r="S20"/>
    </row>
    <row r="21" spans="1:19" s="12" customFormat="1" ht="16.5" customHeight="1" thickBot="1" x14ac:dyDescent="0.3">
      <c r="B21" s="11">
        <v>2</v>
      </c>
      <c r="C21" s="189" t="s">
        <v>39</v>
      </c>
      <c r="D21" s="189"/>
      <c r="E21" s="189"/>
      <c r="F21" s="209">
        <f>'MP XI AKL'!G8</f>
        <v>60</v>
      </c>
      <c r="G21" s="210"/>
      <c r="H21" s="211">
        <f>VLOOKUP(R9,'L XI AKL'!$B$9:$BI$43,8)</f>
        <v>80</v>
      </c>
      <c r="I21" s="212"/>
      <c r="J21" s="211">
        <f>VLOOKUP(R9,'L XI AKL'!$B$9:$BI$43,9)</f>
        <v>0</v>
      </c>
      <c r="K21" s="212"/>
      <c r="L21" s="14">
        <f t="shared" ref="L21:L24" si="0">IF(J21=0,H21,AVERAGE(H21:K21))</f>
        <v>80</v>
      </c>
      <c r="M21" s="14" t="str">
        <f t="shared" ref="M21:M24" si="1">IF(F21=60,IF(AND(L21&gt;$O$25,L21&lt;$P$25),$R$25,IF(AND(L21&gt;=$O$26,L21&lt;=$P$26),$R$26,IF(AND(L21&gt;=$O$27,L21&lt;=$P$27),$R$27,IF(AND(L21&gt;=$O$28,L21&lt;=$P$28),$R$28,IF(AND(L21&gt;=$O$29,L21&lt;=$P$29),$R$29,IF(AND(L21&gt;=$O$30,L21&lt;=$P$30),$R$30,IF(AND(L21&gt;=$O$31,L21&lt;=$P$31),$R$31,IF(AND(L21&gt;=$O$32,L21&lt;$P$32),$R$32,IF(AND(L21&gt;$O$33,L21&lt;$P$33),$R$33,IF(AND(L21&lt;=$P$34),$R$34,0)))))))))),IF(F21=70,IF(AND(L21&gt;$O$38,L21&lt;$P$38),$R$38,IF(AND(L21&gt;=$O$39,L21&lt;=$P$39),$R$39,IF(AND(L21&gt;=$O$40,L21&lt;=$P$40),$R$40,IF(AND(L21&gt;=$O$41,L21&lt;=$P$41),$R$41,IF(AND(L21&gt;=$O$42,L21&lt;=$P$42),$R$42,IF(AND(L21&gt;=$O$43,L21&lt;=$P$43),$R$43,IF(AND(L21&gt;=$O$44,L21&lt;=$P$44),$R$44,IF(AND(L21&gt;=$O$45,L21&lt;$P$45),$R$45,IF(AND(L21&gt;$O$46,L21&lt;$P$46),$R$46,IF(AND(L21&lt;=$P$47),$R$47,0))))))))))))</f>
        <v>B+</v>
      </c>
      <c r="N21"/>
      <c r="O21" s="25"/>
      <c r="P21" s="26"/>
      <c r="Q21" s="26"/>
      <c r="R21" s="27"/>
      <c r="S21"/>
    </row>
    <row r="22" spans="1:19" s="12" customFormat="1" ht="16.5" thickBot="1" x14ac:dyDescent="0.3">
      <c r="B22" s="11">
        <v>3</v>
      </c>
      <c r="C22" s="189" t="s">
        <v>40</v>
      </c>
      <c r="D22" s="189"/>
      <c r="E22" s="189"/>
      <c r="F22" s="209">
        <f>'MP XI AKL'!G9</f>
        <v>60</v>
      </c>
      <c r="G22" s="210"/>
      <c r="H22" s="211">
        <f>VLOOKUP(R9,'L XI AKL'!$B$9:$BI$43,11)</f>
        <v>70</v>
      </c>
      <c r="I22" s="212"/>
      <c r="J22" s="211">
        <f>VLOOKUP(R9,'L XI AKL'!$B$9:$BI$43,12)</f>
        <v>0</v>
      </c>
      <c r="K22" s="212"/>
      <c r="L22" s="14">
        <f t="shared" si="0"/>
        <v>70</v>
      </c>
      <c r="M22" s="14" t="str">
        <f t="shared" si="1"/>
        <v>B-</v>
      </c>
      <c r="N22"/>
      <c r="O22"/>
      <c r="P22"/>
      <c r="Q22"/>
      <c r="R22"/>
      <c r="S22"/>
    </row>
    <row r="23" spans="1:19" s="12" customFormat="1" ht="15.75" x14ac:dyDescent="0.25">
      <c r="B23" s="11">
        <v>4</v>
      </c>
      <c r="C23" s="187" t="s">
        <v>41</v>
      </c>
      <c r="D23" s="187"/>
      <c r="E23" s="187"/>
      <c r="F23" s="209">
        <f>'MP XI AKL'!G10</f>
        <v>60</v>
      </c>
      <c r="G23" s="210"/>
      <c r="H23" s="211">
        <f>VLOOKUP(R9,'L XI AKL'!$B$9:$BI$43,14)</f>
        <v>65</v>
      </c>
      <c r="I23" s="212"/>
      <c r="J23" s="211">
        <f>VLOOKUP(R9,'L XI AKL'!$B$9:$BI$43,15)</f>
        <v>0</v>
      </c>
      <c r="K23" s="212"/>
      <c r="L23" s="14">
        <f t="shared" si="0"/>
        <v>65</v>
      </c>
      <c r="M23" s="14" t="str">
        <f t="shared" si="1"/>
        <v>C+</v>
      </c>
      <c r="N23"/>
      <c r="O23" s="320" t="s">
        <v>139</v>
      </c>
      <c r="P23" s="323"/>
      <c r="Q23" s="323"/>
      <c r="R23" s="324"/>
      <c r="S23"/>
    </row>
    <row r="24" spans="1:19" s="12" customFormat="1" ht="16.5" thickBot="1" x14ac:dyDescent="0.3">
      <c r="B24" s="11">
        <v>5</v>
      </c>
      <c r="C24" s="187" t="s">
        <v>43</v>
      </c>
      <c r="D24" s="187"/>
      <c r="E24" s="187"/>
      <c r="F24" s="209">
        <f>'MP XI AKL'!G11</f>
        <v>60</v>
      </c>
      <c r="G24" s="210"/>
      <c r="H24" s="211">
        <f>VLOOKUP(R9,'L XI AKL'!$B$9:$BI$43,17)</f>
        <v>50</v>
      </c>
      <c r="I24" s="212"/>
      <c r="J24" s="211">
        <f>VLOOKUP(R9,'L XI AKL'!$B$9:$BI$43,18)</f>
        <v>0</v>
      </c>
      <c r="K24" s="212"/>
      <c r="L24" s="14">
        <f t="shared" si="0"/>
        <v>50</v>
      </c>
      <c r="M24" s="14" t="str">
        <f t="shared" si="1"/>
        <v>D</v>
      </c>
      <c r="N24"/>
      <c r="O24" s="48" t="s">
        <v>141</v>
      </c>
      <c r="P24" s="49" t="s">
        <v>142</v>
      </c>
      <c r="Q24" s="49"/>
      <c r="R24" s="50" t="s">
        <v>138</v>
      </c>
      <c r="S24"/>
    </row>
    <row r="25" spans="1:19" s="12" customFormat="1" ht="15.75" x14ac:dyDescent="0.25">
      <c r="B25" s="188" t="s">
        <v>44</v>
      </c>
      <c r="C25" s="188"/>
      <c r="D25" s="188"/>
      <c r="E25" s="188"/>
      <c r="F25" s="188"/>
      <c r="G25" s="188"/>
      <c r="H25" s="188"/>
      <c r="I25" s="188"/>
      <c r="J25" s="188"/>
      <c r="K25" s="188"/>
      <c r="L25" s="188"/>
      <c r="M25" s="188"/>
      <c r="N25"/>
      <c r="O25" s="40">
        <v>95</v>
      </c>
      <c r="P25" s="41">
        <v>100</v>
      </c>
      <c r="Q25" s="45" t="s">
        <v>6</v>
      </c>
      <c r="R25" s="51" t="s">
        <v>137</v>
      </c>
      <c r="S25"/>
    </row>
    <row r="26" spans="1:19" s="12" customFormat="1" ht="15.75" x14ac:dyDescent="0.25">
      <c r="B26" s="13">
        <v>1</v>
      </c>
      <c r="C26" s="187" t="s">
        <v>45</v>
      </c>
      <c r="D26" s="187"/>
      <c r="E26" s="187"/>
      <c r="F26" s="209">
        <f>'MP XI AKL'!G13</f>
        <v>70</v>
      </c>
      <c r="G26" s="210"/>
      <c r="H26" s="211">
        <f>VLOOKUP(R9,'L XI AKL'!$B$9:$BI$43,20)</f>
        <v>82</v>
      </c>
      <c r="I26" s="212"/>
      <c r="J26" s="211">
        <f>VLOOKUP(R9,'L XI AKL'!$B$9:$BI$43,21)</f>
        <v>0</v>
      </c>
      <c r="K26" s="212"/>
      <c r="L26" s="14">
        <f>IF(J26=0,H26,AVERAGE(H26:K26))</f>
        <v>82</v>
      </c>
      <c r="M26" s="14" t="str">
        <f>IF(F26=60,IF(AND(L26&gt;$O$25,L26&lt;$P$25),$R$25,IF(AND(L26&gt;=$O$26,L26&lt;=$P$26),$R$26,IF(AND(L26&gt;=$O$27,L26&lt;=$P$27),$R$27,IF(AND(L26&gt;=$O$28,L26&lt;=$P$28),$R$28,IF(AND(L26&gt;=$O$29,L26&lt;=$P$29),$R$29,IF(AND(L26&gt;=$O$30,L26&lt;=$P$30),$R$30,IF(AND(L26&gt;=$O$31,L26&lt;=$P$31),$R$31,IF(AND(L26&gt;=$O$32,L26&lt;$P$32),$R$32,IF(AND(L26&gt;$O$33,L26&lt;$P$33),$R$33,IF(AND(L26&lt;=$P$34),$R$34,0)))))))))),IF(F26=70,IF(AND(L26&gt;$O$38,L26&lt;$P$38),$R$38,IF(AND(L26&gt;=$O$39,L26&lt;=$P$39),$R$39,IF(AND(L26&gt;=$O$40,L26&lt;=$P$40),$R$40,IF(AND(L26&gt;=$O$41,L26&lt;=$P$41),$R$41,IF(AND(L26&gt;=$O$42,L26&lt;=$P$42),$R$42,IF(AND(L26&gt;=$O$43,L26&lt;=$P$43),$R$43,IF(AND(L26&gt;=$O$44,L26&lt;=$P$44),$R$44,IF(AND(L26&gt;=$O$45,L26&lt;$P$45),$R$45,IF(AND(L26&gt;$O$46,L26&lt;$P$46),$R$46,IF(AND(L26&lt;=$P$47),$R$47,0))))))))))))</f>
        <v>B</v>
      </c>
      <c r="N26"/>
      <c r="O26" s="42">
        <v>90</v>
      </c>
      <c r="P26" s="110">
        <v>94.99</v>
      </c>
      <c r="Q26" s="47" t="s">
        <v>6</v>
      </c>
      <c r="R26" s="52" t="s">
        <v>136</v>
      </c>
      <c r="S26"/>
    </row>
    <row r="27" spans="1:19" s="12" customFormat="1" ht="15.75" x14ac:dyDescent="0.25">
      <c r="A27" s="12">
        <v>2</v>
      </c>
      <c r="B27" s="13">
        <v>2</v>
      </c>
      <c r="C27" s="187" t="s">
        <v>47</v>
      </c>
      <c r="D27" s="187"/>
      <c r="E27" s="187"/>
      <c r="F27" s="209">
        <f>'MP XI AKL'!G14</f>
        <v>60</v>
      </c>
      <c r="G27" s="210"/>
      <c r="H27" s="211">
        <f>VLOOKUP(R9,'L XI AKL'!$B$9:$BI$43,23)</f>
        <v>87</v>
      </c>
      <c r="I27" s="212"/>
      <c r="J27" s="211">
        <f>VLOOKUP(R9,'L XI AKL'!$B$9:$BI$43,24)</f>
        <v>0</v>
      </c>
      <c r="K27" s="212"/>
      <c r="L27" s="14">
        <f t="shared" ref="L27:L28" si="2">IF(J27=0,H27,AVERAGE(H27:K27))</f>
        <v>87</v>
      </c>
      <c r="M27" s="14" t="str">
        <f>IF(F27=60,IF(AND(L27&gt;$O$25,L27&lt;$P$25),$R$25,IF(AND(L27&gt;=$O$26,L27&lt;=$P$26),$R$26,IF(AND(L27&gt;=$O$27,L27&lt;=$P$27),$R$27,IF(AND(L27&gt;=$O$28,L27&lt;=$P$28),$R$28,IF(AND(L27&gt;=$O$29,L27&lt;=$P$29),$R$29,IF(AND(L27&gt;=$O$30,L27&lt;=$P$30),$R$30,IF(AND(L27&gt;=$O$31,L27&lt;=$P$31),$R$31,IF(AND(L27&gt;=$O$32,L27&lt;$P$32),$R$32,IF(AND(L27&gt;$O$33,L27&lt;$P$33),$R$33,IF(AND(L27&lt;=$P$34),$R$34,0)))))))))),IF(F27=70,IF(AND(L27&gt;$O$38,L27&lt;$P$38),$R$38,IF(AND(L27&gt;=$O$39,L27&lt;=$P$39),$R$39,IF(AND(L27&gt;=$O$40,L27&lt;=$P$40),$R$40,IF(AND(L27&gt;=$O$41,L27&lt;=$P$41),$R$41,IF(AND(L27&gt;=$O$42,L27&lt;=$P$42),$R$42,IF(AND(L27&gt;=$O$43,L27&lt;=$P$43),$R$43,IF(AND(L27&gt;=$O$44,L27&lt;=$P$44),$R$44,IF(AND(L27&gt;=$O$45,L27&lt;$P$45),$R$45,IF(AND(L27&gt;$O$46,L27&lt;$P$46),$R$46,IF(AND(L27&lt;=$P$47),$R$47,0))))))))))))</f>
        <v>A-</v>
      </c>
      <c r="N27"/>
      <c r="O27" s="42">
        <v>85</v>
      </c>
      <c r="P27" s="110">
        <v>89.99</v>
      </c>
      <c r="Q27" s="47" t="s">
        <v>6</v>
      </c>
      <c r="R27" s="52" t="s">
        <v>135</v>
      </c>
      <c r="S27"/>
    </row>
    <row r="28" spans="1:19" s="12" customFormat="1" ht="15.75" x14ac:dyDescent="0.25">
      <c r="B28" s="13">
        <v>3</v>
      </c>
      <c r="C28" s="187" t="s">
        <v>48</v>
      </c>
      <c r="D28" s="187"/>
      <c r="E28" s="187"/>
      <c r="F28" s="209">
        <f>'MP XI AKL'!G15</f>
        <v>60</v>
      </c>
      <c r="G28" s="210"/>
      <c r="H28" s="211">
        <f>VLOOKUP(R9,'L XI AKL'!$B$9:$BI$43,26)</f>
        <v>78</v>
      </c>
      <c r="I28" s="212"/>
      <c r="J28" s="211">
        <f>VLOOKUP(R9,'L XI AKL'!$B$9:$BI$43,27)</f>
        <v>0</v>
      </c>
      <c r="K28" s="212"/>
      <c r="L28" s="14">
        <f t="shared" si="2"/>
        <v>78</v>
      </c>
      <c r="M28" s="14" t="str">
        <f>IF(F28=60,IF(AND(L28&gt;$O$25,L28&lt;$P$25),$R$25,IF(AND(L28&gt;=$O$26,L28&lt;=$P$26),$R$26,IF(AND(L28&gt;=$O$27,L28&lt;=$P$27),$R$27,IF(AND(L28&gt;=$O$28,L28&lt;=$P$28),$R$28,IF(AND(L28&gt;=$O$29,L28&lt;=$P$29),$R$29,IF(AND(L28&gt;=$O$30,L28&lt;=$P$30),$R$30,IF(AND(L28&gt;=$O$31,L28&lt;=$P$31),$R$31,IF(AND(L28&gt;=$O$32,L28&lt;$P$32),$R$32,IF(AND(L28&gt;$O$33,L28&lt;$P$33),$R$33,IF(AND(L28&lt;=$P$34),$R$34,0)))))))))),IF(F28=70,IF(AND(L28&gt;$O$38,L28&lt;$P$38),$R$38,IF(AND(L28&gt;=$O$39,L28&lt;=$P$39),$R$39,IF(AND(L28&gt;=$O$40,L28&lt;=$P$40),$R$40,IF(AND(L28&gt;=$O$41,L28&lt;=$P$41),$R$41,IF(AND(L28&gt;=$O$42,L28&lt;=$P$42),$R$42,IF(AND(L28&gt;=$O$43,L28&lt;=$P$43),$R$43,IF(AND(L28&gt;=$O$44,L28&lt;=$P$44),$R$44,IF(AND(L28&gt;=$O$45,L28&lt;$P$45),$R$45,IF(AND(L28&gt;$O$46,L28&lt;$P$46),$R$46,IF(AND(L28&lt;=$P$47),$R$47,0))))))))))))</f>
        <v>B</v>
      </c>
      <c r="N28"/>
      <c r="O28" s="42">
        <v>80</v>
      </c>
      <c r="P28" s="110">
        <v>84.99</v>
      </c>
      <c r="Q28" s="47" t="s">
        <v>6</v>
      </c>
      <c r="R28" s="52" t="s">
        <v>134</v>
      </c>
      <c r="S28"/>
    </row>
    <row r="29" spans="1:19" s="12" customFormat="1" ht="15.75" x14ac:dyDescent="0.25">
      <c r="B29" s="188" t="s">
        <v>49</v>
      </c>
      <c r="C29" s="188"/>
      <c r="D29" s="188"/>
      <c r="E29" s="188"/>
      <c r="F29" s="188"/>
      <c r="G29" s="188"/>
      <c r="H29" s="188"/>
      <c r="I29" s="188"/>
      <c r="J29" s="188"/>
      <c r="K29" s="188"/>
      <c r="L29" s="188"/>
      <c r="M29" s="188"/>
      <c r="N29"/>
      <c r="O29" s="42">
        <v>75</v>
      </c>
      <c r="P29" s="110">
        <v>79.989999999999995</v>
      </c>
      <c r="Q29" s="47" t="s">
        <v>6</v>
      </c>
      <c r="R29" s="52" t="s">
        <v>118</v>
      </c>
      <c r="S29"/>
    </row>
    <row r="30" spans="1:19" s="12" customFormat="1" ht="15.75" x14ac:dyDescent="0.25">
      <c r="B30" s="188" t="s">
        <v>78</v>
      </c>
      <c r="C30" s="188"/>
      <c r="D30" s="188"/>
      <c r="E30" s="188"/>
      <c r="F30" s="188"/>
      <c r="G30" s="188"/>
      <c r="H30" s="188"/>
      <c r="I30" s="188"/>
      <c r="J30" s="188"/>
      <c r="K30" s="188"/>
      <c r="L30" s="188"/>
      <c r="M30" s="188"/>
      <c r="N30"/>
      <c r="O30" s="42">
        <v>70</v>
      </c>
      <c r="P30" s="110">
        <v>74.989999999999995</v>
      </c>
      <c r="Q30" s="47" t="s">
        <v>6</v>
      </c>
      <c r="R30" s="52" t="s">
        <v>133</v>
      </c>
      <c r="S30"/>
    </row>
    <row r="31" spans="1:19" s="12" customFormat="1" ht="15.75" customHeight="1" x14ac:dyDescent="0.25">
      <c r="B31" s="13">
        <v>1</v>
      </c>
      <c r="C31" s="187" t="s">
        <v>79</v>
      </c>
      <c r="D31" s="187"/>
      <c r="E31" s="187"/>
      <c r="F31" s="209">
        <f>'MP XI AKL'!G18</f>
        <v>70</v>
      </c>
      <c r="G31" s="210"/>
      <c r="H31" s="211">
        <f>VLOOKUP(R9,'L XI AKL'!$B$9:$BI$43,29)</f>
        <v>82</v>
      </c>
      <c r="I31" s="212"/>
      <c r="J31" s="211">
        <f>VLOOKUP(R9,'L XI AKL'!$B$9:$BI$43,30)</f>
        <v>0</v>
      </c>
      <c r="K31" s="212"/>
      <c r="L31" s="14">
        <f>IF(J31=0,H31,AVERAGE(H31:K31))</f>
        <v>82</v>
      </c>
      <c r="M31" s="14" t="str">
        <f>IF(F31=60,IF(AND(L31&gt;$O$25,L31&lt;$P$25),$R$25,IF(AND(L31&gt;=$O$26,L31&lt;=$P$26),$R$26,IF(AND(L31&gt;=$O$27,L31&lt;=$P$27),$R$27,IF(AND(L31&gt;=$O$28,L31&lt;=$P$28),$R$28,IF(AND(L31&gt;=$O$29,L31&lt;=$P$29),$R$29,IF(AND(L31&gt;=$O$30,L31&lt;=$P$30),$R$30,IF(AND(L31&gt;=$O$31,L31&lt;=$P$31),$R$31,IF(AND(L31&gt;=$O$32,L31&lt;$P$32),$R$32,IF(AND(L31&gt;$O$33,L31&lt;$P$33),$R$33,IF(AND(L31&lt;=$P$34),$R$34,0)))))))))),IF(F31=70,IF(AND(L31&gt;$O$38,L31&lt;$P$38),$R$38,IF(AND(L31&gt;=$O$39,L31&lt;=$P$39),$R$39,IF(AND(L31&gt;=$O$40,L31&lt;=$P$40),$R$40,IF(AND(L31&gt;=$O$41,L31&lt;=$P$41),$R$41,IF(AND(L31&gt;=$O$42,L31&lt;=$P$42),$R$42,IF(AND(L31&gt;=$O$43,L31&lt;=$P$43),$R$43,IF(AND(L31&gt;=$O$44,L31&lt;=$P$44),$R$44,IF(AND(L31&gt;=$O$45,L31&lt;$P$45),$R$45,IF(AND(L31&gt;$O$46,L31&lt;$P$46),$R$46,IF(AND(L31&lt;=$P$47),$R$47,0))))))))))))</f>
        <v>B</v>
      </c>
      <c r="N31"/>
      <c r="O31" s="42">
        <v>65</v>
      </c>
      <c r="P31" s="110">
        <v>69.989999999999995</v>
      </c>
      <c r="Q31" s="47" t="s">
        <v>6</v>
      </c>
      <c r="R31" s="52" t="s">
        <v>132</v>
      </c>
      <c r="S31"/>
    </row>
    <row r="32" spans="1:19" s="12" customFormat="1" ht="15.75" x14ac:dyDescent="0.25">
      <c r="B32" s="13">
        <v>2</v>
      </c>
      <c r="C32" s="183" t="s">
        <v>80</v>
      </c>
      <c r="D32" s="183"/>
      <c r="E32" s="183"/>
      <c r="F32" s="209">
        <f>'MP XI AKL'!G19</f>
        <v>70</v>
      </c>
      <c r="G32" s="210"/>
      <c r="H32" s="211">
        <f>VLOOKUP(R9,'L XI AKL'!$B$9:$BI$43,32)</f>
        <v>86</v>
      </c>
      <c r="I32" s="212"/>
      <c r="J32" s="211">
        <f>VLOOKUP(R9,'L XI AKL'!$B$9:$BI$43,33)</f>
        <v>0</v>
      </c>
      <c r="K32" s="212"/>
      <c r="L32" s="14">
        <f t="shared" ref="L32:L36" si="3">IF(J32=0,H32,AVERAGE(H32:K32))</f>
        <v>86</v>
      </c>
      <c r="M32" s="14" t="str">
        <f t="shared" ref="M32:M35" si="4">IF(F32=60,IF(AND(L32&gt;$O$25,L32&lt;$P$25),$R$25,IF(AND(L32&gt;=$O$26,L32&lt;=$P$26),$R$26,IF(AND(L32&gt;=$O$27,L32&lt;=$P$27),$R$27,IF(AND(L32&gt;=$O$28,L32&lt;=$P$28),$R$28,IF(AND(L32&gt;=$O$29,L32&lt;=$P$29),$R$29,IF(AND(L32&gt;=$O$30,L32&lt;=$P$30),$R$30,IF(AND(L32&gt;=$O$31,L32&lt;=$P$31),$R$31,IF(AND(L32&gt;=$O$32,L32&lt;$P$32),$R$32,IF(AND(L32&gt;$O$33,L32&lt;$P$33),$R$33,IF(AND(L32&lt;=$P$34),$R$34,0)))))))))),IF(F32=70,IF(AND(L32&gt;$O$38,L32&lt;$P$38),$R$38,IF(AND(L32&gt;=$O$39,L32&lt;=$P$39),$R$39,IF(AND(L32&gt;=$O$40,L32&lt;=$P$40),$R$40,IF(AND(L32&gt;=$O$41,L32&lt;=$P$41),$R$41,IF(AND(L32&gt;=$O$42,L32&lt;=$P$42),$R$42,IF(AND(L32&gt;=$O$43,L32&lt;=$P$43),$R$43,IF(AND(L32&gt;=$O$44,L32&lt;=$P$44),$R$44,IF(AND(L32&gt;=$O$45,L32&lt;$P$45),$R$45,IF(AND(L32&gt;$O$46,L32&lt;$P$46),$R$46,IF(AND(L32&lt;=$P$47),$R$47,0))))))))))))</f>
        <v>B+</v>
      </c>
      <c r="N32"/>
      <c r="O32" s="42">
        <v>60</v>
      </c>
      <c r="P32" s="110">
        <v>64.989999999999995</v>
      </c>
      <c r="Q32" s="47" t="s">
        <v>6</v>
      </c>
      <c r="R32" s="52" t="s">
        <v>131</v>
      </c>
      <c r="S32"/>
    </row>
    <row r="33" spans="2:18" ht="15.75" x14ac:dyDescent="0.25">
      <c r="B33" s="13">
        <v>3</v>
      </c>
      <c r="C33" s="183" t="s">
        <v>65</v>
      </c>
      <c r="D33" s="183"/>
      <c r="E33" s="183"/>
      <c r="F33" s="209">
        <f>'MP XI AKL'!G20</f>
        <v>70</v>
      </c>
      <c r="G33" s="210"/>
      <c r="H33" s="211">
        <f>VLOOKUP(R9,'L XI AKL'!$B$9:$BI$43,35)</f>
        <v>80</v>
      </c>
      <c r="I33" s="212"/>
      <c r="J33" s="211">
        <f>VLOOKUP(R9,'L XI AKL'!$B$9:$BI$43,36)</f>
        <v>0</v>
      </c>
      <c r="K33" s="212"/>
      <c r="L33" s="14">
        <f t="shared" si="3"/>
        <v>80</v>
      </c>
      <c r="M33" s="14" t="str">
        <f>IF(F33=60,IF(AND(L33&gt;$O$25,L33&lt;$P$25),$R$25,IF(AND(L33&gt;=$O$26,L33&lt;=$P$26),$R$26,IF(AND(L33&gt;=$O$27,L33&lt;=$P$27),$R$27,IF(AND(L33&gt;=$O$28,L33&lt;=$P$28),$R$28,IF(AND(L33&gt;=$O$29,L33&lt;=$P$29),$R$29,IF(AND(L33&gt;=$O$30,L33&lt;=$P$30),$R$30,IF(AND(L33&gt;=$O$31,L33&lt;=$P$31),$R$31,IF(AND(L33&gt;=$O$32,L33&lt;$P$32),$R$32,IF(AND(L33&gt;$O$33,L33&lt;$P$33),$R$33,IF(AND(L33&lt;=$P$34),$R$34,0)))))))))),IF(F33=70,IF(AND(L33&gt;$O$38,L33&lt;$P$38),$R$38,IF(AND(L33&gt;=$O$39,L33&lt;=$P$39),$R$39,IF(AND(L33&gt;=$O$40,L33&lt;=$P$40),$R$40,IF(AND(L33&gt;=$O$41,L33&lt;=$P$41),$R$41,IF(AND(L33&gt;=$O$42,L33&lt;=$P$42),$R$42,IF(AND(L33&gt;=$O$43,L33&lt;=$P$43),$R$43,IF(AND(L33&gt;=$O$44,L33&lt;=$P$44),$R$44,IF(AND(L33&gt;=$O$45,L33&lt;$P$45),$R$45,IF(AND(L33&gt;$O$46,L33&lt;$P$46),$R$46,IF(AND(L33&lt;=$P$47),$R$47,0))))))))))))</f>
        <v>B-</v>
      </c>
      <c r="O33" s="42">
        <v>55</v>
      </c>
      <c r="P33" s="110">
        <v>59.99</v>
      </c>
      <c r="Q33" s="47" t="s">
        <v>6</v>
      </c>
      <c r="R33" s="52" t="s">
        <v>130</v>
      </c>
    </row>
    <row r="34" spans="2:18" ht="16.5" thickBot="1" x14ac:dyDescent="0.3">
      <c r="B34" s="13">
        <v>4</v>
      </c>
      <c r="C34" s="187" t="s">
        <v>81</v>
      </c>
      <c r="D34" s="187"/>
      <c r="E34" s="187"/>
      <c r="F34" s="209">
        <f>'MP XI AKL'!G21</f>
        <v>70</v>
      </c>
      <c r="G34" s="210"/>
      <c r="H34" s="211">
        <f>VLOOKUP(R9,'L XI AKL'!$B$9:$BI$43,38)</f>
        <v>80</v>
      </c>
      <c r="I34" s="212"/>
      <c r="J34" s="211">
        <f>VLOOKUP(R9,'L XI AKL'!$B$9:$BI$43,39)</f>
        <v>0</v>
      </c>
      <c r="K34" s="212"/>
      <c r="L34" s="14">
        <f t="shared" si="3"/>
        <v>80</v>
      </c>
      <c r="M34" s="14" t="str">
        <f>IF(F34=60,IF(AND(L34&gt;$O$25,L34&lt;$P$25),$R$25,IF(AND(L34&gt;=$O$26,L34&lt;=$P$26),$R$26,IF(AND(L34&gt;=$O$27,L34&lt;=$P$27),$R$27,IF(AND(L34&gt;=$O$28,L34&lt;=$P$28),$R$28,IF(AND(L34&gt;=$O$29,L34&lt;=$P$29),$R$29,IF(AND(L34&gt;=$O$30,L34&lt;=$P$30),$R$30,IF(AND(L34&gt;=$O$31,L34&lt;=$P$31),$R$31,IF(AND(L34&gt;=$O$32,L34&lt;$P$32),$R$32,IF(AND(L34&gt;$O$33,L34&lt;$P$33),$R$33,IF(AND(L34&lt;=$P$34),$R$34,0)))))))))),IF(F34=70,IF(AND(L34&gt;$O$38,L34&lt;$P$38),$R$38,IF(AND(L34&gt;=$O$39,L34&lt;=$P$39),$R$39,IF(AND(L34&gt;=$O$40,L34&lt;=$P$40),$R$40,IF(AND(L34&gt;=$O$41,L34&lt;=$P$41),$R$41,IF(AND(L34&gt;=$O$42,L34&lt;=$P$42),$R$42,IF(AND(L34&gt;=$O$43,L34&lt;=$P$43),$R$43,IF(AND(L34&gt;=$O$44,L34&lt;=$P$44),$R$44,IF(AND(L34&gt;=$O$45,L34&lt;$P$45),$R$45,IF(AND(L34&gt;$O$46,L34&lt;$P$46),$R$46,IF(AND(L34&lt;=$P$47),$R$47,0))))))))))))</f>
        <v>B-</v>
      </c>
      <c r="O34" s="43">
        <v>50</v>
      </c>
      <c r="P34" s="111">
        <v>54.99</v>
      </c>
      <c r="Q34" s="49" t="s">
        <v>6</v>
      </c>
      <c r="R34" s="50" t="s">
        <v>129</v>
      </c>
    </row>
    <row r="35" spans="2:18" ht="16.5" thickBot="1" x14ac:dyDescent="0.3">
      <c r="B35" s="13">
        <v>5</v>
      </c>
      <c r="C35" s="183" t="s">
        <v>82</v>
      </c>
      <c r="D35" s="183"/>
      <c r="E35" s="183"/>
      <c r="F35" s="209">
        <f>'MP XI AKL'!G22</f>
        <v>70</v>
      </c>
      <c r="G35" s="210"/>
      <c r="H35" s="211">
        <f>VLOOKUP(R9,'L XI AKL'!$B$9:$BI$43,41)</f>
        <v>72</v>
      </c>
      <c r="I35" s="212"/>
      <c r="J35" s="211">
        <f>VLOOKUP(R9,'L XI AKL'!$B$9:$BI$43,42)</f>
        <v>0</v>
      </c>
      <c r="K35" s="212"/>
      <c r="L35" s="14">
        <f t="shared" si="3"/>
        <v>72</v>
      </c>
      <c r="M35" s="14" t="str">
        <f t="shared" si="4"/>
        <v>C</v>
      </c>
      <c r="O35" s="20"/>
      <c r="P35" s="20"/>
      <c r="Q35" s="20"/>
      <c r="R35" s="20"/>
    </row>
    <row r="36" spans="2:18" ht="15.75" x14ac:dyDescent="0.25">
      <c r="B36" s="13">
        <v>6</v>
      </c>
      <c r="C36" s="183" t="s">
        <v>83</v>
      </c>
      <c r="D36" s="183"/>
      <c r="E36" s="183"/>
      <c r="F36" s="209">
        <f>'MP XI AKL'!G23</f>
        <v>70</v>
      </c>
      <c r="G36" s="210"/>
      <c r="H36" s="211">
        <f>VLOOKUP(R9,'L XI AKL'!$B$9:$BI$43,44)</f>
        <v>64</v>
      </c>
      <c r="I36" s="212"/>
      <c r="J36" s="211">
        <f>VLOOKUP(R9,'L XI AKL'!$B$9:$BI$43,45)</f>
        <v>0</v>
      </c>
      <c r="K36" s="212"/>
      <c r="L36" s="14">
        <f t="shared" si="3"/>
        <v>64</v>
      </c>
      <c r="M36" s="14" t="str">
        <f>IF(F36=60,IF(AND(L36&gt;$O$25,L36&lt;$P$25),$R$25,IF(AND(L36&gt;=$O$26,L36&lt;=$P$26),$R$26,IF(AND(L36&gt;=$O$27,L36&lt;=$P$27),$R$27,IF(AND(L36&gt;=$O$28,L36&lt;=$P$28),$R$28,IF(AND(L36&gt;=$O$29,L36&lt;=$P$29),$R$29,IF(AND(L36&gt;=$O$30,L36&lt;=$P$30),$R$30,IF(AND(L36&gt;=$O$31,L36&lt;=$P$31),$R$31,IF(AND(L36&gt;=$O$32,L36&lt;$P$32),$R$32,IF(AND(L36&gt;$O$33,L36&lt;$P$33),$R$33,IF(AND(L36&lt;=$P$34),$R$34,0)))))))))),IF(F36=70,IF(AND(L36&gt;$O$38,L36&lt;$P$38),$R$38,IF(AND(L36&gt;=$O$39,L36&lt;=$P$39),$R$39,IF(AND(L36&gt;=$O$40,L36&lt;=$P$40),$R$40,IF(AND(L36&gt;=$O$41,L36&lt;=$P$41),$R$41,IF(AND(L36&gt;=$O$42,L36&lt;=$P$42),$R$42,IF(AND(L36&gt;=$O$43,L36&lt;=$P$43),$R$43,IF(AND(L36&gt;=$O$44,L36&lt;=$P$44),$R$44,IF(AND(L36&gt;=$O$45,L36&lt;$P$45),$R$45,IF(AND(L36&gt;$O$46,L36&lt;$P$46),$R$46,IF(AND(L36&lt;=$P$47),$R$47,0))))))))))))</f>
        <v>D</v>
      </c>
      <c r="O36" s="320" t="s">
        <v>140</v>
      </c>
      <c r="P36" s="321"/>
      <c r="Q36" s="321"/>
      <c r="R36" s="322"/>
    </row>
    <row r="37" spans="2:18" ht="16.5" thickBot="1" x14ac:dyDescent="0.3">
      <c r="B37" s="213" t="s">
        <v>60</v>
      </c>
      <c r="C37" s="214"/>
      <c r="D37" s="214"/>
      <c r="E37" s="214"/>
      <c r="F37" s="214"/>
      <c r="G37" s="215"/>
      <c r="H37" s="216">
        <f>VLOOKUP(R9,'L XI AKL'!$B$9:$BI$43,59)</f>
        <v>2112</v>
      </c>
      <c r="I37" s="216"/>
      <c r="J37" s="216"/>
      <c r="K37" s="216"/>
      <c r="L37" s="216"/>
      <c r="M37" s="216"/>
      <c r="O37" s="48" t="s">
        <v>141</v>
      </c>
      <c r="P37" s="49" t="s">
        <v>142</v>
      </c>
      <c r="Q37" s="49"/>
      <c r="R37" s="50" t="s">
        <v>138</v>
      </c>
    </row>
    <row r="38" spans="2:18" ht="15.75" x14ac:dyDescent="0.25">
      <c r="B38" s="205" t="s">
        <v>61</v>
      </c>
      <c r="C38" s="206"/>
      <c r="D38" s="206"/>
      <c r="E38" s="206"/>
      <c r="F38" s="206"/>
      <c r="G38" s="207"/>
      <c r="H38" s="208">
        <f>VLOOKUP(R9,'L XI AKL'!$B$9:$BI$43,60)</f>
        <v>19</v>
      </c>
      <c r="I38" s="208"/>
      <c r="J38" s="208"/>
      <c r="K38" s="208"/>
      <c r="L38" s="208"/>
      <c r="M38" s="208"/>
      <c r="O38" s="44">
        <v>98</v>
      </c>
      <c r="P38" s="45">
        <v>100</v>
      </c>
      <c r="Q38" s="45" t="s">
        <v>6</v>
      </c>
      <c r="R38" s="51" t="s">
        <v>137</v>
      </c>
    </row>
    <row r="39" spans="2:18" ht="15.75" x14ac:dyDescent="0.25">
      <c r="B39" s="1"/>
      <c r="C39" s="1"/>
      <c r="D39" s="1"/>
      <c r="E39" s="1"/>
      <c r="F39" s="1"/>
      <c r="G39" s="1"/>
      <c r="H39" s="1"/>
      <c r="I39" s="1"/>
      <c r="J39" s="1"/>
      <c r="K39" s="1"/>
      <c r="L39" s="1"/>
      <c r="M39" s="1"/>
      <c r="O39" s="46">
        <v>94</v>
      </c>
      <c r="P39" s="47">
        <v>97.99</v>
      </c>
      <c r="Q39" s="47" t="s">
        <v>6</v>
      </c>
      <c r="R39" s="52" t="s">
        <v>136</v>
      </c>
    </row>
    <row r="40" spans="2:18" ht="15.75" x14ac:dyDescent="0.25">
      <c r="B40" s="1"/>
      <c r="C40" s="1"/>
      <c r="D40" s="1"/>
      <c r="E40" s="1"/>
      <c r="F40" s="1"/>
      <c r="G40" s="1"/>
      <c r="H40" s="203" t="str">
        <f>ID!G11</f>
        <v>31 MARET 2023</v>
      </c>
      <c r="I40" s="203"/>
      <c r="J40" s="203"/>
      <c r="K40" s="203"/>
      <c r="L40" s="203"/>
      <c r="M40" s="203"/>
      <c r="O40" s="46">
        <v>90</v>
      </c>
      <c r="P40" s="47">
        <v>93.99</v>
      </c>
      <c r="Q40" s="47" t="s">
        <v>6</v>
      </c>
      <c r="R40" s="52" t="s">
        <v>135</v>
      </c>
    </row>
    <row r="41" spans="2:18" ht="15.75" x14ac:dyDescent="0.25">
      <c r="B41" s="203" t="s">
        <v>67</v>
      </c>
      <c r="C41" s="203"/>
      <c r="D41" s="203"/>
      <c r="E41" s="203"/>
      <c r="F41" s="1"/>
      <c r="G41" s="1"/>
      <c r="H41" s="1"/>
      <c r="I41" s="1"/>
      <c r="J41" s="1"/>
      <c r="K41" s="1"/>
      <c r="L41" s="1"/>
      <c r="M41" s="1"/>
      <c r="O41" s="46">
        <v>86</v>
      </c>
      <c r="P41" s="47">
        <v>89.99</v>
      </c>
      <c r="Q41" s="47" t="s">
        <v>6</v>
      </c>
      <c r="R41" s="52" t="s">
        <v>134</v>
      </c>
    </row>
    <row r="42" spans="2:18" ht="15.75" x14ac:dyDescent="0.25">
      <c r="B42" s="203" t="str">
        <f>"Kepala " &amp; ID!G5</f>
        <v>Kepala SMK Pancasila 8 Slogohimo</v>
      </c>
      <c r="C42" s="203"/>
      <c r="D42" s="203"/>
      <c r="E42" s="203"/>
      <c r="F42" s="1"/>
      <c r="G42" s="1"/>
      <c r="H42" s="203" t="s">
        <v>62</v>
      </c>
      <c r="I42" s="203"/>
      <c r="J42" s="203"/>
      <c r="K42" s="203"/>
      <c r="L42" s="203"/>
      <c r="M42" s="203"/>
      <c r="O42" s="46">
        <v>82</v>
      </c>
      <c r="P42" s="47">
        <v>85.99</v>
      </c>
      <c r="Q42" s="47" t="s">
        <v>6</v>
      </c>
      <c r="R42" s="52" t="s">
        <v>118</v>
      </c>
    </row>
    <row r="43" spans="2:18" ht="15.75" x14ac:dyDescent="0.25">
      <c r="B43" s="1"/>
      <c r="C43" s="1"/>
      <c r="D43" s="1"/>
      <c r="E43" s="1"/>
      <c r="F43" s="1"/>
      <c r="G43" s="1"/>
      <c r="H43" s="203"/>
      <c r="I43" s="203"/>
      <c r="J43" s="203"/>
      <c r="K43" s="203"/>
      <c r="L43" s="203"/>
      <c r="M43" s="203"/>
      <c r="O43" s="46">
        <v>78</v>
      </c>
      <c r="P43" s="47">
        <v>81.99</v>
      </c>
      <c r="Q43" s="47" t="s">
        <v>6</v>
      </c>
      <c r="R43" s="52" t="s">
        <v>133</v>
      </c>
    </row>
    <row r="44" spans="2:18" ht="15.75" x14ac:dyDescent="0.25">
      <c r="B44" s="1"/>
      <c r="C44" s="1"/>
      <c r="D44" s="1"/>
      <c r="E44" s="1"/>
      <c r="F44" s="1"/>
      <c r="G44" s="1"/>
      <c r="H44" s="203"/>
      <c r="I44" s="203"/>
      <c r="J44" s="203"/>
      <c r="K44" s="203"/>
      <c r="L44" s="203"/>
      <c r="M44" s="203"/>
      <c r="O44" s="46">
        <v>74</v>
      </c>
      <c r="P44" s="47">
        <v>77.989999999999995</v>
      </c>
      <c r="Q44" s="47" t="s">
        <v>6</v>
      </c>
      <c r="R44" s="52" t="s">
        <v>132</v>
      </c>
    </row>
    <row r="45" spans="2:18" ht="15.75" x14ac:dyDescent="0.25">
      <c r="B45" s="1"/>
      <c r="C45" s="1"/>
      <c r="D45" s="1"/>
      <c r="E45" s="1"/>
      <c r="F45" s="1"/>
      <c r="G45" s="1"/>
      <c r="H45" s="203"/>
      <c r="I45" s="203"/>
      <c r="J45" s="203"/>
      <c r="K45" s="203"/>
      <c r="L45" s="203"/>
      <c r="M45" s="203"/>
      <c r="O45" s="46">
        <v>70</v>
      </c>
      <c r="P45" s="47">
        <v>73.989999999999995</v>
      </c>
      <c r="Q45" s="47" t="s">
        <v>6</v>
      </c>
      <c r="R45" s="52" t="s">
        <v>131</v>
      </c>
    </row>
    <row r="46" spans="2:18" ht="15.75" x14ac:dyDescent="0.25">
      <c r="B46" s="204" t="str">
        <f>ID!G6</f>
        <v>Sri Rahayu, S.Pd., SE.</v>
      </c>
      <c r="C46" s="204"/>
      <c r="D46" s="204"/>
      <c r="E46" s="204"/>
      <c r="F46" s="1"/>
      <c r="G46" s="1"/>
      <c r="H46" s="204" t="str">
        <f>ID!G10</f>
        <v>SURADI S.Pd.</v>
      </c>
      <c r="I46" s="204"/>
      <c r="J46" s="204"/>
      <c r="K46" s="204"/>
      <c r="L46" s="204"/>
      <c r="M46" s="204"/>
      <c r="O46" s="46">
        <v>65</v>
      </c>
      <c r="P46" s="47">
        <v>69.989999999999995</v>
      </c>
      <c r="Q46" s="47" t="s">
        <v>6</v>
      </c>
      <c r="R46" s="52" t="s">
        <v>130</v>
      </c>
    </row>
    <row r="47" spans="2:18" ht="16.5" thickBot="1" x14ac:dyDescent="0.3">
      <c r="B47" s="4"/>
      <c r="C47" s="4"/>
      <c r="D47" s="4"/>
      <c r="E47" s="4"/>
      <c r="F47" s="1"/>
      <c r="G47" s="1"/>
      <c r="H47" s="4"/>
      <c r="I47" s="4"/>
      <c r="J47" s="4"/>
      <c r="K47" s="4"/>
      <c r="L47" s="4"/>
      <c r="M47" s="4"/>
      <c r="O47" s="48">
        <v>60</v>
      </c>
      <c r="P47" s="49">
        <v>64.989999999999995</v>
      </c>
      <c r="Q47" s="49" t="s">
        <v>6</v>
      </c>
      <c r="R47" s="50" t="s">
        <v>129</v>
      </c>
    </row>
    <row r="48" spans="2:18" ht="15.75" x14ac:dyDescent="0.25">
      <c r="B48" s="4"/>
      <c r="C48" s="4"/>
      <c r="D48" s="4"/>
      <c r="E48" s="4"/>
      <c r="F48" s="1"/>
      <c r="G48" s="1"/>
      <c r="H48" s="4"/>
      <c r="I48" s="4"/>
      <c r="J48" s="4"/>
      <c r="K48" s="4"/>
      <c r="L48" s="4"/>
      <c r="M48" s="4"/>
    </row>
    <row r="49" spans="2:19" s="12" customFormat="1" ht="7.5" customHeight="1" x14ac:dyDescent="0.25">
      <c r="S49"/>
    </row>
    <row r="50" spans="2:19" s="12" customFormat="1" ht="0" hidden="1" customHeight="1" x14ac:dyDescent="0.25">
      <c r="B50"/>
      <c r="C50"/>
      <c r="D50"/>
      <c r="E50"/>
      <c r="F50"/>
      <c r="G50"/>
      <c r="H50"/>
      <c r="I50"/>
      <c r="J50"/>
      <c r="K50"/>
      <c r="L50"/>
      <c r="M50"/>
      <c r="N50"/>
      <c r="O50"/>
      <c r="P50"/>
      <c r="Q50"/>
      <c r="R50"/>
      <c r="S50"/>
    </row>
    <row r="51" spans="2:19" s="12" customFormat="1" ht="0" hidden="1" customHeight="1" x14ac:dyDescent="0.25">
      <c r="B51"/>
      <c r="C51"/>
      <c r="D51"/>
      <c r="E51"/>
      <c r="F51"/>
      <c r="G51"/>
      <c r="H51"/>
      <c r="I51"/>
      <c r="J51"/>
      <c r="K51"/>
      <c r="L51"/>
      <c r="M51"/>
      <c r="N51"/>
      <c r="O51"/>
      <c r="P51"/>
      <c r="Q51"/>
      <c r="R51"/>
      <c r="S51"/>
    </row>
    <row r="52" spans="2:19" s="12" customFormat="1" ht="0" hidden="1" customHeight="1" x14ac:dyDescent="0.25">
      <c r="B52"/>
      <c r="C52"/>
      <c r="D52"/>
      <c r="E52"/>
      <c r="F52"/>
      <c r="G52"/>
      <c r="H52"/>
      <c r="I52"/>
      <c r="J52"/>
      <c r="K52"/>
      <c r="L52"/>
      <c r="M52"/>
      <c r="N52"/>
      <c r="O52"/>
      <c r="P52"/>
      <c r="Q52"/>
      <c r="R52"/>
      <c r="S52"/>
    </row>
    <row r="53" spans="2:19" s="12" customFormat="1" ht="0" hidden="1" customHeight="1" x14ac:dyDescent="0.25">
      <c r="B53"/>
      <c r="C53"/>
      <c r="D53"/>
      <c r="E53"/>
      <c r="F53"/>
      <c r="G53"/>
      <c r="H53"/>
      <c r="I53"/>
      <c r="J53"/>
      <c r="K53"/>
      <c r="L53"/>
      <c r="M53"/>
      <c r="N53"/>
      <c r="O53"/>
      <c r="P53"/>
      <c r="Q53"/>
      <c r="R53"/>
      <c r="S53"/>
    </row>
    <row r="54" spans="2:19" s="12" customFormat="1" ht="0" hidden="1" customHeight="1" x14ac:dyDescent="0.25">
      <c r="B54"/>
      <c r="C54"/>
      <c r="D54"/>
      <c r="E54"/>
      <c r="F54"/>
      <c r="G54"/>
      <c r="H54"/>
      <c r="I54"/>
      <c r="J54"/>
      <c r="K54"/>
      <c r="L54"/>
      <c r="M54"/>
      <c r="N54"/>
      <c r="O54"/>
      <c r="P54"/>
      <c r="Q54"/>
      <c r="R54"/>
      <c r="S54"/>
    </row>
  </sheetData>
  <sheetProtection selectLockedCells="1"/>
  <mergeCells count="110">
    <mergeCell ref="D2:M2"/>
    <mergeCell ref="V2:AC2"/>
    <mergeCell ref="D3:M3"/>
    <mergeCell ref="V3:AC3"/>
    <mergeCell ref="D4:M4"/>
    <mergeCell ref="V4:AC4"/>
    <mergeCell ref="D9:M9"/>
    <mergeCell ref="P9:Q11"/>
    <mergeCell ref="R9:R11"/>
    <mergeCell ref="V9:AC9"/>
    <mergeCell ref="B10:M10"/>
    <mergeCell ref="B11:M11"/>
    <mergeCell ref="D5:M5"/>
    <mergeCell ref="V5:AC5"/>
    <mergeCell ref="D6:M6"/>
    <mergeCell ref="V6:AC6"/>
    <mergeCell ref="D7:M7"/>
    <mergeCell ref="O7:R8"/>
    <mergeCell ref="V7:AC7"/>
    <mergeCell ref="D8:M8"/>
    <mergeCell ref="V8:AC8"/>
    <mergeCell ref="B15:C15"/>
    <mergeCell ref="E15:F15"/>
    <mergeCell ref="J15:M15"/>
    <mergeCell ref="B16:C16"/>
    <mergeCell ref="E16:F16"/>
    <mergeCell ref="J16:M16"/>
    <mergeCell ref="B12:M12"/>
    <mergeCell ref="P12:Q14"/>
    <mergeCell ref="R12:R14"/>
    <mergeCell ref="B14:C14"/>
    <mergeCell ref="E14:F14"/>
    <mergeCell ref="J14:M14"/>
    <mergeCell ref="C21:E21"/>
    <mergeCell ref="F21:G21"/>
    <mergeCell ref="H21:I21"/>
    <mergeCell ref="J21:K21"/>
    <mergeCell ref="C22:E22"/>
    <mergeCell ref="F22:G22"/>
    <mergeCell ref="H22:I22"/>
    <mergeCell ref="J22:K22"/>
    <mergeCell ref="C18:E18"/>
    <mergeCell ref="F18:G18"/>
    <mergeCell ref="H18:I18"/>
    <mergeCell ref="J18:K18"/>
    <mergeCell ref="B19:M19"/>
    <mergeCell ref="C20:E20"/>
    <mergeCell ref="F20:G20"/>
    <mergeCell ref="H20:I20"/>
    <mergeCell ref="J20:K20"/>
    <mergeCell ref="C23:E23"/>
    <mergeCell ref="F23:G23"/>
    <mergeCell ref="H23:I23"/>
    <mergeCell ref="J23:K23"/>
    <mergeCell ref="O23:R23"/>
    <mergeCell ref="C24:E24"/>
    <mergeCell ref="F24:G24"/>
    <mergeCell ref="H24:I24"/>
    <mergeCell ref="J24:K24"/>
    <mergeCell ref="B25:M25"/>
    <mergeCell ref="C26:E26"/>
    <mergeCell ref="F26:G26"/>
    <mergeCell ref="H26:I26"/>
    <mergeCell ref="J26:K26"/>
    <mergeCell ref="C27:E27"/>
    <mergeCell ref="F27:G27"/>
    <mergeCell ref="H27:I27"/>
    <mergeCell ref="J27:K27"/>
    <mergeCell ref="C31:E31"/>
    <mergeCell ref="F31:G31"/>
    <mergeCell ref="H31:I31"/>
    <mergeCell ref="J31:K31"/>
    <mergeCell ref="C32:E32"/>
    <mergeCell ref="F32:G32"/>
    <mergeCell ref="H32:I32"/>
    <mergeCell ref="J32:K32"/>
    <mergeCell ref="C28:E28"/>
    <mergeCell ref="F28:G28"/>
    <mergeCell ref="H28:I28"/>
    <mergeCell ref="J28:K28"/>
    <mergeCell ref="B29:M29"/>
    <mergeCell ref="B30:M30"/>
    <mergeCell ref="C35:E35"/>
    <mergeCell ref="F35:G35"/>
    <mergeCell ref="H35:I35"/>
    <mergeCell ref="J35:K35"/>
    <mergeCell ref="C36:E36"/>
    <mergeCell ref="F36:G36"/>
    <mergeCell ref="H36:I36"/>
    <mergeCell ref="J36:K36"/>
    <mergeCell ref="C33:E33"/>
    <mergeCell ref="F33:G33"/>
    <mergeCell ref="H33:I33"/>
    <mergeCell ref="J33:K33"/>
    <mergeCell ref="C34:E34"/>
    <mergeCell ref="F34:G34"/>
    <mergeCell ref="H34:I34"/>
    <mergeCell ref="J34:K34"/>
    <mergeCell ref="B41:E41"/>
    <mergeCell ref="B42:E42"/>
    <mergeCell ref="H42:M42"/>
    <mergeCell ref="H43:M45"/>
    <mergeCell ref="B46:E46"/>
    <mergeCell ref="H46:M46"/>
    <mergeCell ref="O36:R36"/>
    <mergeCell ref="B37:G37"/>
    <mergeCell ref="H37:M37"/>
    <mergeCell ref="B38:G38"/>
    <mergeCell ref="H38:M38"/>
    <mergeCell ref="H40:M40"/>
  </mergeCells>
  <printOptions horizontalCentered="1"/>
  <pageMargins left="0.31496062992125984" right="0.31496062992125984" top="0.74803149606299213" bottom="0.74803149606299213" header="0.31496062992125984" footer="0.31496062992125984"/>
  <pageSetup paperSize="10000" scale="9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Spinner 1">
              <controlPr defaultSize="0" autoPict="0">
                <anchor moveWithCells="1" sizeWithCells="1">
                  <from>
                    <xdr:col>14</xdr:col>
                    <xdr:colOff>28575</xdr:colOff>
                    <xdr:row>8</xdr:row>
                    <xdr:rowOff>0</xdr:rowOff>
                  </from>
                  <to>
                    <xdr:col>14</xdr:col>
                    <xdr:colOff>466725</xdr:colOff>
                    <xdr:row>14</xdr:row>
                    <xdr:rowOff>19050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rgb="FF00B0F0"/>
    <pageSetUpPr fitToPage="1"/>
  </sheetPr>
  <dimension ref="A1:AC65"/>
  <sheetViews>
    <sheetView workbookViewId="0">
      <selection activeCell="R45" sqref="R45"/>
    </sheetView>
  </sheetViews>
  <sheetFormatPr defaultColWidth="0" defaultRowHeight="0" customHeight="1" zeroHeight="1" x14ac:dyDescent="0.25"/>
  <cols>
    <col min="1" max="1" width="1.5703125" style="12" customWidth="1"/>
    <col min="2" max="2" width="3.85546875" customWidth="1"/>
    <col min="3" max="3" width="16.7109375" customWidth="1"/>
    <col min="4" max="4" width="1.140625" customWidth="1"/>
    <col min="5" max="5" width="23.5703125" customWidth="1"/>
    <col min="6" max="6" width="9.42578125" customWidth="1"/>
    <col min="7" max="7" width="4.140625" customWidth="1"/>
    <col min="8" max="8" width="16.42578125" customWidth="1"/>
    <col min="9" max="9" width="2.28515625" customWidth="1"/>
    <col min="10" max="10" width="16.140625" customWidth="1"/>
    <col min="11" max="11" width="1.85546875" customWidth="1"/>
    <col min="12" max="12" width="5.140625" customWidth="1"/>
    <col min="13" max="13" width="13.7109375" customWidth="1"/>
    <col min="14" max="14" width="1.7109375" customWidth="1"/>
    <col min="15" max="16" width="9.140625" customWidth="1"/>
    <col min="17" max="17" width="2.42578125" customWidth="1"/>
    <col min="18" max="18" width="16.7109375" customWidth="1"/>
    <col min="19" max="19" width="1" customWidth="1"/>
    <col min="20" max="20" width="1.7109375" style="12" customWidth="1"/>
    <col min="21" max="29" width="0" hidden="1" customWidth="1"/>
    <col min="30" max="16384" width="9.140625" hidden="1"/>
  </cols>
  <sheetData>
    <row r="1" spans="2:29" s="12" customFormat="1" ht="7.5" customHeight="1" x14ac:dyDescent="0.25">
      <c r="S1"/>
    </row>
    <row r="2" spans="2:29" ht="15.75" x14ac:dyDescent="0.25">
      <c r="C2" s="3"/>
      <c r="D2" s="204" t="s">
        <v>11</v>
      </c>
      <c r="E2" s="204"/>
      <c r="F2" s="204"/>
      <c r="G2" s="204"/>
      <c r="H2" s="204"/>
      <c r="I2" s="204"/>
      <c r="J2" s="204"/>
      <c r="K2" s="204"/>
      <c r="L2" s="204"/>
      <c r="M2" s="204"/>
      <c r="N2" s="20"/>
      <c r="O2" s="20"/>
      <c r="P2" s="20"/>
      <c r="Q2" s="20"/>
      <c r="R2" s="20"/>
      <c r="V2" s="204"/>
      <c r="W2" s="204"/>
      <c r="X2" s="204"/>
      <c r="Y2" s="204"/>
      <c r="Z2" s="204"/>
      <c r="AA2" s="204"/>
      <c r="AB2" s="204"/>
      <c r="AC2" s="204"/>
    </row>
    <row r="3" spans="2:29" ht="15.75" x14ac:dyDescent="0.25">
      <c r="C3" s="3"/>
      <c r="D3" s="204" t="s">
        <v>12</v>
      </c>
      <c r="E3" s="204"/>
      <c r="F3" s="204"/>
      <c r="G3" s="204"/>
      <c r="H3" s="204"/>
      <c r="I3" s="204"/>
      <c r="J3" s="204"/>
      <c r="K3" s="204"/>
      <c r="L3" s="204"/>
      <c r="M3" s="204"/>
      <c r="N3" s="20"/>
      <c r="O3" s="20"/>
      <c r="P3" s="20"/>
      <c r="Q3" s="20"/>
      <c r="R3" s="20"/>
      <c r="V3" s="204"/>
      <c r="W3" s="204"/>
      <c r="X3" s="204"/>
      <c r="Y3" s="204"/>
      <c r="Z3" s="204"/>
      <c r="AA3" s="204"/>
      <c r="AB3" s="204"/>
      <c r="AC3" s="204"/>
    </row>
    <row r="4" spans="2:29" ht="15.75" x14ac:dyDescent="0.25">
      <c r="C4" s="1"/>
      <c r="D4" s="203" t="s">
        <v>13</v>
      </c>
      <c r="E4" s="203"/>
      <c r="F4" s="203"/>
      <c r="G4" s="203"/>
      <c r="H4" s="203"/>
      <c r="I4" s="203"/>
      <c r="J4" s="203"/>
      <c r="K4" s="203"/>
      <c r="L4" s="203"/>
      <c r="M4" s="203"/>
      <c r="N4" s="20"/>
      <c r="O4" s="20"/>
      <c r="P4" s="20"/>
      <c r="Q4" s="20"/>
      <c r="R4" s="20"/>
      <c r="V4" s="203"/>
      <c r="W4" s="203"/>
      <c r="X4" s="203"/>
      <c r="Y4" s="203"/>
      <c r="Z4" s="203"/>
      <c r="AA4" s="203"/>
      <c r="AB4" s="203"/>
      <c r="AC4" s="203"/>
    </row>
    <row r="5" spans="2:29" ht="15.75" x14ac:dyDescent="0.25">
      <c r="C5" s="1"/>
      <c r="D5" s="203" t="s">
        <v>14</v>
      </c>
      <c r="E5" s="203"/>
      <c r="F5" s="203"/>
      <c r="G5" s="203"/>
      <c r="H5" s="203"/>
      <c r="I5" s="203"/>
      <c r="J5" s="203"/>
      <c r="K5" s="203"/>
      <c r="L5" s="203"/>
      <c r="M5" s="203"/>
      <c r="N5" s="20"/>
      <c r="O5" s="20"/>
      <c r="P5" s="20"/>
      <c r="Q5" s="20"/>
      <c r="R5" s="20"/>
      <c r="V5" s="203"/>
      <c r="W5" s="203"/>
      <c r="X5" s="203"/>
      <c r="Y5" s="203"/>
      <c r="Z5" s="203"/>
      <c r="AA5" s="203"/>
      <c r="AB5" s="203"/>
      <c r="AC5" s="203"/>
    </row>
    <row r="6" spans="2:29" ht="16.5" thickBot="1" x14ac:dyDescent="0.3">
      <c r="C6" s="3"/>
      <c r="D6" s="204" t="s">
        <v>1</v>
      </c>
      <c r="E6" s="204"/>
      <c r="F6" s="204"/>
      <c r="G6" s="204"/>
      <c r="H6" s="204"/>
      <c r="I6" s="204"/>
      <c r="J6" s="204"/>
      <c r="K6" s="204"/>
      <c r="L6" s="204"/>
      <c r="M6" s="204"/>
      <c r="N6" s="20"/>
      <c r="O6" s="20"/>
      <c r="P6" s="20"/>
      <c r="Q6" s="20"/>
      <c r="R6" s="20"/>
      <c r="V6" s="204"/>
      <c r="W6" s="204"/>
      <c r="X6" s="204"/>
      <c r="Y6" s="204"/>
      <c r="Z6" s="204"/>
      <c r="AA6" s="204"/>
      <c r="AB6" s="204"/>
      <c r="AC6" s="204"/>
    </row>
    <row r="7" spans="2:29" ht="15.75" x14ac:dyDescent="0.25">
      <c r="C7" s="1"/>
      <c r="D7" s="203" t="s">
        <v>15</v>
      </c>
      <c r="E7" s="203"/>
      <c r="F7" s="203"/>
      <c r="G7" s="203"/>
      <c r="H7" s="203"/>
      <c r="I7" s="203"/>
      <c r="J7" s="203"/>
      <c r="K7" s="203"/>
      <c r="L7" s="203"/>
      <c r="M7" s="203"/>
      <c r="N7" s="20"/>
      <c r="O7" s="233" t="s">
        <v>69</v>
      </c>
      <c r="P7" s="234"/>
      <c r="Q7" s="234"/>
      <c r="R7" s="235"/>
      <c r="S7" s="19"/>
      <c r="V7" s="203"/>
      <c r="W7" s="203"/>
      <c r="X7" s="203"/>
      <c r="Y7" s="203"/>
      <c r="Z7" s="203"/>
      <c r="AA7" s="203"/>
      <c r="AB7" s="203"/>
      <c r="AC7" s="203"/>
    </row>
    <row r="8" spans="2:29" ht="15.75" x14ac:dyDescent="0.25">
      <c r="C8" s="1"/>
      <c r="D8" s="203" t="s">
        <v>16</v>
      </c>
      <c r="E8" s="203"/>
      <c r="F8" s="203"/>
      <c r="G8" s="203"/>
      <c r="H8" s="203"/>
      <c r="I8" s="203"/>
      <c r="J8" s="203"/>
      <c r="K8" s="203"/>
      <c r="L8" s="203"/>
      <c r="M8" s="203"/>
      <c r="N8" s="20"/>
      <c r="O8" s="236"/>
      <c r="P8" s="237"/>
      <c r="Q8" s="237"/>
      <c r="R8" s="238"/>
      <c r="V8" s="203"/>
      <c r="W8" s="203"/>
      <c r="X8" s="203"/>
      <c r="Y8" s="203"/>
      <c r="Z8" s="203"/>
      <c r="AA8" s="203"/>
      <c r="AB8" s="203"/>
      <c r="AC8" s="203"/>
    </row>
    <row r="9" spans="2:29" ht="16.5" thickBot="1" x14ac:dyDescent="0.3">
      <c r="C9" s="2"/>
      <c r="D9" s="230" t="s">
        <v>17</v>
      </c>
      <c r="E9" s="230"/>
      <c r="F9" s="230"/>
      <c r="G9" s="230"/>
      <c r="H9" s="230"/>
      <c r="I9" s="230"/>
      <c r="J9" s="230"/>
      <c r="K9" s="230"/>
      <c r="L9" s="230"/>
      <c r="M9" s="230"/>
      <c r="N9" s="20"/>
      <c r="O9" s="35"/>
      <c r="P9" s="227" t="s">
        <v>70</v>
      </c>
      <c r="Q9" s="227"/>
      <c r="R9" s="228">
        <v>11</v>
      </c>
      <c r="V9" s="230"/>
      <c r="W9" s="230"/>
      <c r="X9" s="230"/>
      <c r="Y9" s="230"/>
      <c r="Z9" s="230"/>
      <c r="AA9" s="230"/>
      <c r="AB9" s="230"/>
      <c r="AC9" s="230"/>
    </row>
    <row r="10" spans="2:29" ht="5.25" customHeight="1" thickTop="1" x14ac:dyDescent="0.25">
      <c r="B10" s="231"/>
      <c r="C10" s="232"/>
      <c r="D10" s="232"/>
      <c r="E10" s="232"/>
      <c r="F10" s="232"/>
      <c r="G10" s="232"/>
      <c r="H10" s="232"/>
      <c r="I10" s="232"/>
      <c r="J10" s="232"/>
      <c r="K10" s="232"/>
      <c r="L10" s="232"/>
      <c r="M10" s="232"/>
      <c r="N10" s="20"/>
      <c r="O10" s="35"/>
      <c r="P10" s="227"/>
      <c r="Q10" s="227"/>
      <c r="R10" s="228"/>
    </row>
    <row r="11" spans="2:29" ht="15.75" x14ac:dyDescent="0.25">
      <c r="B11" s="226" t="str">
        <f>HOME!G6</f>
        <v>HASIL PENILAIAN TENGAH SEMESTER GENAP</v>
      </c>
      <c r="C11" s="226"/>
      <c r="D11" s="226"/>
      <c r="E11" s="226"/>
      <c r="F11" s="226"/>
      <c r="G11" s="226"/>
      <c r="H11" s="226"/>
      <c r="I11" s="226"/>
      <c r="J11" s="226"/>
      <c r="K11" s="226"/>
      <c r="L11" s="226"/>
      <c r="M11" s="226"/>
      <c r="N11" s="20"/>
      <c r="O11" s="35"/>
      <c r="P11" s="227"/>
      <c r="Q11" s="227"/>
      <c r="R11" s="228"/>
    </row>
    <row r="12" spans="2:29" ht="15.75" x14ac:dyDescent="0.25">
      <c r="B12" s="226" t="str">
        <f>"TAHUN PELAJARAN " &amp; HOME!G7</f>
        <v>TAHUN PELAJARAN 2022/2023</v>
      </c>
      <c r="C12" s="226"/>
      <c r="D12" s="226"/>
      <c r="E12" s="226"/>
      <c r="F12" s="226"/>
      <c r="G12" s="226"/>
      <c r="H12" s="226"/>
      <c r="I12" s="226"/>
      <c r="J12" s="226"/>
      <c r="K12" s="226"/>
      <c r="L12" s="226"/>
      <c r="M12" s="226"/>
      <c r="N12" s="20"/>
      <c r="O12" s="35"/>
      <c r="P12" s="227" t="s">
        <v>71</v>
      </c>
      <c r="Q12" s="227"/>
      <c r="R12" s="228">
        <f>COUNTA(NOMINATIF!C6:C40)</f>
        <v>20</v>
      </c>
    </row>
    <row r="13" spans="2:29" ht="8.25" customHeight="1" x14ac:dyDescent="0.25">
      <c r="B13" s="16"/>
      <c r="C13" s="4"/>
      <c r="D13" s="4"/>
      <c r="E13" s="4"/>
      <c r="F13" s="4"/>
      <c r="G13" s="4"/>
      <c r="H13" s="4"/>
      <c r="I13" s="4"/>
      <c r="J13" s="4"/>
      <c r="K13" s="4"/>
      <c r="L13" s="4"/>
      <c r="M13" s="4"/>
      <c r="N13" s="20"/>
      <c r="O13" s="35"/>
      <c r="P13" s="227"/>
      <c r="Q13" s="227"/>
      <c r="R13" s="228"/>
    </row>
    <row r="14" spans="2:29" ht="15.75" x14ac:dyDescent="0.25">
      <c r="B14" s="224" t="s">
        <v>18</v>
      </c>
      <c r="C14" s="224"/>
      <c r="D14" s="1" t="s">
        <v>6</v>
      </c>
      <c r="E14" s="229" t="str">
        <f>VLOOKUP(R9,'L XI AKL'!$B$9:$BI$43,2)</f>
        <v>Olifah Hiasianjeng Prehatin</v>
      </c>
      <c r="F14" s="229"/>
      <c r="G14" s="18"/>
      <c r="H14" s="1" t="s">
        <v>63</v>
      </c>
      <c r="I14" t="s">
        <v>6</v>
      </c>
      <c r="J14" s="225" t="str">
        <f>HOME!G9</f>
        <v>Teknik Komputer dan Informatika</v>
      </c>
      <c r="K14" s="225"/>
      <c r="L14" s="225"/>
      <c r="M14" s="225"/>
      <c r="N14" s="20"/>
      <c r="O14" s="35"/>
      <c r="P14" s="227"/>
      <c r="Q14" s="227"/>
      <c r="R14" s="228"/>
    </row>
    <row r="15" spans="2:29" ht="15.75" x14ac:dyDescent="0.25">
      <c r="B15" s="224" t="s">
        <v>19</v>
      </c>
      <c r="C15" s="224"/>
      <c r="D15" s="1" t="s">
        <v>6</v>
      </c>
      <c r="E15" s="224" t="str">
        <f>VLOOKUP(R9,'L XI AKL'!$B$9:$BI$43,3) &amp; "/" &amp; VLOOKUP(R9,'L XI AKL'!$B$9:$BI$43,4)</f>
        <v>4056/0056102322</v>
      </c>
      <c r="F15" s="224"/>
      <c r="G15" s="17"/>
      <c r="H15" s="1" t="s">
        <v>10</v>
      </c>
      <c r="I15" t="s">
        <v>6</v>
      </c>
      <c r="J15" s="225" t="str">
        <f>ID!G7</f>
        <v>Akuntansi dan Keuangan Lembaga</v>
      </c>
      <c r="K15" s="225"/>
      <c r="L15" s="225"/>
      <c r="M15" s="225"/>
      <c r="N15" s="20"/>
      <c r="O15" s="35"/>
      <c r="P15" s="20"/>
      <c r="Q15" s="20"/>
      <c r="R15" s="36"/>
    </row>
    <row r="16" spans="2:29" ht="15.75" x14ac:dyDescent="0.25">
      <c r="B16" s="224" t="s">
        <v>9</v>
      </c>
      <c r="C16" s="224"/>
      <c r="D16" s="1" t="s">
        <v>6</v>
      </c>
      <c r="E16" s="224" t="str">
        <f>ID!G8</f>
        <v>XII AKL 1</v>
      </c>
      <c r="F16" s="224"/>
      <c r="G16" s="17"/>
      <c r="H16" s="1" t="s">
        <v>20</v>
      </c>
      <c r="I16" t="s">
        <v>6</v>
      </c>
      <c r="J16" s="225" t="str">
        <f>ID!G9</f>
        <v>4/GENAP</v>
      </c>
      <c r="K16" s="225"/>
      <c r="L16" s="225"/>
      <c r="M16" s="225"/>
      <c r="N16" s="20"/>
      <c r="O16" s="35"/>
      <c r="P16" s="20"/>
      <c r="Q16" s="20"/>
      <c r="R16" s="36"/>
    </row>
    <row r="17" spans="1:18" ht="15" x14ac:dyDescent="0.25">
      <c r="N17" s="20"/>
      <c r="O17" s="35"/>
      <c r="P17" s="20"/>
      <c r="Q17" s="20"/>
      <c r="R17" s="36"/>
    </row>
    <row r="18" spans="1:18" ht="20.25" customHeight="1" x14ac:dyDescent="0.25">
      <c r="B18" s="335" t="s">
        <v>161</v>
      </c>
      <c r="C18" s="335"/>
      <c r="D18" s="335"/>
      <c r="E18" s="335"/>
      <c r="F18" s="335"/>
      <c r="G18" s="335"/>
      <c r="H18" s="335"/>
      <c r="I18" s="335"/>
      <c r="J18" s="335"/>
      <c r="K18" s="335"/>
      <c r="L18" s="335"/>
      <c r="M18" s="335"/>
      <c r="N18" s="20"/>
      <c r="O18" s="35"/>
      <c r="P18" s="20"/>
      <c r="Q18" s="20"/>
      <c r="R18" s="36"/>
    </row>
    <row r="19" spans="1:18" ht="31.5" customHeight="1" x14ac:dyDescent="0.25">
      <c r="B19" s="15" t="s">
        <v>32</v>
      </c>
      <c r="C19" s="190" t="s">
        <v>33</v>
      </c>
      <c r="D19" s="190"/>
      <c r="E19" s="190"/>
      <c r="F19" s="222" t="s">
        <v>34</v>
      </c>
      <c r="G19" s="223"/>
      <c r="H19" s="222" t="s">
        <v>35</v>
      </c>
      <c r="I19" s="223"/>
      <c r="J19" s="222" t="s">
        <v>66</v>
      </c>
      <c r="K19" s="223"/>
      <c r="L19" s="15" t="s">
        <v>98</v>
      </c>
      <c r="M19" s="15" t="s">
        <v>36</v>
      </c>
      <c r="N19" s="20"/>
      <c r="O19" s="35"/>
      <c r="P19" s="20"/>
      <c r="Q19" s="20"/>
      <c r="R19" s="36"/>
    </row>
    <row r="20" spans="1:18" ht="15.75" x14ac:dyDescent="0.25">
      <c r="B20" s="188" t="s">
        <v>164</v>
      </c>
      <c r="C20" s="188"/>
      <c r="D20" s="188"/>
      <c r="E20" s="188"/>
      <c r="F20" s="188"/>
      <c r="G20" s="188"/>
      <c r="H20" s="188"/>
      <c r="I20" s="188"/>
      <c r="J20" s="188"/>
      <c r="K20" s="188"/>
      <c r="L20" s="188"/>
      <c r="M20" s="188"/>
      <c r="N20" s="20"/>
      <c r="O20" s="35"/>
      <c r="P20" s="20"/>
      <c r="Q20" s="20"/>
      <c r="R20" s="36"/>
    </row>
    <row r="21" spans="1:18" ht="15.75" customHeight="1" x14ac:dyDescent="0.25">
      <c r="B21" s="11">
        <v>1</v>
      </c>
      <c r="C21" s="189" t="s">
        <v>38</v>
      </c>
      <c r="D21" s="189"/>
      <c r="E21" s="189"/>
      <c r="F21" s="209">
        <f>'MP XI AKL'!G7</f>
        <v>60</v>
      </c>
      <c r="G21" s="210"/>
      <c r="H21" s="211">
        <f>VLOOKUP(R9,'L XI AKL'!$B$9:$BI$43,5)</f>
        <v>80</v>
      </c>
      <c r="I21" s="212"/>
      <c r="J21" s="211">
        <f>VLOOKUP(R9,'L XI AKL'!$B$9:$BI$43,6)</f>
        <v>0</v>
      </c>
      <c r="K21" s="212"/>
      <c r="L21" s="13">
        <f>IF(J21=0,H21,AVERAGE(H21:K21))</f>
        <v>80</v>
      </c>
      <c r="M21" s="13" t="str">
        <f>IF(F21=60,IF(AND(L21&gt;$O$26,L21&lt;$P$26),$R$26,IF(AND(L21&gt;=$O$27,L21&lt;=$P$27),$R$27,IF(AND(L21&gt;=$O$28,L21&lt;=$P$28),$R$28,IF(AND(L21&gt;=$O$29,L21&lt;=$P$29),$R$29,IF(AND(L21&gt;=$O$30,L21&lt;=$P$30),$R$30,IF(AND(L21&gt;=$O$31,L21&lt;=$P$31),$R$31,IF(AND(L21&gt;=$O$32,L21&lt;=$P$32),$R$32,IF(AND(L21&gt;=$O$33,L21&lt;$P$33),$R$33,IF(AND(L21&gt;$O$34,L21&lt;$P$34),$R$34,IF(AND(L21&lt;=$P$35),$R$35,0)))))))))),IF(F21=70,IF(AND(L21&gt;$O$39,L21&lt;$P$39),$R$39,IF(AND(L21&gt;=$O$40,L21&lt;=$P$40),$R$40,IF(AND(L21&gt;=$O$41,L21&lt;=$P$41),$R$41,IF(AND(L21&gt;=$O$42,L21&lt;=$P$42),$R$42,IF(AND(L21&gt;=$O$43,L21&lt;=$P$43),$R$43,IF(AND(L21&gt;=$O$44,L21&lt;=$P$44),$R$44,IF(AND(L21&gt;=$O$45,L21&lt;=$P$45),$R$45,IF(AND(L21&gt;=$O$46,L21&lt;$P$46),$R$46,IF(AND(L21&gt;$O$47,L21&lt;$P$47),$R$47,IF(AND(L21&lt;=$P$48),$R$48,0))))))))))))</f>
        <v>B+</v>
      </c>
      <c r="N21" s="20"/>
      <c r="O21" s="35"/>
      <c r="P21" s="20"/>
      <c r="Q21" s="20"/>
      <c r="R21" s="36"/>
    </row>
    <row r="22" spans="1:18" ht="16.5" customHeight="1" thickBot="1" x14ac:dyDescent="0.3">
      <c r="B22" s="11">
        <v>2</v>
      </c>
      <c r="C22" s="189" t="s">
        <v>213</v>
      </c>
      <c r="D22" s="189"/>
      <c r="E22" s="189"/>
      <c r="F22" s="209">
        <f>'MP XI AKL'!G8</f>
        <v>60</v>
      </c>
      <c r="G22" s="210"/>
      <c r="H22" s="211">
        <f>VLOOKUP(R9,'L XI AKL'!$B$9:$BI$43,8)</f>
        <v>74</v>
      </c>
      <c r="I22" s="212"/>
      <c r="J22" s="211">
        <f>VLOOKUP(R9,'L XI AKL'!$B$9:$BI$43,9)</f>
        <v>0</v>
      </c>
      <c r="K22" s="212"/>
      <c r="L22" s="13">
        <f t="shared" ref="L22:L25" si="0">IF(J22=0,H22,AVERAGE(H22:K22))</f>
        <v>74</v>
      </c>
      <c r="M22" s="13" t="str">
        <f t="shared" ref="M22:M25" si="1">IF(F22=60,IF(AND(L22&gt;$O$26,L22&lt;$P$26),$R$26,IF(AND(L22&gt;=$O$27,L22&lt;=$P$27),$R$27,IF(AND(L22&gt;=$O$28,L22&lt;=$P$28),$R$28,IF(AND(L22&gt;=$O$29,L22&lt;=$P$29),$R$29,IF(AND(L22&gt;=$O$30,L22&lt;=$P$30),$R$30,IF(AND(L22&gt;=$O$31,L22&lt;=$P$31),$R$31,IF(AND(L22&gt;=$O$32,L22&lt;=$P$32),$R$32,IF(AND(L22&gt;=$O$33,L22&lt;$P$33),$R$33,IF(AND(L22&gt;$O$34,L22&lt;$P$34),$R$34,IF(AND(L22&lt;=$P$35),$R$35,0)))))))))),IF(F22=70,IF(AND(L22&gt;$O$39,L22&lt;$P$39),$R$39,IF(AND(L22&gt;=$O$40,L22&lt;=$P$40),$R$40,IF(AND(L22&gt;=$O$41,L22&lt;=$P$41),$R$41,IF(AND(L22&gt;=$O$42,L22&lt;=$P$42),$R$42,IF(AND(L22&gt;=$O$43,L22&lt;=$P$43),$R$43,IF(AND(L22&gt;=$O$44,L22&lt;=$P$44),$R$44,IF(AND(L22&gt;=$O$45,L22&lt;=$P$45),$R$45,IF(AND(L22&gt;=$O$46,L22&lt;$P$46),$R$46,IF(AND(L22&gt;$O$47,L22&lt;$P$47),$R$47,IF(AND(L22&lt;=$P$48),$R$48,0))))))))))))</f>
        <v>B-</v>
      </c>
      <c r="N22" s="20"/>
      <c r="O22" s="37"/>
      <c r="P22" s="38"/>
      <c r="Q22" s="38"/>
      <c r="R22" s="39"/>
    </row>
    <row r="23" spans="1:18" ht="16.5" thickBot="1" x14ac:dyDescent="0.3">
      <c r="B23" s="11">
        <v>3</v>
      </c>
      <c r="C23" s="189" t="s">
        <v>40</v>
      </c>
      <c r="D23" s="189"/>
      <c r="E23" s="189"/>
      <c r="F23" s="209">
        <f>'MP XI AKL'!G9</f>
        <v>60</v>
      </c>
      <c r="G23" s="210"/>
      <c r="H23" s="211">
        <f>VLOOKUP(R9,'L XI AKL'!$B$9:$BI$43,11)</f>
        <v>76</v>
      </c>
      <c r="I23" s="212"/>
      <c r="J23" s="211">
        <f>VLOOKUP(R9,'L XI AKL'!$B$9:$BI$43,12)</f>
        <v>0</v>
      </c>
      <c r="K23" s="212"/>
      <c r="L23" s="13">
        <f t="shared" si="0"/>
        <v>76</v>
      </c>
      <c r="M23" s="13" t="str">
        <f t="shared" si="1"/>
        <v>B</v>
      </c>
    </row>
    <row r="24" spans="1:18" ht="15.75" x14ac:dyDescent="0.25">
      <c r="B24" s="11">
        <v>4</v>
      </c>
      <c r="C24" s="187" t="s">
        <v>41</v>
      </c>
      <c r="D24" s="187"/>
      <c r="E24" s="187"/>
      <c r="F24" s="209">
        <f>'MP XI AKL'!G10</f>
        <v>60</v>
      </c>
      <c r="G24" s="210"/>
      <c r="H24" s="211">
        <f>VLOOKUP(R9,'L XI AKL'!$B$9:$BI$43,14)</f>
        <v>70</v>
      </c>
      <c r="I24" s="212"/>
      <c r="J24" s="211">
        <f>VLOOKUP(R9,'L XI AKL'!$B$9:$BI$43,15)</f>
        <v>0</v>
      </c>
      <c r="K24" s="212"/>
      <c r="L24" s="13">
        <f t="shared" si="0"/>
        <v>70</v>
      </c>
      <c r="M24" s="13" t="str">
        <f t="shared" si="1"/>
        <v>B-</v>
      </c>
      <c r="O24" s="320" t="s">
        <v>139</v>
      </c>
      <c r="P24" s="323"/>
      <c r="Q24" s="323"/>
      <c r="R24" s="324"/>
    </row>
    <row r="25" spans="1:18" ht="16.5" thickBot="1" x14ac:dyDescent="0.3">
      <c r="B25" s="11">
        <v>5</v>
      </c>
      <c r="C25" s="187" t="s">
        <v>43</v>
      </c>
      <c r="D25" s="187"/>
      <c r="E25" s="187"/>
      <c r="F25" s="209">
        <f>'MP XI AKL'!G11</f>
        <v>60</v>
      </c>
      <c r="G25" s="210"/>
      <c r="H25" s="211">
        <f>VLOOKUP(R9,'L XI AKL'!$B$9:$BI$43,17)</f>
        <v>62</v>
      </c>
      <c r="I25" s="212"/>
      <c r="J25" s="211">
        <f>VLOOKUP(R9,'L XI AKL'!$B$9:$BI$43,18)</f>
        <v>0</v>
      </c>
      <c r="K25" s="212"/>
      <c r="L25" s="13">
        <f t="shared" si="0"/>
        <v>62</v>
      </c>
      <c r="M25" s="13" t="str">
        <f t="shared" si="1"/>
        <v>C</v>
      </c>
      <c r="O25" s="48" t="s">
        <v>141</v>
      </c>
      <c r="P25" s="49" t="s">
        <v>142</v>
      </c>
      <c r="Q25" s="49"/>
      <c r="R25" s="50" t="s">
        <v>138</v>
      </c>
    </row>
    <row r="26" spans="1:18" ht="15.75" x14ac:dyDescent="0.25">
      <c r="B26" s="188" t="s">
        <v>211</v>
      </c>
      <c r="C26" s="188"/>
      <c r="D26" s="188"/>
      <c r="E26" s="188"/>
      <c r="F26" s="188"/>
      <c r="G26" s="188"/>
      <c r="H26" s="188"/>
      <c r="I26" s="188"/>
      <c r="J26" s="188"/>
      <c r="K26" s="188"/>
      <c r="L26" s="188"/>
      <c r="M26" s="188"/>
      <c r="O26" s="113">
        <v>94.5</v>
      </c>
      <c r="P26" s="114">
        <v>100</v>
      </c>
      <c r="Q26" s="45" t="s">
        <v>6</v>
      </c>
      <c r="R26" s="51" t="s">
        <v>137</v>
      </c>
    </row>
    <row r="27" spans="1:18" ht="15.75" x14ac:dyDescent="0.25">
      <c r="B27" s="13">
        <v>1</v>
      </c>
      <c r="C27" s="187" t="s">
        <v>45</v>
      </c>
      <c r="D27" s="187"/>
      <c r="E27" s="187"/>
      <c r="F27" s="209">
        <f>'MP XI AKL'!G13</f>
        <v>70</v>
      </c>
      <c r="G27" s="210"/>
      <c r="H27" s="211">
        <f>VLOOKUP(R9,'L XI AKL'!$B$9:$BI$43,20)</f>
        <v>79</v>
      </c>
      <c r="I27" s="212"/>
      <c r="J27" s="211">
        <f>VLOOKUP(R9,'L XI AKL'!$B$9:$BI$43,21)</f>
        <v>0</v>
      </c>
      <c r="K27" s="212"/>
      <c r="L27" s="13">
        <f>IF(J27=0,H27,AVERAGE(H27:K27))</f>
        <v>79</v>
      </c>
      <c r="M27" s="13" t="str">
        <f>IF(F27=60,IF(AND(L27&gt;$O$26,L27&lt;$P$26),$R$26,IF(AND(L27&gt;=$O$27,L27&lt;=$P$27),$R$27,IF(AND(L27&gt;=$O$28,L27&lt;=$P$28),$R$28,IF(AND(L27&gt;=$O$29,L27&lt;=$P$29),$R$29,IF(AND(L27&gt;=$O$30,L27&lt;=$P$30),$R$30,IF(AND(L27&gt;=$O$31,L27&lt;=$P$31),$R$31,IF(AND(L27&gt;=$O$32,L27&lt;=$P$32),$R$32,IF(AND(L27&gt;=$O$33,L27&lt;$P$33),$R$33,IF(AND(L27&gt;$O$34,L27&lt;$P$34),$R$34,IF(AND(L27&lt;=$P$35),$R$35,0)))))))))),IF(F27=70,IF(AND(L27&gt;$O$39,L27&lt;$P$39),$R$39,IF(AND(L27&gt;=$O$40,L27&lt;=$P$40),$R$40,IF(AND(L27&gt;=$O$41,L27&lt;=$P$41),$R$41,IF(AND(L27&gt;=$O$42,L27&lt;=$P$42),$R$42,IF(AND(L27&gt;=$O$43,L27&lt;=$P$43),$R$43,IF(AND(L27&gt;=$O$44,L27&lt;=$P$44),$R$44,IF(AND(L27&gt;=$O$45,L27&lt;=$P$45),$R$45,IF(AND(L27&gt;=$O$46,L27&lt;$P$46),$R$46,IF(AND(L27&gt;$O$47,L27&lt;$P$47),$R$47,IF(AND(L27&lt;=$P$48),$R$48,0))))))))))))</f>
        <v>B-</v>
      </c>
      <c r="O27" s="117">
        <v>89.5</v>
      </c>
      <c r="P27" s="110">
        <v>94.49</v>
      </c>
      <c r="Q27" s="47" t="s">
        <v>6</v>
      </c>
      <c r="R27" s="52" t="s">
        <v>136</v>
      </c>
    </row>
    <row r="28" spans="1:18" ht="15.75" x14ac:dyDescent="0.25">
      <c r="A28" s="12">
        <v>2</v>
      </c>
      <c r="B28" s="13">
        <v>2</v>
      </c>
      <c r="C28" s="187" t="s">
        <v>47</v>
      </c>
      <c r="D28" s="187"/>
      <c r="E28" s="187"/>
      <c r="F28" s="209">
        <f>'MP XI AKL'!G14</f>
        <v>60</v>
      </c>
      <c r="G28" s="210"/>
      <c r="H28" s="211">
        <f>VLOOKUP(R9,'L XI AKL'!$B$9:$BI$43,23)</f>
        <v>98</v>
      </c>
      <c r="I28" s="212"/>
      <c r="J28" s="211">
        <f>VLOOKUP(R9,'L XI AKL'!$B$9:$BI$43,24)</f>
        <v>0</v>
      </c>
      <c r="K28" s="212"/>
      <c r="L28" s="13">
        <f t="shared" ref="L28:L29" si="2">IF(J28=0,H28,AVERAGE(H28:K28))</f>
        <v>98</v>
      </c>
      <c r="M28" s="13" t="str">
        <f t="shared" ref="M28" si="3">IF(F28=60,IF(AND(L28&gt;$O$26,L28&lt;$P$26),$R$26,IF(AND(L28&gt;=$O$27,L28&lt;=$P$27),$R$27,IF(AND(L28&gt;=$O$28,L28&lt;=$P$28),$R$28,IF(AND(L28&gt;=$O$29,L28&lt;=$P$29),$R$29,IF(AND(L28&gt;=$O$30,L28&lt;=$P$30),$R$30,IF(AND(L28&gt;=$O$31,L28&lt;=$P$31),$R$31,IF(AND(L28&gt;=$O$32,L28&lt;=$P$32),$R$32,IF(AND(L28&gt;=$O$33,L28&lt;$P$33),$R$33,IF(AND(L28&gt;$O$34,L28&lt;$P$34),$R$34,IF(AND(L28&lt;=$P$35),$R$35,0)))))))))),IF(F28=70,IF(AND(L28&gt;$O$39,L28&lt;$P$39),$R$39,IF(AND(L28&gt;=$O$40,L28&lt;=$P$40),$R$40,IF(AND(L28&gt;=$O$41,L28&lt;=$P$41),$R$41,IF(AND(L28&gt;=$O$42,L28&lt;=$P$42),$R$42,IF(AND(L28&gt;=$O$43,L28&lt;=$P$43),$R$43,IF(AND(L28&gt;=$O$44,L28&lt;=$P$44),$R$44,IF(AND(L28&gt;=$O$45,L28&lt;=$P$45),$R$45,IF(AND(L28&gt;=$O$46,L28&lt;$P$46),$R$46,IF(AND(L28&gt;$O$47,L28&lt;$P$47),$R$47,IF(AND(L28&lt;=$P$48),$R$48,0))))))))))))</f>
        <v>A+</v>
      </c>
      <c r="O28" s="117">
        <v>84.5</v>
      </c>
      <c r="P28" s="110">
        <v>89.49</v>
      </c>
      <c r="Q28" s="47" t="s">
        <v>6</v>
      </c>
      <c r="R28" s="52" t="s">
        <v>135</v>
      </c>
    </row>
    <row r="29" spans="1:18" ht="15.75" x14ac:dyDescent="0.25">
      <c r="B29" s="13">
        <v>3</v>
      </c>
      <c r="C29" s="187" t="s">
        <v>48</v>
      </c>
      <c r="D29" s="187"/>
      <c r="E29" s="187"/>
      <c r="F29" s="209">
        <f>'MP XI AKL'!G15</f>
        <v>60</v>
      </c>
      <c r="G29" s="210"/>
      <c r="H29" s="211">
        <f>VLOOKUP(R9,'L XI AKL'!$B$9:$BI$43,26)</f>
        <v>82</v>
      </c>
      <c r="I29" s="212"/>
      <c r="J29" s="211">
        <f>VLOOKUP(R9,'L XI AKL'!$B$9:$BI$43,27)</f>
        <v>0</v>
      </c>
      <c r="K29" s="212"/>
      <c r="L29" s="13">
        <f t="shared" si="2"/>
        <v>82</v>
      </c>
      <c r="M29" s="13" t="str">
        <f>IF(F29=60,IF(AND(L29&gt;$O$26,L29&lt;$P$26),$R$26,IF(AND(L29&gt;=$O$27,L29&lt;=$P$27),$R$27,IF(AND(L29&gt;=$O$28,L29&lt;=$P$28),$R$28,IF(AND(L29&gt;=$O$29,L29&lt;=$P$29),$R$29,IF(AND(L29&gt;=$O$30,L29&lt;=$P$30),$R$30,IF(AND(L29&gt;=$O$31,L29&lt;=$P$31),$R$31,IF(AND(L29&gt;=$O$32,L29&lt;=$P$32),$R$32,IF(AND(L29&gt;=$O$33,L29&lt;$P$33),$R$33,IF(AND(L29&gt;$O$34,L29&lt;$P$34),$R$34,IF(AND(L29&lt;=$P$35),$R$35,0)))))))))),IF(F29=70,IF(AND(L29&gt;$O$39,L29&lt;$P$39),$R$39,IF(AND(L29&gt;=$O$40,L29&lt;=$P$40),$R$40,IF(AND(L29&gt;=$O$41,L29&lt;=$P$41),$R$41,IF(AND(L29&gt;=$O$42,L29&lt;=$P$42),$R$42,IF(AND(L29&gt;=$O$43,L29&lt;=$P$43),$R$43,IF(AND(L29&gt;=$O$44,L29&lt;=$P$44),$R$44,IF(AND(L29&gt;=$O$45,L29&lt;=$P$45),$R$45,IF(AND(L29&gt;=$O$46,L29&lt;$P$46),$R$46,IF(AND(L29&gt;$O$47,L29&lt;$P$47),$R$47,IF(AND(L29&lt;=$P$48),$R$48,0))))))))))))</f>
        <v>B+</v>
      </c>
      <c r="O29" s="117">
        <v>79.5</v>
      </c>
      <c r="P29" s="110">
        <v>84.49</v>
      </c>
      <c r="Q29" s="47" t="s">
        <v>6</v>
      </c>
      <c r="R29" s="52" t="s">
        <v>134</v>
      </c>
    </row>
    <row r="30" spans="1:18" ht="15.75" x14ac:dyDescent="0.25">
      <c r="B30" s="188" t="s">
        <v>212</v>
      </c>
      <c r="C30" s="188"/>
      <c r="D30" s="188"/>
      <c r="E30" s="188"/>
      <c r="F30" s="188"/>
      <c r="G30" s="188"/>
      <c r="H30" s="188"/>
      <c r="I30" s="188"/>
      <c r="J30" s="188"/>
      <c r="K30" s="188"/>
      <c r="L30" s="188"/>
      <c r="M30" s="188"/>
      <c r="O30" s="117">
        <v>74.5</v>
      </c>
      <c r="P30" s="110">
        <v>79.489999999999995</v>
      </c>
      <c r="Q30" s="47" t="s">
        <v>6</v>
      </c>
      <c r="R30" s="52" t="s">
        <v>118</v>
      </c>
    </row>
    <row r="31" spans="1:18" ht="15.75" x14ac:dyDescent="0.25">
      <c r="B31" s="188" t="s">
        <v>78</v>
      </c>
      <c r="C31" s="188"/>
      <c r="D31" s="188"/>
      <c r="E31" s="188"/>
      <c r="F31" s="188"/>
      <c r="G31" s="188"/>
      <c r="H31" s="188"/>
      <c r="I31" s="188"/>
      <c r="J31" s="188"/>
      <c r="K31" s="188"/>
      <c r="L31" s="188"/>
      <c r="M31" s="188"/>
      <c r="O31" s="117">
        <v>69.5</v>
      </c>
      <c r="P31" s="110">
        <v>74.489999999999995</v>
      </c>
      <c r="Q31" s="47" t="s">
        <v>6</v>
      </c>
      <c r="R31" s="52" t="s">
        <v>133</v>
      </c>
    </row>
    <row r="32" spans="1:18" ht="15.75" customHeight="1" x14ac:dyDescent="0.25">
      <c r="B32" s="13">
        <v>1</v>
      </c>
      <c r="C32" s="187" t="s">
        <v>215</v>
      </c>
      <c r="D32" s="187"/>
      <c r="E32" s="187"/>
      <c r="F32" s="209">
        <f>'MP XI AKL'!G18</f>
        <v>70</v>
      </c>
      <c r="G32" s="210"/>
      <c r="H32" s="211">
        <f>VLOOKUP(R9,'L XI AKL'!$B$9:$BI$43,29)</f>
        <v>78</v>
      </c>
      <c r="I32" s="212"/>
      <c r="J32" s="211">
        <f>VLOOKUP(R9,'L XI AKL'!$B$9:$BI$43,30)</f>
        <v>0</v>
      </c>
      <c r="K32" s="212"/>
      <c r="L32" s="13">
        <f>IF(J32=0,H32,AVERAGE(H32:K32))</f>
        <v>78</v>
      </c>
      <c r="M32" s="13" t="str">
        <f>IF(F32=60,IF(AND(L32&gt;$O$26,L32&lt;$P$26),$R$26,IF(AND(L32&gt;=$O$27,L32&lt;=$P$27),$R$27,IF(AND(L32&gt;=$O$28,L32&lt;=$P$28),$R$28,IF(AND(L32&gt;=$O$29,L32&lt;=$P$29),$R$29,IF(AND(L32&gt;=$O$30,L32&lt;=$P$30),$R$30,IF(AND(L32&gt;=$O$31,L32&lt;=$P$31),$R$31,IF(AND(L32&gt;=$O$32,L32&lt;=$P$32),$R$32,IF(AND(L32&gt;=$O$33,L32&lt;$P$33),$R$33,IF(AND(L32&gt;$O$34,L32&lt;$P$34),$R$34,IF(AND(L32&lt;=$P$35),$R$35,0)))))))))),IF(F32=70,IF(AND(L32&gt;$O$39,L32&lt;$P$39),$R$39,IF(AND(L32&gt;=$O$40,L32&lt;=$P$40),$R$40,IF(AND(L32&gt;=$O$41,L32&lt;=$P$41),$R$41,IF(AND(L32&gt;=$O$42,L32&lt;=$P$42),$R$42,IF(AND(L32&gt;=$O$43,L32&lt;=$P$43),$R$43,IF(AND(L32&gt;=$O$44,L32&lt;=$P$44),$R$44,IF(AND(L32&gt;=$O$45,L32&lt;=$P$45),$R$45,IF(AND(L32&gt;=$O$46,L32&lt;$P$46),$R$46,IF(AND(L32&gt;$O$47,L32&lt;$P$47),$R$47,IF(AND(L32&lt;=$P$48),$R$48,0))))))))))))</f>
        <v>B-</v>
      </c>
      <c r="O32" s="117">
        <v>64.5</v>
      </c>
      <c r="P32" s="110">
        <v>69.489999999999995</v>
      </c>
      <c r="Q32" s="47" t="s">
        <v>6</v>
      </c>
      <c r="R32" s="52" t="s">
        <v>132</v>
      </c>
    </row>
    <row r="33" spans="2:18" ht="15.75" x14ac:dyDescent="0.25">
      <c r="B33" s="13">
        <v>2</v>
      </c>
      <c r="C33" s="183" t="s">
        <v>214</v>
      </c>
      <c r="D33" s="183"/>
      <c r="E33" s="183"/>
      <c r="F33" s="209">
        <f>'MP XI AKL'!G19</f>
        <v>70</v>
      </c>
      <c r="G33" s="210"/>
      <c r="H33" s="211">
        <f>VLOOKUP(R9,'L XI AKL'!$B$9:$BI$43,32)</f>
        <v>84</v>
      </c>
      <c r="I33" s="212"/>
      <c r="J33" s="211">
        <f>VLOOKUP(R9,'L XI AKL'!$B$9:$BI$43,33)</f>
        <v>0</v>
      </c>
      <c r="K33" s="212"/>
      <c r="L33" s="13">
        <f t="shared" ref="L33:L37" si="4">IF(J33=0,H33,AVERAGE(H33:K33))</f>
        <v>84</v>
      </c>
      <c r="M33" s="13" t="str">
        <f t="shared" ref="M33:M36" si="5">IF(F33=60,IF(AND(L33&gt;$O$26,L33&lt;$P$26),$R$26,IF(AND(L33&gt;=$O$27,L33&lt;=$P$27),$R$27,IF(AND(L33&gt;=$O$28,L33&lt;=$P$28),$R$28,IF(AND(L33&gt;=$O$29,L33&lt;=$P$29),$R$29,IF(AND(L33&gt;=$O$30,L33&lt;=$P$30),$R$30,IF(AND(L33&gt;=$O$31,L33&lt;=$P$31),$R$31,IF(AND(L33&gt;=$O$32,L33&lt;=$P$32),$R$32,IF(AND(L33&gt;=$O$33,L33&lt;$P$33),$R$33,IF(AND(L33&gt;$O$34,L33&lt;$P$34),$R$34,IF(AND(L33&lt;=$P$35),$R$35,0)))))))))),IF(F33=70,IF(AND(L33&gt;$O$39,L33&lt;$P$39),$R$39,IF(AND(L33&gt;=$O$40,L33&lt;=$P$40),$R$40,IF(AND(L33&gt;=$O$41,L33&lt;=$P$41),$R$41,IF(AND(L33&gt;=$O$42,L33&lt;=$P$42),$R$42,IF(AND(L33&gt;=$O$43,L33&lt;=$P$43),$R$43,IF(AND(L33&gt;=$O$44,L33&lt;=$P$44),$R$44,IF(AND(L33&gt;=$O$45,L33&lt;=$P$45),$R$45,IF(AND(L33&gt;=$O$46,L33&lt;$P$46),$R$46,IF(AND(L33&gt;$O$47,L33&lt;$P$47),$R$47,IF(AND(L33&lt;=$P$48),$R$48,0))))))))))))</f>
        <v>B</v>
      </c>
      <c r="O33" s="117">
        <v>59.5</v>
      </c>
      <c r="P33" s="110">
        <v>65.489999999999995</v>
      </c>
      <c r="Q33" s="47" t="s">
        <v>6</v>
      </c>
      <c r="R33" s="52" t="s">
        <v>131</v>
      </c>
    </row>
    <row r="34" spans="2:18" ht="15.75" x14ac:dyDescent="0.25">
      <c r="B34" s="13">
        <v>3</v>
      </c>
      <c r="C34" s="183" t="s">
        <v>65</v>
      </c>
      <c r="D34" s="183"/>
      <c r="E34" s="183"/>
      <c r="F34" s="209">
        <f>'MP XI AKL'!G20</f>
        <v>70</v>
      </c>
      <c r="G34" s="210"/>
      <c r="H34" s="211">
        <f>VLOOKUP(R9,'L XI AKL'!$B$9:$BI$43,35)</f>
        <v>82</v>
      </c>
      <c r="I34" s="212"/>
      <c r="J34" s="211">
        <f>VLOOKUP(R9,'L XI AKL'!$B$9:$BI$43,36)</f>
        <v>0</v>
      </c>
      <c r="K34" s="212"/>
      <c r="L34" s="13">
        <f t="shared" si="4"/>
        <v>82</v>
      </c>
      <c r="M34" s="13" t="str">
        <f t="shared" si="5"/>
        <v>B</v>
      </c>
      <c r="O34" s="117">
        <v>54.5</v>
      </c>
      <c r="P34" s="110">
        <v>59.49</v>
      </c>
      <c r="Q34" s="47" t="s">
        <v>6</v>
      </c>
      <c r="R34" s="52" t="s">
        <v>130</v>
      </c>
    </row>
    <row r="35" spans="2:18" ht="16.5" thickBot="1" x14ac:dyDescent="0.3">
      <c r="B35" s="13">
        <v>4</v>
      </c>
      <c r="C35" s="187" t="s">
        <v>81</v>
      </c>
      <c r="D35" s="187"/>
      <c r="E35" s="187"/>
      <c r="F35" s="209">
        <f>'MP XI AKL'!G21</f>
        <v>70</v>
      </c>
      <c r="G35" s="210"/>
      <c r="H35" s="211">
        <f>VLOOKUP(R9,'L XI AKL'!$B$9:$BI$43,38)</f>
        <v>82</v>
      </c>
      <c r="I35" s="212"/>
      <c r="J35" s="211">
        <f>VLOOKUP(R9,'L XI AKL'!$B$9:$BI$43,39)</f>
        <v>0</v>
      </c>
      <c r="K35" s="212"/>
      <c r="L35" s="13">
        <f t="shared" si="4"/>
        <v>82</v>
      </c>
      <c r="M35" s="13" t="str">
        <f>IF(F35=60,IF(AND(L35&gt;$O$26,L35&lt;$P$26),$R$26,IF(AND(L35&gt;=$O$27,L35&lt;=$P$27),$R$27,IF(AND(L35&gt;=$O$28,L35&lt;=$P$28),$R$28,IF(AND(L35&gt;=$O$29,L35&lt;=$P$29),$R$29,IF(AND(L35&gt;=$O$30,L35&lt;=$P$30),$R$30,IF(AND(L35&gt;=$O$31,L35&lt;=$P$31),$R$31,IF(AND(L35&gt;=$O$32,L35&lt;=$P$32),$R$32,IF(AND(L35&gt;=$O$33,L35&lt;$P$33),$R$33,IF(AND(L35&gt;$O$34,L35&lt;$P$34),$R$34,IF(AND(L35&lt;=$P$35),$R$35,0)))))))))),IF(F35=70,IF(AND(L35&gt;$O$39,L35&lt;$P$39),$R$39,IF(AND(L35&gt;=$O$40,L35&lt;=$P$40),$R$40,IF(AND(L35&gt;=$O$41,L35&lt;=$P$41),$R$41,IF(AND(L35&gt;=$O$42,L35&lt;=$P$42),$R$42,IF(AND(L35&gt;=$O$43,L35&lt;=$P$43),$R$43,IF(AND(L35&gt;=$O$44,L35&lt;=$P$44),$R$44,IF(AND(L35&gt;=$O$45,L35&lt;=$P$45),$R$45,IF(AND(L35&gt;=$O$46,L35&lt;$P$46),$R$46,IF(AND(L35&gt;$O$47,L35&lt;$P$47),$R$47,IF(AND(L35&lt;=$P$48),$R$48,0))))))))))))</f>
        <v>B</v>
      </c>
      <c r="O35" s="112">
        <v>49.5</v>
      </c>
      <c r="P35" s="111">
        <v>54.49</v>
      </c>
      <c r="Q35" s="49" t="s">
        <v>6</v>
      </c>
      <c r="R35" s="50" t="s">
        <v>129</v>
      </c>
    </row>
    <row r="36" spans="2:18" ht="16.5" thickBot="1" x14ac:dyDescent="0.3">
      <c r="B36" s="13">
        <v>5</v>
      </c>
      <c r="C36" s="183" t="s">
        <v>82</v>
      </c>
      <c r="D36" s="183"/>
      <c r="E36" s="183"/>
      <c r="F36" s="209">
        <f>'MP XI AKL'!G22</f>
        <v>70</v>
      </c>
      <c r="G36" s="210"/>
      <c r="H36" s="211">
        <f>VLOOKUP(R9,'L XI AKL'!$B$9:$BI$43,41)</f>
        <v>68</v>
      </c>
      <c r="I36" s="212"/>
      <c r="J36" s="211">
        <f>VLOOKUP(R9,'L XI AKL'!$B$9:$BI$43,42)</f>
        <v>0</v>
      </c>
      <c r="K36" s="212"/>
      <c r="L36" s="13">
        <f t="shared" si="4"/>
        <v>68</v>
      </c>
      <c r="M36" s="13" t="str">
        <f t="shared" si="5"/>
        <v>C-</v>
      </c>
      <c r="O36" s="20"/>
      <c r="P36" s="20"/>
      <c r="Q36" s="20"/>
      <c r="R36" s="20"/>
    </row>
    <row r="37" spans="2:18" ht="15.75" x14ac:dyDescent="0.25">
      <c r="B37" s="13">
        <v>6</v>
      </c>
      <c r="C37" s="183" t="s">
        <v>83</v>
      </c>
      <c r="D37" s="183"/>
      <c r="E37" s="183"/>
      <c r="F37" s="209">
        <f>'MP XI AKL'!G23</f>
        <v>70</v>
      </c>
      <c r="G37" s="210"/>
      <c r="H37" s="211">
        <f>VLOOKUP(R9,'L XI AKL'!$B$9:$BI$43,44)</f>
        <v>70</v>
      </c>
      <c r="I37" s="212"/>
      <c r="J37" s="211">
        <f>VLOOKUP(R9,'L XI AKL'!$B$9:$BI$43,45)</f>
        <v>0</v>
      </c>
      <c r="K37" s="212"/>
      <c r="L37" s="13">
        <f t="shared" si="4"/>
        <v>70</v>
      </c>
      <c r="M37" s="13" t="str">
        <f>IF(F37=60,IF(AND(L37&gt;$O$26,L37&lt;$P$26),$R$26,IF(AND(L37&gt;=$O$27,L37&lt;=$P$27),$R$27,IF(AND(L37&gt;=$O$28,L37&lt;=$P$28),$R$28,IF(AND(L37&gt;=$O$29,L37&lt;=$P$29),$R$29,IF(AND(L37&gt;=$O$30,L37&lt;=$P$30),$R$30,IF(AND(L37&gt;=$O$31,L37&lt;=$P$31),$R$31,IF(AND(L37&gt;=$O$32,L37&lt;=$P$32),$R$32,IF(AND(L37&gt;=$O$33,L37&lt;$P$33),$R$33,IF(AND(L37&gt;$O$34,L37&lt;$P$34),$R$34,IF(AND(L37&lt;=$P$35),$R$35,0)))))))))),IF(F37=70,IF(AND(L37&gt;$O$39,L37&lt;$P$39),$R$39,IF(AND(L37&gt;=$O$40,L37&lt;=$P$40),$R$40,IF(AND(L37&gt;=$O$41,L37&lt;=$P$41),$R$41,IF(AND(L37&gt;=$O$42,L37&lt;=$P$42),$R$42,IF(AND(L37&gt;=$O$43,L37&lt;=$P$43),$R$43,IF(AND(L37&gt;=$O$44,L37&lt;=$P$44),$R$44,IF(AND(L37&gt;=$O$45,L37&lt;=$P$45),$R$45,IF(AND(L37&gt;=$O$46,L37&lt;$P$46),$R$46,IF(AND(L37&gt;$O$47,L37&lt;$P$47),$R$47,IF(AND(L37&lt;=$P$48),$R$48,0))))))))))))</f>
        <v>C</v>
      </c>
      <c r="O37" s="320" t="s">
        <v>140</v>
      </c>
      <c r="P37" s="321"/>
      <c r="Q37" s="321"/>
      <c r="R37" s="322"/>
    </row>
    <row r="38" spans="2:18" ht="16.5" thickBot="1" x14ac:dyDescent="0.3">
      <c r="B38" s="209" t="s">
        <v>60</v>
      </c>
      <c r="C38" s="304"/>
      <c r="D38" s="304"/>
      <c r="E38" s="304"/>
      <c r="F38" s="304"/>
      <c r="G38" s="210"/>
      <c r="H38" s="332">
        <f>VLOOKUP(R9,'L XI AKL'!$B$9:$BI$43,59)</f>
        <v>2170</v>
      </c>
      <c r="I38" s="332"/>
      <c r="J38" s="332"/>
      <c r="K38" s="332"/>
      <c r="L38" s="332"/>
      <c r="M38" s="332"/>
      <c r="O38" s="48" t="s">
        <v>141</v>
      </c>
      <c r="P38" s="49" t="s">
        <v>142</v>
      </c>
      <c r="Q38" s="49"/>
      <c r="R38" s="50" t="s">
        <v>138</v>
      </c>
    </row>
    <row r="39" spans="2:18" ht="15.75" x14ac:dyDescent="0.25">
      <c r="B39" s="336" t="s">
        <v>61</v>
      </c>
      <c r="C39" s="337"/>
      <c r="D39" s="337"/>
      <c r="E39" s="337"/>
      <c r="F39" s="337"/>
      <c r="G39" s="338"/>
      <c r="H39" s="339">
        <f>VLOOKUP(R9,'L XI AKL'!$B$9:$BI$43,60)</f>
        <v>3</v>
      </c>
      <c r="I39" s="339"/>
      <c r="J39" s="339"/>
      <c r="K39" s="339"/>
      <c r="L39" s="339"/>
      <c r="M39" s="339"/>
      <c r="O39" s="121">
        <v>96.5</v>
      </c>
      <c r="P39" s="122">
        <v>100</v>
      </c>
      <c r="Q39" s="45" t="s">
        <v>6</v>
      </c>
      <c r="R39" s="51" t="s">
        <v>137</v>
      </c>
    </row>
    <row r="40" spans="2:18" ht="15.75" x14ac:dyDescent="0.25">
      <c r="B40" s="334" t="s">
        <v>165</v>
      </c>
      <c r="C40" s="334"/>
      <c r="D40" s="334"/>
      <c r="E40" s="334"/>
      <c r="F40" s="334"/>
      <c r="G40" s="334"/>
      <c r="H40" s="334"/>
      <c r="I40" s="334"/>
      <c r="J40" s="334"/>
      <c r="K40" s="334"/>
      <c r="L40" s="334"/>
      <c r="M40" s="334"/>
      <c r="O40" s="123">
        <v>93.5</v>
      </c>
      <c r="P40" s="110">
        <v>96.49</v>
      </c>
      <c r="Q40" s="47" t="s">
        <v>6</v>
      </c>
      <c r="R40" s="52" t="s">
        <v>136</v>
      </c>
    </row>
    <row r="41" spans="2:18" ht="15" x14ac:dyDescent="0.25">
      <c r="B41" s="94" t="s">
        <v>27</v>
      </c>
      <c r="C41" s="267" t="s">
        <v>36</v>
      </c>
      <c r="D41" s="268"/>
      <c r="E41" s="269"/>
      <c r="F41" s="265" t="s">
        <v>172</v>
      </c>
      <c r="G41" s="265"/>
      <c r="H41" s="265"/>
      <c r="I41" s="265"/>
      <c r="J41" s="265"/>
      <c r="K41" s="265"/>
      <c r="L41" s="265"/>
      <c r="M41" s="265"/>
      <c r="O41" s="123">
        <v>89.5</v>
      </c>
      <c r="P41" s="110">
        <v>93.49</v>
      </c>
      <c r="Q41" s="47" t="s">
        <v>6</v>
      </c>
      <c r="R41" s="52" t="s">
        <v>135</v>
      </c>
    </row>
    <row r="42" spans="2:18" ht="15" x14ac:dyDescent="0.25">
      <c r="B42" s="7">
        <v>1</v>
      </c>
      <c r="C42" s="96" t="s">
        <v>166</v>
      </c>
      <c r="D42" s="95" t="s">
        <v>6</v>
      </c>
      <c r="E42" s="109">
        <f>VLOOKUP(R9,'BK &amp; EX &amp; PKL &amp; Press'!$B$9:$BO$66,26,0)</f>
        <v>0</v>
      </c>
      <c r="F42" s="266">
        <f>VLOOKUP(R9,'BK &amp; EX &amp; PKL &amp; Press'!$B$9:$BO$66,27,0)</f>
        <v>0</v>
      </c>
      <c r="G42" s="266"/>
      <c r="H42" s="266"/>
      <c r="I42" s="266"/>
      <c r="J42" s="266"/>
      <c r="K42" s="266"/>
      <c r="L42" s="266"/>
      <c r="M42" s="266"/>
      <c r="O42" s="123">
        <v>85.5</v>
      </c>
      <c r="P42" s="110">
        <v>89.49</v>
      </c>
      <c r="Q42" s="47" t="s">
        <v>6</v>
      </c>
      <c r="R42" s="52" t="s">
        <v>134</v>
      </c>
    </row>
    <row r="43" spans="2:18" ht="15" x14ac:dyDescent="0.25">
      <c r="B43" s="7">
        <v>2</v>
      </c>
      <c r="C43" s="96" t="s">
        <v>159</v>
      </c>
      <c r="D43" s="95" t="s">
        <v>6</v>
      </c>
      <c r="E43" s="109">
        <f>VLOOKUP(R9,'BK &amp; EX &amp; PKL &amp; Press'!$B$9:$BO$66,29,0)</f>
        <v>0</v>
      </c>
      <c r="F43" s="266">
        <f>VLOOKUP(R9,'BK &amp; EX &amp; PKL &amp; Press'!$B$9:$BO$66,30,0)</f>
        <v>0</v>
      </c>
      <c r="G43" s="266"/>
      <c r="H43" s="266"/>
      <c r="I43" s="266"/>
      <c r="J43" s="266"/>
      <c r="K43" s="266"/>
      <c r="L43" s="266"/>
      <c r="M43" s="266"/>
      <c r="O43" s="123">
        <v>81.5</v>
      </c>
      <c r="P43" s="110">
        <v>85.49</v>
      </c>
      <c r="Q43" s="47" t="s">
        <v>6</v>
      </c>
      <c r="R43" s="52" t="s">
        <v>118</v>
      </c>
    </row>
    <row r="44" spans="2:18" ht="15" x14ac:dyDescent="0.25">
      <c r="B44" s="7">
        <v>3</v>
      </c>
      <c r="C44" s="96" t="s">
        <v>167</v>
      </c>
      <c r="D44" s="95" t="s">
        <v>6</v>
      </c>
      <c r="E44" s="109">
        <f>VLOOKUP(R9,'BK &amp; EX &amp; PKL &amp; Press'!$B$9:$BO$66,32,0)</f>
        <v>0</v>
      </c>
      <c r="F44" s="266">
        <f>VLOOKUP(R9,'BK &amp; EX &amp; PKL &amp; Press'!$B$9:$BO$66,33,0)</f>
        <v>0</v>
      </c>
      <c r="G44" s="266"/>
      <c r="H44" s="266"/>
      <c r="I44" s="266"/>
      <c r="J44" s="266"/>
      <c r="K44" s="266"/>
      <c r="L44" s="266"/>
      <c r="M44" s="266"/>
      <c r="O44" s="123">
        <v>77.5</v>
      </c>
      <c r="P44" s="110">
        <v>81.489999999999995</v>
      </c>
      <c r="Q44" s="47" t="s">
        <v>6</v>
      </c>
      <c r="R44" s="52" t="s">
        <v>133</v>
      </c>
    </row>
    <row r="45" spans="2:18" ht="15" x14ac:dyDescent="0.25">
      <c r="B45" s="7">
        <v>4</v>
      </c>
      <c r="C45" s="96" t="s">
        <v>168</v>
      </c>
      <c r="D45" s="95" t="s">
        <v>6</v>
      </c>
      <c r="E45" s="109" t="str">
        <f>VLOOKUP(R9,'BK &amp; EX &amp; PKL &amp; Press'!$B$9:$BO$66,35,0)</f>
        <v xml:space="preserve">A+ </v>
      </c>
      <c r="F45" s="266" t="str">
        <f>VLOOKUP(R9,'BK &amp; EX &amp; PKL &amp; Press'!$B$9:$BO$66,36,0)</f>
        <v>Menguasai materi seni tari dengan baik. Kehadiran sangat baik</v>
      </c>
      <c r="G45" s="266"/>
      <c r="H45" s="266"/>
      <c r="I45" s="266"/>
      <c r="J45" s="266"/>
      <c r="K45" s="266"/>
      <c r="L45" s="266"/>
      <c r="M45" s="266"/>
      <c r="O45" s="123">
        <v>73.5</v>
      </c>
      <c r="P45" s="110">
        <v>77.489999999999995</v>
      </c>
      <c r="Q45" s="47" t="s">
        <v>6</v>
      </c>
      <c r="R45" s="52" t="s">
        <v>138</v>
      </c>
    </row>
    <row r="46" spans="2:18" ht="15" x14ac:dyDescent="0.25">
      <c r="B46" s="7">
        <v>5</v>
      </c>
      <c r="C46" s="96" t="s">
        <v>169</v>
      </c>
      <c r="D46" s="95" t="s">
        <v>6</v>
      </c>
      <c r="E46" s="109">
        <f>VLOOKUP(R9,'BK &amp; EX &amp; PKL &amp; Press'!$B$9:$BO$66,38,0)</f>
        <v>0</v>
      </c>
      <c r="F46" s="266">
        <f>VLOOKUP(R9,'BK &amp; EX &amp; PKL &amp; Press'!$B$9:$BO$66,39,0)</f>
        <v>0</v>
      </c>
      <c r="G46" s="266"/>
      <c r="H46" s="266"/>
      <c r="I46" s="266"/>
      <c r="J46" s="266"/>
      <c r="K46" s="266"/>
      <c r="L46" s="266"/>
      <c r="M46" s="266"/>
      <c r="O46" s="123">
        <v>69.5</v>
      </c>
      <c r="P46" s="110">
        <v>73.489999999999995</v>
      </c>
      <c r="Q46" s="47" t="s">
        <v>6</v>
      </c>
      <c r="R46" s="52" t="s">
        <v>131</v>
      </c>
    </row>
    <row r="47" spans="2:18" ht="15" x14ac:dyDescent="0.25">
      <c r="B47" s="7">
        <v>6</v>
      </c>
      <c r="C47" s="96" t="s">
        <v>160</v>
      </c>
      <c r="D47" s="95" t="s">
        <v>6</v>
      </c>
      <c r="E47" s="109">
        <f>VLOOKUP(R9,'BK &amp; EX &amp; PKL &amp; Press'!$B$9:$BO$66,41,0)</f>
        <v>0</v>
      </c>
      <c r="F47" s="266">
        <f>VLOOKUP(R9,'BK &amp; EX &amp; PKL &amp; Press'!$B$9:$BO$66,42,0)</f>
        <v>0</v>
      </c>
      <c r="G47" s="266"/>
      <c r="H47" s="266"/>
      <c r="I47" s="266"/>
      <c r="J47" s="266"/>
      <c r="K47" s="266"/>
      <c r="L47" s="266"/>
      <c r="M47" s="266"/>
      <c r="O47" s="123">
        <v>64.5</v>
      </c>
      <c r="P47" s="110">
        <v>69.489999999999995</v>
      </c>
      <c r="Q47" s="47" t="s">
        <v>6</v>
      </c>
      <c r="R47" s="52" t="s">
        <v>130</v>
      </c>
    </row>
    <row r="48" spans="2:18" ht="15.75" thickBot="1" x14ac:dyDescent="0.3">
      <c r="B48" s="7">
        <v>7</v>
      </c>
      <c r="C48" s="96" t="s">
        <v>170</v>
      </c>
      <c r="D48" s="95" t="s">
        <v>6</v>
      </c>
      <c r="E48" s="109">
        <f>VLOOKUP(R9,'BK &amp; EX &amp; PKL &amp; Press'!$B$9:$BO$66,44,0)</f>
        <v>0</v>
      </c>
      <c r="F48" s="266">
        <f>VLOOKUP(R9,'BK &amp; EX &amp; PKL &amp; Press'!$B$9:$BO$66,45,0)</f>
        <v>0</v>
      </c>
      <c r="G48" s="266"/>
      <c r="H48" s="266"/>
      <c r="I48" s="266"/>
      <c r="J48" s="266"/>
      <c r="K48" s="266"/>
      <c r="L48" s="266"/>
      <c r="M48" s="266"/>
      <c r="O48" s="48">
        <v>60.5</v>
      </c>
      <c r="P48" s="111">
        <v>64.489999999999995</v>
      </c>
      <c r="Q48" s="49" t="s">
        <v>6</v>
      </c>
      <c r="R48" s="50">
        <f>+O49</f>
        <v>0</v>
      </c>
    </row>
    <row r="49" spans="2:18" ht="15" x14ac:dyDescent="0.25">
      <c r="B49" s="7">
        <v>8</v>
      </c>
      <c r="C49" s="96" t="s">
        <v>171</v>
      </c>
      <c r="D49" s="95" t="s">
        <v>6</v>
      </c>
      <c r="E49" s="109">
        <f>VLOOKUP(R9,'BK &amp; EX &amp; PKL &amp; Press'!$B$9:$BO$66,47,0)</f>
        <v>0</v>
      </c>
      <c r="F49" s="266">
        <f>VLOOKUP(R9,'BK &amp; EX &amp; PKL &amp; Press'!$B$9:$BO$66,48,0)</f>
        <v>0</v>
      </c>
      <c r="G49" s="266"/>
      <c r="H49" s="266"/>
      <c r="I49" s="266"/>
      <c r="J49" s="266"/>
      <c r="K49" s="266"/>
      <c r="L49" s="266"/>
      <c r="M49" s="266"/>
      <c r="O49" s="103"/>
      <c r="P49" s="103"/>
      <c r="Q49" s="103"/>
      <c r="R49" s="103"/>
    </row>
    <row r="50" spans="2:18" ht="15" x14ac:dyDescent="0.25">
      <c r="B50" s="243" t="s">
        <v>173</v>
      </c>
      <c r="C50" s="244"/>
      <c r="D50" s="244"/>
      <c r="E50" s="245"/>
      <c r="F50" s="254" t="s">
        <v>174</v>
      </c>
      <c r="G50" s="254"/>
      <c r="H50" s="254"/>
      <c r="I50" s="97" t="s">
        <v>6</v>
      </c>
      <c r="J50" s="99">
        <f>VLOOKUP(R9,'BK &amp; EX &amp; PKL &amp; Press'!$B$9:$BO$66,56,0)</f>
        <v>0</v>
      </c>
      <c r="K50" s="254" t="s">
        <v>177</v>
      </c>
      <c r="L50" s="254"/>
      <c r="M50" s="257"/>
      <c r="O50" s="103"/>
      <c r="P50" s="103"/>
      <c r="Q50" s="103"/>
      <c r="R50" s="103"/>
    </row>
    <row r="51" spans="2:18" ht="15" x14ac:dyDescent="0.25">
      <c r="B51" s="246"/>
      <c r="C51" s="247"/>
      <c r="D51" s="247"/>
      <c r="E51" s="248"/>
      <c r="F51" s="253" t="s">
        <v>175</v>
      </c>
      <c r="G51" s="253"/>
      <c r="H51" s="253"/>
      <c r="I51" s="6" t="s">
        <v>6</v>
      </c>
      <c r="J51" s="100">
        <f>VLOOKUP(R9,'BK &amp; EX &amp; PKL &amp; Press'!$B$9:$BO$66,57,0)</f>
        <v>0</v>
      </c>
      <c r="K51" s="253" t="s">
        <v>177</v>
      </c>
      <c r="L51" s="253"/>
      <c r="M51" s="256"/>
      <c r="O51" s="103"/>
      <c r="P51" s="103"/>
      <c r="Q51" s="103"/>
      <c r="R51" s="103"/>
    </row>
    <row r="52" spans="2:18" ht="15" x14ac:dyDescent="0.25">
      <c r="B52" s="249"/>
      <c r="C52" s="250"/>
      <c r="D52" s="250"/>
      <c r="E52" s="251"/>
      <c r="F52" s="252" t="s">
        <v>176</v>
      </c>
      <c r="G52" s="252"/>
      <c r="H52" s="252"/>
      <c r="I52" s="98" t="s">
        <v>6</v>
      </c>
      <c r="J52" s="101">
        <f>VLOOKUP(R9,'BK &amp; EX &amp; PKL &amp; Press'!$B$9:$BO$66,58,0)</f>
        <v>0</v>
      </c>
      <c r="K52" s="252" t="s">
        <v>177</v>
      </c>
      <c r="L52" s="252"/>
      <c r="M52" s="255"/>
      <c r="O52" s="103"/>
      <c r="P52" s="103"/>
      <c r="Q52" s="103"/>
      <c r="R52" s="103"/>
    </row>
    <row r="53" spans="2:18" ht="15.75" x14ac:dyDescent="0.25">
      <c r="B53" s="271" t="s">
        <v>178</v>
      </c>
      <c r="C53" s="272"/>
      <c r="D53" s="272"/>
      <c r="E53" s="272"/>
      <c r="F53" s="272"/>
      <c r="G53" s="272"/>
      <c r="H53" s="272"/>
      <c r="I53" s="272"/>
      <c r="J53" s="272"/>
      <c r="K53" s="272"/>
      <c r="L53" s="272"/>
      <c r="M53" s="273"/>
      <c r="O53" s="103"/>
      <c r="P53" s="103"/>
      <c r="Q53" s="103"/>
      <c r="R53" s="103"/>
    </row>
    <row r="54" spans="2:18" ht="15" x14ac:dyDescent="0.25">
      <c r="B54" s="274"/>
      <c r="C54" s="151"/>
      <c r="D54" s="151"/>
      <c r="E54" s="151"/>
      <c r="F54" s="151"/>
      <c r="G54" s="151"/>
      <c r="H54" s="151"/>
      <c r="I54" s="151"/>
      <c r="J54" s="151"/>
      <c r="K54" s="151"/>
      <c r="L54" s="151"/>
      <c r="M54" s="275"/>
      <c r="O54" s="103"/>
      <c r="P54" s="103"/>
      <c r="Q54" s="103"/>
      <c r="R54" s="103"/>
    </row>
    <row r="55" spans="2:18" ht="42" customHeight="1" x14ac:dyDescent="0.25">
      <c r="B55" s="276"/>
      <c r="C55" s="277"/>
      <c r="D55" s="277"/>
      <c r="E55" s="277"/>
      <c r="F55" s="277"/>
      <c r="G55" s="277"/>
      <c r="H55" s="277"/>
      <c r="I55" s="277"/>
      <c r="J55" s="277"/>
      <c r="K55" s="277"/>
      <c r="L55" s="277"/>
      <c r="M55" s="278"/>
      <c r="O55" s="103"/>
      <c r="P55" s="103"/>
      <c r="Q55" s="103"/>
      <c r="R55" s="103"/>
    </row>
    <row r="56" spans="2:18" ht="15" x14ac:dyDescent="0.25">
      <c r="B56" s="6"/>
      <c r="C56" s="6"/>
      <c r="D56" s="6"/>
      <c r="E56" s="6"/>
      <c r="F56" s="6"/>
      <c r="G56" s="6"/>
      <c r="H56" s="6"/>
      <c r="I56" s="6"/>
      <c r="J56" s="6"/>
      <c r="K56" s="6"/>
      <c r="L56" s="6"/>
      <c r="M56" s="6"/>
      <c r="O56" s="103"/>
      <c r="P56" s="103"/>
      <c r="Q56" s="103"/>
      <c r="R56" s="103"/>
    </row>
    <row r="57" spans="2:18" ht="15.75" x14ac:dyDescent="0.25">
      <c r="B57" s="1"/>
      <c r="C57" s="1"/>
      <c r="D57" s="1"/>
      <c r="E57" s="1"/>
      <c r="F57" s="1"/>
      <c r="G57" s="1"/>
      <c r="H57" s="1"/>
      <c r="I57" s="1"/>
      <c r="J57" s="129" t="str">
        <f>ID!G11</f>
        <v>31 MARET 2023</v>
      </c>
      <c r="K57" s="129"/>
      <c r="L57" s="129"/>
      <c r="M57" s="129"/>
      <c r="O57" s="103"/>
      <c r="P57" s="103"/>
      <c r="Q57" s="103"/>
      <c r="R57" s="103"/>
    </row>
    <row r="58" spans="2:18" ht="15.75" x14ac:dyDescent="0.25">
      <c r="B58" s="203" t="s">
        <v>180</v>
      </c>
      <c r="C58" s="203"/>
      <c r="D58" s="203"/>
      <c r="E58" s="1"/>
      <c r="F58" s="1" t="s">
        <v>67</v>
      </c>
      <c r="G58" s="1"/>
      <c r="H58" s="1"/>
      <c r="I58" s="1"/>
      <c r="J58" s="1"/>
      <c r="K58" s="1"/>
      <c r="L58" s="1"/>
      <c r="M58" s="1"/>
      <c r="O58" s="103"/>
      <c r="P58" s="103"/>
      <c r="Q58" s="103"/>
      <c r="R58" s="103"/>
    </row>
    <row r="59" spans="2:18" ht="15.75" x14ac:dyDescent="0.25">
      <c r="B59" s="1"/>
      <c r="C59" s="1"/>
      <c r="D59" s="1"/>
      <c r="E59" s="203" t="s">
        <v>179</v>
      </c>
      <c r="F59" s="203"/>
      <c r="G59" s="203"/>
      <c r="H59" s="203"/>
      <c r="I59" s="203"/>
      <c r="J59" s="203" t="s">
        <v>62</v>
      </c>
      <c r="K59" s="203"/>
      <c r="L59" s="203"/>
      <c r="M59" s="203"/>
      <c r="O59" s="103"/>
      <c r="P59" s="103"/>
      <c r="Q59" s="103"/>
      <c r="R59" s="103"/>
    </row>
    <row r="60" spans="2:18" ht="15.75" x14ac:dyDescent="0.25">
      <c r="B60" s="1"/>
      <c r="C60" s="1"/>
      <c r="D60" s="1"/>
      <c r="E60" s="1"/>
      <c r="F60" s="1"/>
      <c r="G60" s="1"/>
      <c r="H60" s="1"/>
      <c r="I60" s="1"/>
      <c r="J60" s="1"/>
      <c r="K60" s="1"/>
      <c r="L60" s="1"/>
      <c r="M60" s="1"/>
      <c r="O60" s="103"/>
      <c r="P60" s="103"/>
      <c r="Q60" s="103"/>
      <c r="R60" s="103"/>
    </row>
    <row r="61" spans="2:18" ht="15.75" x14ac:dyDescent="0.25">
      <c r="B61" s="1"/>
      <c r="C61" s="1"/>
      <c r="D61" s="1"/>
      <c r="E61" s="1"/>
      <c r="F61" s="1"/>
      <c r="G61" s="1"/>
      <c r="H61" s="1"/>
      <c r="I61" s="1"/>
      <c r="J61" s="1"/>
      <c r="K61" s="1"/>
      <c r="L61" s="1"/>
      <c r="M61" s="1"/>
      <c r="O61" s="103"/>
      <c r="P61" s="103"/>
      <c r="Q61" s="103"/>
      <c r="R61" s="103"/>
    </row>
    <row r="62" spans="2:18" ht="15.75" x14ac:dyDescent="0.25">
      <c r="B62" s="1"/>
      <c r="C62" s="1"/>
      <c r="D62" s="1"/>
      <c r="E62" s="1"/>
      <c r="F62" s="1"/>
      <c r="G62" s="1"/>
      <c r="H62" s="1"/>
      <c r="I62" s="1"/>
      <c r="J62" s="1"/>
      <c r="K62" s="1"/>
      <c r="L62" s="1"/>
      <c r="M62" s="1"/>
      <c r="O62" s="103"/>
      <c r="P62" s="103"/>
      <c r="Q62" s="103"/>
      <c r="R62" s="103"/>
    </row>
    <row r="63" spans="2:18" ht="15.75" x14ac:dyDescent="0.25">
      <c r="B63" s="270" t="s">
        <v>210</v>
      </c>
      <c r="C63" s="270"/>
      <c r="D63" s="270"/>
      <c r="E63" s="204" t="str">
        <f>ID!G6</f>
        <v>Sri Rahayu, S.Pd., SE.</v>
      </c>
      <c r="F63" s="204"/>
      <c r="G63" s="204"/>
      <c r="H63" s="204"/>
      <c r="I63" s="204"/>
      <c r="J63" s="204" t="str">
        <f>ID!G10</f>
        <v>SURADI S.Pd.</v>
      </c>
      <c r="K63" s="204"/>
      <c r="L63" s="204"/>
      <c r="M63" s="204"/>
      <c r="O63" s="103"/>
      <c r="P63" s="103"/>
      <c r="Q63" s="103"/>
      <c r="R63" s="103"/>
    </row>
    <row r="64" spans="2:18" ht="15.75" x14ac:dyDescent="0.25">
      <c r="B64" s="4"/>
      <c r="C64" s="4"/>
      <c r="D64" s="4"/>
      <c r="E64" s="4"/>
      <c r="F64" s="1"/>
      <c r="G64" s="1"/>
      <c r="H64" s="4"/>
      <c r="I64" s="4"/>
      <c r="J64" s="4"/>
      <c r="K64" s="4"/>
      <c r="L64" s="4"/>
      <c r="M64" s="4"/>
    </row>
    <row r="65" spans="19:19" s="12" customFormat="1" ht="7.5" customHeight="1" x14ac:dyDescent="0.25">
      <c r="S65"/>
    </row>
  </sheetData>
  <sheetProtection selectLockedCells="1"/>
  <mergeCells count="131">
    <mergeCell ref="B53:M53"/>
    <mergeCell ref="B54:M55"/>
    <mergeCell ref="J57:M57"/>
    <mergeCell ref="B58:D58"/>
    <mergeCell ref="E59:I59"/>
    <mergeCell ref="J59:M59"/>
    <mergeCell ref="B63:D63"/>
    <mergeCell ref="E63:I63"/>
    <mergeCell ref="J63:M63"/>
    <mergeCell ref="F48:M48"/>
    <mergeCell ref="F49:M49"/>
    <mergeCell ref="B50:E52"/>
    <mergeCell ref="F50:H50"/>
    <mergeCell ref="K50:M50"/>
    <mergeCell ref="F51:H51"/>
    <mergeCell ref="K51:M51"/>
    <mergeCell ref="F52:H52"/>
    <mergeCell ref="K52:M52"/>
    <mergeCell ref="B38:G38"/>
    <mergeCell ref="H38:M38"/>
    <mergeCell ref="B39:G39"/>
    <mergeCell ref="H39:M39"/>
    <mergeCell ref="B40:M40"/>
    <mergeCell ref="C41:E41"/>
    <mergeCell ref="F41:M41"/>
    <mergeCell ref="F42:M42"/>
    <mergeCell ref="F43:M43"/>
    <mergeCell ref="F44:M44"/>
    <mergeCell ref="F45:M45"/>
    <mergeCell ref="F46:M46"/>
    <mergeCell ref="F47:M47"/>
    <mergeCell ref="D2:M2"/>
    <mergeCell ref="D3:M3"/>
    <mergeCell ref="D4:M4"/>
    <mergeCell ref="V2:AC2"/>
    <mergeCell ref="V3:AC3"/>
    <mergeCell ref="V4:AC4"/>
    <mergeCell ref="V5:AC5"/>
    <mergeCell ref="V6:AC6"/>
    <mergeCell ref="C19:E19"/>
    <mergeCell ref="F19:G19"/>
    <mergeCell ref="H19:I19"/>
    <mergeCell ref="J19:K19"/>
    <mergeCell ref="O7:R8"/>
    <mergeCell ref="V7:AC7"/>
    <mergeCell ref="V8:AC8"/>
    <mergeCell ref="P9:Q11"/>
    <mergeCell ref="R9:R11"/>
    <mergeCell ref="V9:AC9"/>
    <mergeCell ref="P12:Q14"/>
    <mergeCell ref="R12:R14"/>
    <mergeCell ref="D5:M5"/>
    <mergeCell ref="D6:M6"/>
    <mergeCell ref="D7:M7"/>
    <mergeCell ref="D8:M8"/>
    <mergeCell ref="D9:M9"/>
    <mergeCell ref="B10:M10"/>
    <mergeCell ref="B11:M11"/>
    <mergeCell ref="B14:C14"/>
    <mergeCell ref="E14:F14"/>
    <mergeCell ref="J14:M14"/>
    <mergeCell ref="J15:M15"/>
    <mergeCell ref="J16:M16"/>
    <mergeCell ref="C22:E22"/>
    <mergeCell ref="F22:G22"/>
    <mergeCell ref="H22:I22"/>
    <mergeCell ref="J22:K22"/>
    <mergeCell ref="B12:M12"/>
    <mergeCell ref="B15:C15"/>
    <mergeCell ref="E15:F15"/>
    <mergeCell ref="B16:C16"/>
    <mergeCell ref="E16:F16"/>
    <mergeCell ref="B20:M20"/>
    <mergeCell ref="C21:E21"/>
    <mergeCell ref="F21:G21"/>
    <mergeCell ref="H21:I21"/>
    <mergeCell ref="J21:K21"/>
    <mergeCell ref="B18:M18"/>
    <mergeCell ref="B26:M26"/>
    <mergeCell ref="C27:E27"/>
    <mergeCell ref="F27:G27"/>
    <mergeCell ref="H27:I27"/>
    <mergeCell ref="J27:K27"/>
    <mergeCell ref="C25:E25"/>
    <mergeCell ref="F25:G25"/>
    <mergeCell ref="H25:I25"/>
    <mergeCell ref="C23:E23"/>
    <mergeCell ref="F23:G23"/>
    <mergeCell ref="H23:I23"/>
    <mergeCell ref="C24:E24"/>
    <mergeCell ref="F24:G24"/>
    <mergeCell ref="H24:I24"/>
    <mergeCell ref="J23:K23"/>
    <mergeCell ref="J24:K24"/>
    <mergeCell ref="J25:K25"/>
    <mergeCell ref="J34:K34"/>
    <mergeCell ref="J35:K35"/>
    <mergeCell ref="B31:M31"/>
    <mergeCell ref="C28:E28"/>
    <mergeCell ref="F28:G28"/>
    <mergeCell ref="H28:I28"/>
    <mergeCell ref="C29:E29"/>
    <mergeCell ref="F29:G29"/>
    <mergeCell ref="H29:I29"/>
    <mergeCell ref="J28:K28"/>
    <mergeCell ref="J29:K29"/>
    <mergeCell ref="B30:M30"/>
    <mergeCell ref="O24:R24"/>
    <mergeCell ref="O37:R37"/>
    <mergeCell ref="C37:E37"/>
    <mergeCell ref="F37:G37"/>
    <mergeCell ref="H37:I37"/>
    <mergeCell ref="C36:E36"/>
    <mergeCell ref="F36:G36"/>
    <mergeCell ref="H36:I36"/>
    <mergeCell ref="J36:K36"/>
    <mergeCell ref="J37:K37"/>
    <mergeCell ref="C32:E32"/>
    <mergeCell ref="F32:G32"/>
    <mergeCell ref="H32:I32"/>
    <mergeCell ref="J32:K32"/>
    <mergeCell ref="C35:E35"/>
    <mergeCell ref="F35:G35"/>
    <mergeCell ref="H35:I35"/>
    <mergeCell ref="C33:E33"/>
    <mergeCell ref="F33:G33"/>
    <mergeCell ref="H33:I33"/>
    <mergeCell ref="C34:E34"/>
    <mergeCell ref="F34:G34"/>
    <mergeCell ref="H34:I34"/>
    <mergeCell ref="J33:K33"/>
  </mergeCells>
  <printOptions horizontalCentered="1"/>
  <pageMargins left="0.31496062992125984" right="0.31496062992125984" top="0.23622047244094491" bottom="0.23622047244094491" header="0.31496062992125984" footer="0.31496062992125984"/>
  <pageSetup paperSize="10000" scale="87"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Spinner 1">
              <controlPr defaultSize="0" autoPict="0">
                <anchor moveWithCells="1" sizeWithCells="1">
                  <from>
                    <xdr:col>14</xdr:col>
                    <xdr:colOff>28575</xdr:colOff>
                    <xdr:row>8</xdr:row>
                    <xdr:rowOff>0</xdr:rowOff>
                  </from>
                  <to>
                    <xdr:col>14</xdr:col>
                    <xdr:colOff>466725</xdr:colOff>
                    <xdr:row>14</xdr:row>
                    <xdr:rowOff>19050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1">
    <tabColor rgb="FF00B0F0"/>
    <pageSetUpPr fitToPage="1"/>
  </sheetPr>
  <dimension ref="A1:AC45"/>
  <sheetViews>
    <sheetView zoomScale="70" zoomScaleNormal="70" workbookViewId="0">
      <selection activeCell="J19" sqref="J19:K19"/>
    </sheetView>
  </sheetViews>
  <sheetFormatPr defaultColWidth="0" defaultRowHeight="0" customHeight="1" zeroHeight="1" x14ac:dyDescent="0.25"/>
  <cols>
    <col min="1" max="1" width="1.5703125" style="12" customWidth="1"/>
    <col min="2" max="2" width="4.7109375" customWidth="1"/>
    <col min="3" max="3" width="16.7109375" customWidth="1"/>
    <col min="4" max="4" width="1.140625" customWidth="1"/>
    <col min="5" max="5" width="22.42578125" customWidth="1"/>
    <col min="6" max="6" width="9.42578125" customWidth="1"/>
    <col min="7" max="7" width="2.140625" customWidth="1"/>
    <col min="8" max="8" width="17.140625" customWidth="1"/>
    <col min="9" max="9" width="2.28515625" customWidth="1"/>
    <col min="10" max="10" width="16.140625" customWidth="1"/>
    <col min="11" max="11" width="1.85546875" customWidth="1"/>
    <col min="12" max="12" width="4.85546875" customWidth="1"/>
    <col min="13" max="13" width="13.7109375" customWidth="1"/>
    <col min="14" max="14" width="1.7109375" customWidth="1"/>
    <col min="15" max="16" width="9.140625" customWidth="1"/>
    <col min="17" max="17" width="2.42578125" customWidth="1"/>
    <col min="18" max="18" width="16.7109375" customWidth="1"/>
    <col min="19" max="19" width="1" customWidth="1"/>
    <col min="20" max="20" width="1.7109375" style="12" customWidth="1"/>
    <col min="21" max="29" width="0" hidden="1" customWidth="1"/>
    <col min="30" max="16384" width="9.140625" hidden="1"/>
  </cols>
  <sheetData>
    <row r="1" spans="2:29" s="21" customFormat="1" ht="7.5" customHeight="1" x14ac:dyDescent="0.25"/>
    <row r="2" spans="2:29" ht="15.75" x14ac:dyDescent="0.25">
      <c r="C2" s="3"/>
      <c r="D2" s="204" t="s">
        <v>11</v>
      </c>
      <c r="E2" s="204"/>
      <c r="F2" s="204"/>
      <c r="G2" s="204"/>
      <c r="H2" s="204"/>
      <c r="I2" s="204"/>
      <c r="J2" s="204"/>
      <c r="K2" s="204"/>
      <c r="L2" s="204"/>
      <c r="M2" s="204"/>
      <c r="N2" s="20"/>
      <c r="O2" s="20"/>
      <c r="P2" s="20"/>
      <c r="Q2" s="20"/>
      <c r="R2" s="20"/>
      <c r="V2" s="204"/>
      <c r="W2" s="204"/>
      <c r="X2" s="204"/>
      <c r="Y2" s="204"/>
      <c r="Z2" s="204"/>
      <c r="AA2" s="204"/>
      <c r="AB2" s="204"/>
      <c r="AC2" s="204"/>
    </row>
    <row r="3" spans="2:29" ht="15.75" x14ac:dyDescent="0.25">
      <c r="C3" s="3"/>
      <c r="D3" s="204" t="s">
        <v>12</v>
      </c>
      <c r="E3" s="204"/>
      <c r="F3" s="204"/>
      <c r="G3" s="204"/>
      <c r="H3" s="204"/>
      <c r="I3" s="204"/>
      <c r="J3" s="204"/>
      <c r="K3" s="204"/>
      <c r="L3" s="204"/>
      <c r="M3" s="204"/>
      <c r="N3" s="20"/>
      <c r="O3" s="20"/>
      <c r="P3" s="20"/>
      <c r="Q3" s="20"/>
      <c r="R3" s="20"/>
      <c r="V3" s="204"/>
      <c r="W3" s="204"/>
      <c r="X3" s="204"/>
      <c r="Y3" s="204"/>
      <c r="Z3" s="204"/>
      <c r="AA3" s="204"/>
      <c r="AB3" s="204"/>
      <c r="AC3" s="204"/>
    </row>
    <row r="4" spans="2:29" ht="15.75" x14ac:dyDescent="0.25">
      <c r="C4" s="1"/>
      <c r="D4" s="203" t="s">
        <v>13</v>
      </c>
      <c r="E4" s="203"/>
      <c r="F4" s="203"/>
      <c r="G4" s="203"/>
      <c r="H4" s="203"/>
      <c r="I4" s="203"/>
      <c r="J4" s="203"/>
      <c r="K4" s="203"/>
      <c r="L4" s="203"/>
      <c r="M4" s="203"/>
      <c r="N4" s="20"/>
      <c r="O4" s="20"/>
      <c r="P4" s="20"/>
      <c r="Q4" s="20"/>
      <c r="R4" s="20"/>
      <c r="V4" s="203"/>
      <c r="W4" s="203"/>
      <c r="X4" s="203"/>
      <c r="Y4" s="203"/>
      <c r="Z4" s="203"/>
      <c r="AA4" s="203"/>
      <c r="AB4" s="203"/>
      <c r="AC4" s="203"/>
    </row>
    <row r="5" spans="2:29" ht="15.75" x14ac:dyDescent="0.25">
      <c r="C5" s="1"/>
      <c r="D5" s="203" t="s">
        <v>14</v>
      </c>
      <c r="E5" s="203"/>
      <c r="F5" s="203"/>
      <c r="G5" s="203"/>
      <c r="H5" s="203"/>
      <c r="I5" s="203"/>
      <c r="J5" s="203"/>
      <c r="K5" s="203"/>
      <c r="L5" s="203"/>
      <c r="M5" s="203"/>
      <c r="N5" s="20"/>
      <c r="O5" s="20"/>
      <c r="P5" s="20"/>
      <c r="Q5" s="20"/>
      <c r="R5" s="20"/>
      <c r="V5" s="203"/>
      <c r="W5" s="203"/>
      <c r="X5" s="203"/>
      <c r="Y5" s="203"/>
      <c r="Z5" s="203"/>
      <c r="AA5" s="203"/>
      <c r="AB5" s="203"/>
      <c r="AC5" s="203"/>
    </row>
    <row r="6" spans="2:29" ht="16.5" thickBot="1" x14ac:dyDescent="0.3">
      <c r="C6" s="3"/>
      <c r="D6" s="204" t="s">
        <v>1</v>
      </c>
      <c r="E6" s="204"/>
      <c r="F6" s="204"/>
      <c r="G6" s="204"/>
      <c r="H6" s="204"/>
      <c r="I6" s="204"/>
      <c r="J6" s="204"/>
      <c r="K6" s="204"/>
      <c r="L6" s="204"/>
      <c r="M6" s="204"/>
      <c r="N6" s="20"/>
      <c r="O6" s="20"/>
      <c r="P6" s="20"/>
      <c r="Q6" s="20"/>
      <c r="R6" s="20"/>
      <c r="V6" s="204"/>
      <c r="W6" s="204"/>
      <c r="X6" s="204"/>
      <c r="Y6" s="204"/>
      <c r="Z6" s="204"/>
      <c r="AA6" s="204"/>
      <c r="AB6" s="204"/>
      <c r="AC6" s="204"/>
    </row>
    <row r="7" spans="2:29" ht="15.75" x14ac:dyDescent="0.25">
      <c r="C7" s="1"/>
      <c r="D7" s="203" t="s">
        <v>15</v>
      </c>
      <c r="E7" s="203"/>
      <c r="F7" s="203"/>
      <c r="G7" s="203"/>
      <c r="H7" s="203"/>
      <c r="I7" s="203"/>
      <c r="J7" s="203"/>
      <c r="K7" s="203"/>
      <c r="L7" s="203"/>
      <c r="M7" s="203"/>
      <c r="N7" s="20"/>
      <c r="O7" s="233" t="s">
        <v>69</v>
      </c>
      <c r="P7" s="234"/>
      <c r="Q7" s="234"/>
      <c r="R7" s="235"/>
      <c r="S7" s="19"/>
      <c r="V7" s="203"/>
      <c r="W7" s="203"/>
      <c r="X7" s="203"/>
      <c r="Y7" s="203"/>
      <c r="Z7" s="203"/>
      <c r="AA7" s="203"/>
      <c r="AB7" s="203"/>
      <c r="AC7" s="203"/>
    </row>
    <row r="8" spans="2:29" ht="15.75" x14ac:dyDescent="0.25">
      <c r="C8" s="1"/>
      <c r="D8" s="203" t="s">
        <v>16</v>
      </c>
      <c r="E8" s="203"/>
      <c r="F8" s="203"/>
      <c r="G8" s="203"/>
      <c r="H8" s="203"/>
      <c r="I8" s="203"/>
      <c r="J8" s="203"/>
      <c r="K8" s="203"/>
      <c r="L8" s="203"/>
      <c r="M8" s="203"/>
      <c r="N8" s="20"/>
      <c r="O8" s="236"/>
      <c r="P8" s="237"/>
      <c r="Q8" s="237"/>
      <c r="R8" s="238"/>
      <c r="V8" s="203"/>
      <c r="W8" s="203"/>
      <c r="X8" s="203"/>
      <c r="Y8" s="203"/>
      <c r="Z8" s="203"/>
      <c r="AA8" s="203"/>
      <c r="AB8" s="203"/>
      <c r="AC8" s="203"/>
    </row>
    <row r="9" spans="2:29" ht="16.5" thickBot="1" x14ac:dyDescent="0.3">
      <c r="C9" s="2"/>
      <c r="D9" s="230" t="s">
        <v>17</v>
      </c>
      <c r="E9" s="230"/>
      <c r="F9" s="230"/>
      <c r="G9" s="230"/>
      <c r="H9" s="230"/>
      <c r="I9" s="230"/>
      <c r="J9" s="230"/>
      <c r="K9" s="230"/>
      <c r="L9" s="230"/>
      <c r="M9" s="230"/>
      <c r="N9" s="20"/>
      <c r="O9" s="35"/>
      <c r="P9" s="227" t="s">
        <v>70</v>
      </c>
      <c r="Q9" s="227"/>
      <c r="R9" s="228">
        <v>11</v>
      </c>
      <c r="V9" s="230"/>
      <c r="W9" s="230"/>
      <c r="X9" s="230"/>
      <c r="Y9" s="230"/>
      <c r="Z9" s="230"/>
      <c r="AA9" s="230"/>
      <c r="AB9" s="230"/>
      <c r="AC9" s="230"/>
    </row>
    <row r="10" spans="2:29" ht="5.25" customHeight="1" thickTop="1" x14ac:dyDescent="0.25">
      <c r="B10" s="231"/>
      <c r="C10" s="232"/>
      <c r="D10" s="232"/>
      <c r="E10" s="232"/>
      <c r="F10" s="232"/>
      <c r="G10" s="232"/>
      <c r="H10" s="232"/>
      <c r="I10" s="232"/>
      <c r="J10" s="232"/>
      <c r="K10" s="232"/>
      <c r="L10" s="232"/>
      <c r="M10" s="232"/>
      <c r="N10" s="20"/>
      <c r="O10" s="35"/>
      <c r="P10" s="227"/>
      <c r="Q10" s="227"/>
      <c r="R10" s="228"/>
    </row>
    <row r="11" spans="2:29" ht="15.75" x14ac:dyDescent="0.25">
      <c r="B11" s="226" t="str">
        <f>HOME!G6</f>
        <v>HASIL PENILAIAN TENGAH SEMESTER GENAP</v>
      </c>
      <c r="C11" s="226"/>
      <c r="D11" s="226"/>
      <c r="E11" s="226"/>
      <c r="F11" s="226"/>
      <c r="G11" s="226"/>
      <c r="H11" s="226"/>
      <c r="I11" s="226"/>
      <c r="J11" s="226"/>
      <c r="K11" s="226"/>
      <c r="L11" s="226"/>
      <c r="M11" s="226"/>
      <c r="N11" s="20"/>
      <c r="O11" s="35"/>
      <c r="P11" s="227"/>
      <c r="Q11" s="227"/>
      <c r="R11" s="228"/>
    </row>
    <row r="12" spans="2:29" ht="15.75" x14ac:dyDescent="0.25">
      <c r="B12" s="226" t="str">
        <f>"TAHUN PELAJARAN " &amp; HOME!G7</f>
        <v>TAHUN PELAJARAN 2022/2023</v>
      </c>
      <c r="C12" s="226"/>
      <c r="D12" s="226"/>
      <c r="E12" s="226"/>
      <c r="F12" s="226"/>
      <c r="G12" s="226"/>
      <c r="H12" s="226"/>
      <c r="I12" s="226"/>
      <c r="J12" s="226"/>
      <c r="K12" s="226"/>
      <c r="L12" s="226"/>
      <c r="M12" s="226"/>
      <c r="N12" s="20"/>
      <c r="O12" s="35"/>
      <c r="P12" s="227" t="s">
        <v>71</v>
      </c>
      <c r="Q12" s="227"/>
      <c r="R12" s="228">
        <f>COUNTA(NOMINATIF!C6:C40)</f>
        <v>20</v>
      </c>
    </row>
    <row r="13" spans="2:29" ht="8.25" customHeight="1" x14ac:dyDescent="0.25">
      <c r="B13" s="16"/>
      <c r="C13" s="4"/>
      <c r="D13" s="4"/>
      <c r="E13" s="4"/>
      <c r="F13" s="4"/>
      <c r="G13" s="4"/>
      <c r="H13" s="4"/>
      <c r="I13" s="4"/>
      <c r="J13" s="4"/>
      <c r="K13" s="4"/>
      <c r="L13" s="4"/>
      <c r="M13" s="4"/>
      <c r="N13" s="20"/>
      <c r="O13" s="35"/>
      <c r="P13" s="227"/>
      <c r="Q13" s="227"/>
      <c r="R13" s="228"/>
    </row>
    <row r="14" spans="2:29" ht="15.75" x14ac:dyDescent="0.25">
      <c r="B14" s="224" t="s">
        <v>18</v>
      </c>
      <c r="C14" s="224"/>
      <c r="D14" s="1" t="s">
        <v>6</v>
      </c>
      <c r="E14" s="229" t="str">
        <f>VLOOKUP(R9,'L X AKL'!$B$9:$BI$43,2,)</f>
        <v>Olifah Hiasianjeng Prehatin</v>
      </c>
      <c r="F14" s="229"/>
      <c r="G14" s="18"/>
      <c r="H14" s="1" t="s">
        <v>63</v>
      </c>
      <c r="I14" t="s">
        <v>6</v>
      </c>
      <c r="J14" s="225" t="str">
        <f>HOME!G9</f>
        <v>Teknik Komputer dan Informatika</v>
      </c>
      <c r="K14" s="225"/>
      <c r="L14" s="225"/>
      <c r="M14" s="225"/>
      <c r="N14" s="20"/>
      <c r="O14" s="35"/>
      <c r="P14" s="227"/>
      <c r="Q14" s="227"/>
      <c r="R14" s="228"/>
    </row>
    <row r="15" spans="2:29" ht="15.75" x14ac:dyDescent="0.25">
      <c r="B15" s="224" t="s">
        <v>19</v>
      </c>
      <c r="C15" s="224"/>
      <c r="D15" s="1" t="s">
        <v>6</v>
      </c>
      <c r="E15" s="224" t="str">
        <f>VLOOKUP(R9,'L X AKL'!$B$9:$BI$43,3,)&amp;"/"&amp;VLOOKUP(R9,'L X AKL'!$B$9:$BI$43,4,)</f>
        <v>4056/0056102322</v>
      </c>
      <c r="F15" s="224"/>
      <c r="G15" s="17"/>
      <c r="H15" s="1" t="s">
        <v>10</v>
      </c>
      <c r="I15" t="s">
        <v>6</v>
      </c>
      <c r="J15" s="225" t="str">
        <f>ID!G7</f>
        <v>Akuntansi dan Keuangan Lembaga</v>
      </c>
      <c r="K15" s="225"/>
      <c r="L15" s="225"/>
      <c r="M15" s="225"/>
      <c r="N15" s="20"/>
      <c r="O15" s="35"/>
      <c r="P15" s="20"/>
      <c r="Q15" s="20"/>
      <c r="R15" s="36"/>
    </row>
    <row r="16" spans="2:29" ht="15.75" x14ac:dyDescent="0.25">
      <c r="B16" s="224" t="s">
        <v>9</v>
      </c>
      <c r="C16" s="224"/>
      <c r="D16" s="1" t="s">
        <v>6</v>
      </c>
      <c r="E16" s="224" t="str">
        <f>ID!G8</f>
        <v>XII AKL 1</v>
      </c>
      <c r="F16" s="224"/>
      <c r="G16" s="17"/>
      <c r="H16" s="1" t="s">
        <v>20</v>
      </c>
      <c r="I16" t="s">
        <v>6</v>
      </c>
      <c r="J16" s="225" t="str">
        <f>ID!G9</f>
        <v>4/GENAP</v>
      </c>
      <c r="K16" s="225"/>
      <c r="L16" s="225"/>
      <c r="M16" s="225"/>
      <c r="N16" s="20"/>
      <c r="O16" s="35"/>
      <c r="P16" s="20"/>
      <c r="Q16" s="20"/>
      <c r="R16" s="36"/>
    </row>
    <row r="17" spans="2:19" ht="15" x14ac:dyDescent="0.25">
      <c r="N17" s="20"/>
      <c r="O17" s="35"/>
      <c r="P17" s="20"/>
      <c r="Q17" s="20"/>
      <c r="R17" s="36"/>
    </row>
    <row r="18" spans="2:19" ht="39" customHeight="1" x14ac:dyDescent="0.25">
      <c r="B18" s="279" t="s">
        <v>182</v>
      </c>
      <c r="C18" s="280"/>
      <c r="D18" s="280"/>
      <c r="E18" s="280"/>
      <c r="F18" s="280"/>
      <c r="G18" s="280"/>
      <c r="H18" s="280"/>
      <c r="I18" s="280"/>
      <c r="J18" s="280"/>
      <c r="K18" s="280"/>
      <c r="L18" s="280"/>
      <c r="M18" s="281"/>
      <c r="N18" s="20"/>
      <c r="O18" s="35"/>
      <c r="P18" s="20"/>
      <c r="Q18" s="20"/>
      <c r="R18" s="36"/>
    </row>
    <row r="19" spans="2:19" s="12" customFormat="1" ht="37.5" customHeight="1" x14ac:dyDescent="0.25">
      <c r="B19" s="93" t="s">
        <v>27</v>
      </c>
      <c r="C19" s="190" t="s">
        <v>183</v>
      </c>
      <c r="D19" s="190"/>
      <c r="E19" s="190"/>
      <c r="F19" s="213" t="s">
        <v>184</v>
      </c>
      <c r="G19" s="214"/>
      <c r="H19" s="214"/>
      <c r="I19" s="215"/>
      <c r="J19" s="282" t="s">
        <v>185</v>
      </c>
      <c r="K19" s="283"/>
      <c r="L19" s="282" t="s">
        <v>186</v>
      </c>
      <c r="M19" s="283"/>
      <c r="N19" s="20"/>
      <c r="O19" s="35"/>
      <c r="P19" s="20"/>
      <c r="Q19" s="20"/>
      <c r="R19" s="36"/>
      <c r="S19"/>
    </row>
    <row r="20" spans="2:19" s="12" customFormat="1" ht="48.75" customHeight="1" thickBot="1" x14ac:dyDescent="0.3">
      <c r="B20" s="11">
        <v>1</v>
      </c>
      <c r="C20" s="303">
        <f>VLOOKUP(R9,'BK &amp; EX &amp; PKL &amp; Press'!$B$9:$BO$66,51,0)</f>
        <v>0</v>
      </c>
      <c r="D20" s="303"/>
      <c r="E20" s="303"/>
      <c r="F20" s="209">
        <f>VLOOKUP(R9,'BK &amp; EX &amp; PKL &amp; Press'!$B$9:$BO$66,52,0)</f>
        <v>0</v>
      </c>
      <c r="G20" s="304"/>
      <c r="H20" s="304"/>
      <c r="I20" s="210"/>
      <c r="J20" s="211">
        <f>VLOOKUP(R9,'BK &amp; EX &amp; PKL &amp; Press'!$B$9:$BO$66,53,0)</f>
        <v>0</v>
      </c>
      <c r="K20" s="212"/>
      <c r="L20" s="340">
        <f>VLOOKUP(R9,'BK &amp; EX &amp; PKL &amp; Press'!$B$9:$BO$66,54,0)</f>
        <v>0</v>
      </c>
      <c r="M20" s="341"/>
      <c r="N20" s="20"/>
      <c r="O20" s="37"/>
      <c r="P20" s="38"/>
      <c r="Q20" s="38"/>
      <c r="R20" s="39"/>
      <c r="S20"/>
    </row>
    <row r="21" spans="2:19" s="12" customFormat="1" ht="48.75" customHeight="1" x14ac:dyDescent="0.25">
      <c r="B21" s="11">
        <v>2</v>
      </c>
      <c r="C21" s="290"/>
      <c r="D21" s="291"/>
      <c r="E21" s="292"/>
      <c r="F21" s="296"/>
      <c r="G21" s="297"/>
      <c r="H21" s="297"/>
      <c r="I21" s="298"/>
      <c r="J21" s="285"/>
      <c r="K21" s="286"/>
      <c r="L21" s="308"/>
      <c r="M21" s="309"/>
      <c r="N21" s="20"/>
      <c r="O21" s="20"/>
      <c r="P21" s="20"/>
      <c r="Q21" s="20"/>
      <c r="R21" s="20"/>
      <c r="S21"/>
    </row>
    <row r="22" spans="2:19" s="12" customFormat="1" ht="48.75" customHeight="1" x14ac:dyDescent="0.25">
      <c r="B22" s="11">
        <v>3</v>
      </c>
      <c r="C22" s="293"/>
      <c r="D22" s="294"/>
      <c r="E22" s="295"/>
      <c r="F22" s="296"/>
      <c r="G22" s="297"/>
      <c r="H22" s="297"/>
      <c r="I22" s="298"/>
      <c r="J22" s="285"/>
      <c r="K22" s="286"/>
      <c r="L22" s="308"/>
      <c r="M22" s="309"/>
      <c r="N22"/>
      <c r="O22" s="105"/>
      <c r="P22" s="105"/>
      <c r="Q22" s="105"/>
      <c r="R22" s="105"/>
      <c r="S22"/>
    </row>
    <row r="23" spans="2:19" s="12" customFormat="1" ht="36.75" customHeight="1" x14ac:dyDescent="0.25">
      <c r="B23" s="302" t="s">
        <v>187</v>
      </c>
      <c r="C23" s="302"/>
      <c r="D23" s="302"/>
      <c r="E23" s="302"/>
      <c r="F23" s="302"/>
      <c r="G23" s="302"/>
      <c r="H23" s="302"/>
      <c r="I23" s="302"/>
      <c r="J23" s="302"/>
      <c r="K23" s="302"/>
      <c r="L23" s="302"/>
      <c r="M23" s="302"/>
      <c r="N23"/>
      <c r="O23" s="104"/>
      <c r="P23" s="104"/>
      <c r="Q23" s="102"/>
      <c r="R23" s="102"/>
      <c r="S23"/>
    </row>
    <row r="24" spans="2:19" s="12" customFormat="1" ht="20.25" customHeight="1" x14ac:dyDescent="0.25">
      <c r="B24" s="13" t="s">
        <v>27</v>
      </c>
      <c r="C24" s="303" t="s">
        <v>188</v>
      </c>
      <c r="D24" s="303"/>
      <c r="E24" s="303"/>
      <c r="F24" s="209" t="s">
        <v>172</v>
      </c>
      <c r="G24" s="304"/>
      <c r="H24" s="304"/>
      <c r="I24" s="304"/>
      <c r="J24" s="304"/>
      <c r="K24" s="304"/>
      <c r="L24" s="304"/>
      <c r="M24" s="210"/>
      <c r="N24"/>
      <c r="O24" s="104"/>
      <c r="P24" s="104"/>
      <c r="Q24" s="102"/>
      <c r="R24" s="102"/>
      <c r="S24"/>
    </row>
    <row r="25" spans="2:19" s="12" customFormat="1" ht="50.25" customHeight="1" x14ac:dyDescent="0.25">
      <c r="B25" s="13">
        <v>1</v>
      </c>
      <c r="C25" s="187" t="s">
        <v>190</v>
      </c>
      <c r="D25" s="187"/>
      <c r="E25" s="187"/>
      <c r="F25" s="299" t="str">
        <f>VLOOKUP(R9,'BK &amp; EX &amp; PKL &amp; Press'!$B$9:$Y$66,8,0)</f>
        <v>Ananda Olifah Hiasianjeng Prehatin  menunjukkan ketekunan di dalam mengerjakan pekerjaan, baik di sekolah maupun di rumah.</v>
      </c>
      <c r="G25" s="300"/>
      <c r="H25" s="300"/>
      <c r="I25" s="300"/>
      <c r="J25" s="300"/>
      <c r="K25" s="300"/>
      <c r="L25" s="300"/>
      <c r="M25" s="301"/>
      <c r="N25"/>
      <c r="O25" s="104"/>
      <c r="P25" s="104"/>
      <c r="Q25" s="102"/>
      <c r="R25" s="102"/>
      <c r="S25"/>
    </row>
    <row r="26" spans="2:19" s="12" customFormat="1" ht="50.25" customHeight="1" x14ac:dyDescent="0.25">
      <c r="B26" s="13">
        <v>2</v>
      </c>
      <c r="C26" s="187" t="s">
        <v>149</v>
      </c>
      <c r="D26" s="187"/>
      <c r="E26" s="187"/>
      <c r="F26" s="299" t="str">
        <f>VLOOKUP(R9,'BK &amp; EX &amp; PKL &amp; Press'!$B$9:$Y$66,12,0)</f>
        <v>Ananda Olifah Hiasianjeng Prehatin  menunjukkan ketekunan di dalam mengerjakan pekerjaan, baik di sekolah maupun di  rumah.</v>
      </c>
      <c r="G26" s="300"/>
      <c r="H26" s="300"/>
      <c r="I26" s="300"/>
      <c r="J26" s="300"/>
      <c r="K26" s="300"/>
      <c r="L26" s="300"/>
      <c r="M26" s="301"/>
      <c r="N26"/>
      <c r="O26" s="104"/>
      <c r="P26" s="104"/>
      <c r="Q26" s="102"/>
      <c r="R26" s="102"/>
      <c r="S26"/>
    </row>
    <row r="27" spans="2:19" s="12" customFormat="1" ht="50.25" customHeight="1" x14ac:dyDescent="0.25">
      <c r="B27" s="13">
        <v>3</v>
      </c>
      <c r="C27" s="187" t="s">
        <v>150</v>
      </c>
      <c r="D27" s="187"/>
      <c r="E27" s="187"/>
      <c r="F27" s="299" t="str">
        <f>VLOOKUP(R9,'BK &amp; EX &amp; PKL &amp; Press'!$B$9:$Y$66,16,0)</f>
        <v>Ananda Olifah Hiasianjeng Prehatin  menunjukkan ketekunan di dalam mengerjakan pekerjaan, baik di sekolah maupun di rumah.</v>
      </c>
      <c r="G27" s="300"/>
      <c r="H27" s="300"/>
      <c r="I27" s="300"/>
      <c r="J27" s="300"/>
      <c r="K27" s="300"/>
      <c r="L27" s="300"/>
      <c r="M27" s="301"/>
      <c r="N27"/>
      <c r="O27" s="104"/>
      <c r="P27" s="104"/>
      <c r="Q27" s="102"/>
      <c r="R27" s="102"/>
      <c r="S27"/>
    </row>
    <row r="28" spans="2:19" ht="50.25" customHeight="1" x14ac:dyDescent="0.25">
      <c r="B28" s="13">
        <v>4</v>
      </c>
      <c r="C28" s="187" t="s">
        <v>151</v>
      </c>
      <c r="D28" s="187"/>
      <c r="E28" s="187"/>
      <c r="F28" s="299" t="str">
        <f>VLOOKUP(R9,'BK &amp; EX &amp; PKL &amp; Press'!$B$9:$Y$66,20,0)</f>
        <v>Ananda Olifah Hiasianjeng Prehatin  menunjukkan ketekunan di dalam mengerjakan pekerjaan, baik di sekolah maupun di rumah.</v>
      </c>
      <c r="G28" s="300"/>
      <c r="H28" s="300"/>
      <c r="I28" s="300"/>
      <c r="J28" s="300"/>
      <c r="K28" s="300"/>
      <c r="L28" s="300"/>
      <c r="M28" s="301"/>
      <c r="O28" s="104"/>
      <c r="P28" s="104"/>
      <c r="Q28" s="102"/>
      <c r="R28" s="102"/>
    </row>
    <row r="29" spans="2:19" ht="50.25" customHeight="1" x14ac:dyDescent="0.25">
      <c r="B29" s="13">
        <v>5</v>
      </c>
      <c r="C29" s="183" t="s">
        <v>152</v>
      </c>
      <c r="D29" s="183"/>
      <c r="E29" s="183"/>
      <c r="F29" s="299" t="str">
        <f>VLOOKUP(R9,'BK &amp; EX &amp; PKL &amp; Press'!$B$9:$Y$43,24,0)</f>
        <v>Ananda Olifah Hiasianjeng Prehatin  menunjukkan ketekunan di dalam mengerjakan pekerjaan, baik di sekolah maupun di rumah.</v>
      </c>
      <c r="G29" s="300"/>
      <c r="H29" s="300"/>
      <c r="I29" s="300"/>
      <c r="J29" s="300"/>
      <c r="K29" s="300"/>
      <c r="L29" s="300"/>
      <c r="M29" s="301"/>
      <c r="O29" s="104"/>
      <c r="P29" s="104"/>
      <c r="Q29" s="102"/>
      <c r="R29" s="102"/>
    </row>
    <row r="30" spans="2:19" ht="22.5" customHeight="1" x14ac:dyDescent="0.25">
      <c r="B30" s="305" t="s">
        <v>191</v>
      </c>
      <c r="C30" s="306"/>
      <c r="D30" s="306"/>
      <c r="E30" s="306"/>
      <c r="F30" s="306"/>
      <c r="G30" s="306"/>
      <c r="H30" s="306"/>
      <c r="I30" s="306"/>
      <c r="J30" s="306"/>
      <c r="K30" s="306"/>
      <c r="L30" s="306"/>
      <c r="M30" s="307"/>
      <c r="O30" s="102"/>
      <c r="P30" s="102"/>
      <c r="Q30" s="102"/>
      <c r="R30" s="102"/>
    </row>
    <row r="31" spans="2:19" ht="30" customHeight="1" x14ac:dyDescent="0.25">
      <c r="B31" s="312"/>
      <c r="C31" s="313"/>
      <c r="D31" s="313"/>
      <c r="E31" s="313"/>
      <c r="F31" s="313"/>
      <c r="G31" s="313"/>
      <c r="H31" s="313"/>
      <c r="I31" s="313"/>
      <c r="J31" s="313"/>
      <c r="K31" s="313"/>
      <c r="L31" s="313"/>
      <c r="M31" s="314"/>
      <c r="O31" s="103"/>
      <c r="P31" s="103"/>
      <c r="Q31" s="102"/>
      <c r="R31" s="102"/>
    </row>
    <row r="32" spans="2:19" ht="30" customHeight="1" x14ac:dyDescent="0.25">
      <c r="B32" s="315"/>
      <c r="C32" s="316"/>
      <c r="D32" s="316"/>
      <c r="E32" s="316"/>
      <c r="F32" s="316"/>
      <c r="G32" s="316"/>
      <c r="H32" s="316"/>
      <c r="I32" s="316"/>
      <c r="J32" s="316"/>
      <c r="K32" s="316"/>
      <c r="L32" s="316"/>
      <c r="M32" s="317"/>
      <c r="O32" s="103"/>
      <c r="P32" s="103"/>
      <c r="Q32" s="102"/>
      <c r="R32" s="102"/>
    </row>
    <row r="33" spans="2:13" ht="21.75" customHeight="1" x14ac:dyDescent="0.25">
      <c r="B33" s="243" t="s">
        <v>192</v>
      </c>
      <c r="C33" s="244"/>
      <c r="D33" s="244"/>
      <c r="E33" s="244"/>
      <c r="F33" s="244"/>
      <c r="G33" s="244"/>
      <c r="H33" s="244"/>
      <c r="I33" s="244"/>
      <c r="J33" s="244"/>
      <c r="K33" s="244"/>
      <c r="L33" s="244"/>
      <c r="M33" s="245"/>
    </row>
    <row r="34" spans="2:13" ht="15" x14ac:dyDescent="0.25">
      <c r="B34" s="274"/>
      <c r="C34" s="151"/>
      <c r="D34" s="151"/>
      <c r="E34" s="151"/>
      <c r="F34" s="151"/>
      <c r="G34" s="151"/>
      <c r="H34" s="151"/>
      <c r="I34" s="151"/>
      <c r="J34" s="151"/>
      <c r="K34" s="151"/>
      <c r="L34" s="151"/>
      <c r="M34" s="275"/>
    </row>
    <row r="35" spans="2:13" ht="51" customHeight="1" x14ac:dyDescent="0.25">
      <c r="B35" s="276"/>
      <c r="C35" s="277"/>
      <c r="D35" s="277"/>
      <c r="E35" s="277"/>
      <c r="F35" s="277"/>
      <c r="G35" s="277"/>
      <c r="H35" s="277"/>
      <c r="I35" s="277"/>
      <c r="J35" s="277"/>
      <c r="K35" s="277"/>
      <c r="L35" s="277"/>
      <c r="M35" s="278"/>
    </row>
    <row r="36" spans="2:13" ht="15" x14ac:dyDescent="0.25">
      <c r="B36" s="6"/>
      <c r="C36" s="6"/>
      <c r="D36" s="6"/>
      <c r="E36" s="6"/>
      <c r="F36" s="6"/>
      <c r="G36" s="6"/>
      <c r="H36" s="6"/>
      <c r="I36" s="6"/>
      <c r="J36" s="6"/>
      <c r="K36" s="6"/>
      <c r="L36" s="6"/>
      <c r="M36" s="6"/>
    </row>
    <row r="37" spans="2:13" ht="15.75" x14ac:dyDescent="0.25">
      <c r="B37" s="1"/>
      <c r="C37" s="1"/>
      <c r="D37" s="1"/>
      <c r="E37" s="1"/>
      <c r="F37" s="1"/>
      <c r="G37" s="1"/>
      <c r="H37" s="1"/>
      <c r="I37" s="1"/>
      <c r="J37" s="129" t="str">
        <f>ID!G11</f>
        <v>31 MARET 2023</v>
      </c>
      <c r="K37" s="129"/>
      <c r="L37" s="129"/>
      <c r="M37" s="129"/>
    </row>
    <row r="38" spans="2:13" ht="15.75" x14ac:dyDescent="0.25">
      <c r="B38" s="203" t="s">
        <v>180</v>
      </c>
      <c r="C38" s="203"/>
      <c r="D38" s="203"/>
      <c r="E38" s="1"/>
      <c r="F38" s="1" t="s">
        <v>67</v>
      </c>
      <c r="G38" s="1"/>
      <c r="H38" s="1"/>
      <c r="I38" s="1"/>
      <c r="J38" s="1"/>
      <c r="K38" s="1"/>
      <c r="L38" s="1"/>
      <c r="M38" s="1"/>
    </row>
    <row r="39" spans="2:13" ht="15.75" x14ac:dyDescent="0.25">
      <c r="B39" s="1"/>
      <c r="C39" s="1"/>
      <c r="D39" s="1"/>
      <c r="E39" s="203" t="s">
        <v>179</v>
      </c>
      <c r="F39" s="203"/>
      <c r="G39" s="203"/>
      <c r="H39" s="203"/>
      <c r="I39" s="203"/>
      <c r="J39" s="203" t="s">
        <v>62</v>
      </c>
      <c r="K39" s="203"/>
      <c r="L39" s="203"/>
      <c r="M39" s="203"/>
    </row>
    <row r="40" spans="2:13" ht="15.75" x14ac:dyDescent="0.25">
      <c r="B40" s="1"/>
      <c r="C40" s="1"/>
      <c r="D40" s="1"/>
      <c r="E40" s="1"/>
      <c r="F40" s="1"/>
      <c r="G40" s="1"/>
      <c r="H40" s="1"/>
      <c r="I40" s="1"/>
      <c r="J40" s="1"/>
      <c r="K40" s="1"/>
      <c r="L40" s="1"/>
      <c r="M40" s="1"/>
    </row>
    <row r="41" spans="2:13" ht="15.75" x14ac:dyDescent="0.25">
      <c r="B41" s="1"/>
      <c r="C41" s="1"/>
      <c r="D41" s="1"/>
      <c r="E41" s="1"/>
      <c r="F41" s="1"/>
      <c r="G41" s="1"/>
      <c r="H41" s="1"/>
      <c r="I41" s="1"/>
      <c r="J41" s="1"/>
      <c r="K41" s="1"/>
      <c r="L41" s="1"/>
      <c r="M41" s="1"/>
    </row>
    <row r="42" spans="2:13" ht="15.75" x14ac:dyDescent="0.25">
      <c r="B42" s="1"/>
      <c r="C42" s="1"/>
      <c r="D42" s="1"/>
      <c r="E42" s="1"/>
      <c r="F42" s="1"/>
      <c r="G42" s="1"/>
      <c r="H42" s="1"/>
      <c r="I42" s="1"/>
      <c r="J42" s="1"/>
      <c r="K42" s="1"/>
      <c r="L42" s="1"/>
      <c r="M42" s="1"/>
    </row>
    <row r="43" spans="2:13" ht="15.75" x14ac:dyDescent="0.25">
      <c r="B43" s="270" t="s">
        <v>181</v>
      </c>
      <c r="C43" s="270"/>
      <c r="D43" s="270"/>
      <c r="E43" s="204" t="str">
        <f>ID!G6</f>
        <v>Sri Rahayu, S.Pd., SE.</v>
      </c>
      <c r="F43" s="204"/>
      <c r="G43" s="204"/>
      <c r="H43" s="204"/>
      <c r="I43" s="204"/>
      <c r="J43" s="204" t="str">
        <f>ID!G10</f>
        <v>SURADI S.Pd.</v>
      </c>
      <c r="K43" s="204"/>
      <c r="L43" s="204"/>
      <c r="M43" s="204"/>
    </row>
    <row r="44" spans="2:13" ht="15.75" x14ac:dyDescent="0.25">
      <c r="B44" s="4"/>
      <c r="C44" s="4"/>
      <c r="D44" s="4"/>
      <c r="E44" s="4"/>
      <c r="F44" s="1"/>
      <c r="G44" s="1"/>
      <c r="H44" s="4"/>
      <c r="I44" s="4"/>
      <c r="J44" s="4"/>
      <c r="K44" s="4"/>
      <c r="L44" s="4"/>
      <c r="M44" s="4"/>
    </row>
    <row r="45" spans="2:13" s="21" customFormat="1" ht="7.5" customHeight="1" x14ac:dyDescent="0.25"/>
  </sheetData>
  <sheetProtection selectLockedCells="1"/>
  <mergeCells count="74">
    <mergeCell ref="D2:M2"/>
    <mergeCell ref="V2:AC2"/>
    <mergeCell ref="D3:M3"/>
    <mergeCell ref="V3:AC3"/>
    <mergeCell ref="D4:M4"/>
    <mergeCell ref="V4:AC4"/>
    <mergeCell ref="D5:M5"/>
    <mergeCell ref="V5:AC5"/>
    <mergeCell ref="D6:M6"/>
    <mergeCell ref="V6:AC6"/>
    <mergeCell ref="D7:M7"/>
    <mergeCell ref="O7:R8"/>
    <mergeCell ref="V7:AC7"/>
    <mergeCell ref="D8:M8"/>
    <mergeCell ref="V8:AC8"/>
    <mergeCell ref="D9:M9"/>
    <mergeCell ref="P9:Q11"/>
    <mergeCell ref="R9:R11"/>
    <mergeCell ref="V9:AC9"/>
    <mergeCell ref="B10:M10"/>
    <mergeCell ref="B11:M11"/>
    <mergeCell ref="B12:M12"/>
    <mergeCell ref="P12:Q14"/>
    <mergeCell ref="R12:R14"/>
    <mergeCell ref="B14:C14"/>
    <mergeCell ref="E14:F14"/>
    <mergeCell ref="J14:M14"/>
    <mergeCell ref="C20:E20"/>
    <mergeCell ref="F20:I20"/>
    <mergeCell ref="J20:K20"/>
    <mergeCell ref="L20:M20"/>
    <mergeCell ref="B15:C15"/>
    <mergeCell ref="E15:F15"/>
    <mergeCell ref="J15:M15"/>
    <mergeCell ref="B16:C16"/>
    <mergeCell ref="E16:F16"/>
    <mergeCell ref="J16:M16"/>
    <mergeCell ref="B18:M18"/>
    <mergeCell ref="C19:E19"/>
    <mergeCell ref="F19:I19"/>
    <mergeCell ref="J19:K19"/>
    <mergeCell ref="L19:M19"/>
    <mergeCell ref="C26:E26"/>
    <mergeCell ref="F26:M26"/>
    <mergeCell ref="C21:E21"/>
    <mergeCell ref="F21:I21"/>
    <mergeCell ref="J21:K21"/>
    <mergeCell ref="L21:M21"/>
    <mergeCell ref="C22:E22"/>
    <mergeCell ref="F22:I22"/>
    <mergeCell ref="J22:K22"/>
    <mergeCell ref="L22:M22"/>
    <mergeCell ref="B23:M23"/>
    <mergeCell ref="C24:E24"/>
    <mergeCell ref="F24:M24"/>
    <mergeCell ref="C25:E25"/>
    <mergeCell ref="F25:M25"/>
    <mergeCell ref="B38:D38"/>
    <mergeCell ref="C27:E27"/>
    <mergeCell ref="F27:M27"/>
    <mergeCell ref="C28:E28"/>
    <mergeCell ref="F28:M28"/>
    <mergeCell ref="C29:E29"/>
    <mergeCell ref="F29:M29"/>
    <mergeCell ref="B30:M30"/>
    <mergeCell ref="B31:M32"/>
    <mergeCell ref="B33:M33"/>
    <mergeCell ref="B34:M35"/>
    <mergeCell ref="J37:M37"/>
    <mergeCell ref="E39:I39"/>
    <mergeCell ref="J39:M39"/>
    <mergeCell ref="B43:D43"/>
    <mergeCell ref="E43:I43"/>
    <mergeCell ref="J43:M43"/>
  </mergeCells>
  <printOptions horizontalCentered="1"/>
  <pageMargins left="0.31496062992125984" right="0.31496062992125984" top="0.35433070866141736" bottom="0.35433070866141736" header="0.31496062992125984" footer="0.31496062992125984"/>
  <pageSetup paperSize="10000" scale="86"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81921" r:id="rId4" name="Spinner 1">
              <controlPr defaultSize="0" autoPict="0">
                <anchor moveWithCells="1" sizeWithCells="1">
                  <from>
                    <xdr:col>14</xdr:col>
                    <xdr:colOff>28575</xdr:colOff>
                    <xdr:row>8</xdr:row>
                    <xdr:rowOff>0</xdr:rowOff>
                  </from>
                  <to>
                    <xdr:col>14</xdr:col>
                    <xdr:colOff>466725</xdr:colOff>
                    <xdr:row>14</xdr:row>
                    <xdr:rowOff>19050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3">
    <tabColor theme="5" tint="0.39997558519241921"/>
  </sheetPr>
  <dimension ref="A1:L26"/>
  <sheetViews>
    <sheetView workbookViewId="0">
      <selection activeCell="G11" sqref="G11"/>
    </sheetView>
  </sheetViews>
  <sheetFormatPr defaultColWidth="0" defaultRowHeight="15.75" customHeight="1" zeroHeight="1" x14ac:dyDescent="0.25"/>
  <cols>
    <col min="1" max="1" width="1.5703125" style="74" customWidth="1"/>
    <col min="2" max="2" width="0.85546875" style="54" customWidth="1"/>
    <col min="3" max="3" width="4.85546875" style="54" customWidth="1"/>
    <col min="4" max="5" width="9.140625" style="54" customWidth="1"/>
    <col min="6" max="6" width="37.5703125" style="54" customWidth="1"/>
    <col min="7" max="7" width="14.5703125" style="54" customWidth="1"/>
    <col min="8" max="8" width="1" style="54" customWidth="1"/>
    <col min="9" max="9" width="1.42578125" style="74" customWidth="1"/>
    <col min="10" max="12" width="0" style="54" hidden="1" customWidth="1"/>
    <col min="13" max="16384" width="9.140625" style="54" hidden="1"/>
  </cols>
  <sheetData>
    <row r="1" spans="3:9" s="74" customFormat="1" ht="8.25" customHeight="1" x14ac:dyDescent="0.25"/>
    <row r="2" spans="3:9" ht="68.25" customHeight="1" thickBot="1" x14ac:dyDescent="0.3">
      <c r="C2" s="129"/>
      <c r="D2" s="129"/>
      <c r="E2" s="129"/>
      <c r="F2" s="129"/>
      <c r="G2" s="129"/>
    </row>
    <row r="3" spans="3:9" ht="15.75" customHeight="1" thickBot="1" x14ac:dyDescent="0.35">
      <c r="C3" s="184" t="s">
        <v>72</v>
      </c>
      <c r="D3" s="185"/>
      <c r="E3" s="185"/>
      <c r="F3" s="185"/>
      <c r="G3" s="186"/>
    </row>
    <row r="4" spans="3:9" ht="6" customHeight="1" x14ac:dyDescent="0.25"/>
    <row r="5" spans="3:9" x14ac:dyDescent="0.25">
      <c r="C5" s="15" t="s">
        <v>32</v>
      </c>
      <c r="D5" s="190" t="s">
        <v>33</v>
      </c>
      <c r="E5" s="190"/>
      <c r="F5" s="190"/>
      <c r="G5" s="15" t="s">
        <v>34</v>
      </c>
    </row>
    <row r="6" spans="3:9" x14ac:dyDescent="0.25">
      <c r="C6" s="188" t="s">
        <v>37</v>
      </c>
      <c r="D6" s="188"/>
      <c r="E6" s="188"/>
      <c r="F6" s="188"/>
      <c r="G6" s="188"/>
    </row>
    <row r="7" spans="3:9" x14ac:dyDescent="0.25">
      <c r="C7" s="11">
        <v>1</v>
      </c>
      <c r="D7" s="189" t="s">
        <v>38</v>
      </c>
      <c r="E7" s="189"/>
      <c r="F7" s="189"/>
      <c r="G7" s="76">
        <v>60</v>
      </c>
      <c r="I7" s="75"/>
    </row>
    <row r="8" spans="3:9" x14ac:dyDescent="0.25">
      <c r="C8" s="11">
        <v>2</v>
      </c>
      <c r="D8" s="189" t="s">
        <v>39</v>
      </c>
      <c r="E8" s="189"/>
      <c r="F8" s="189"/>
      <c r="G8" s="76">
        <v>60</v>
      </c>
    </row>
    <row r="9" spans="3:9" x14ac:dyDescent="0.25">
      <c r="C9" s="11">
        <v>3</v>
      </c>
      <c r="D9" s="189" t="s">
        <v>40</v>
      </c>
      <c r="E9" s="189"/>
      <c r="F9" s="189"/>
      <c r="G9" s="76">
        <v>60</v>
      </c>
    </row>
    <row r="10" spans="3:9" x14ac:dyDescent="0.25">
      <c r="C10" s="11">
        <v>4</v>
      </c>
      <c r="D10" s="187" t="s">
        <v>41</v>
      </c>
      <c r="E10" s="187"/>
      <c r="F10" s="187"/>
      <c r="G10" s="76">
        <v>60</v>
      </c>
    </row>
    <row r="11" spans="3:9" x14ac:dyDescent="0.25">
      <c r="C11" s="11">
        <v>5</v>
      </c>
      <c r="D11" s="187" t="s">
        <v>43</v>
      </c>
      <c r="E11" s="187"/>
      <c r="F11" s="187"/>
      <c r="G11" s="76">
        <v>60</v>
      </c>
    </row>
    <row r="12" spans="3:9" x14ac:dyDescent="0.25">
      <c r="C12" s="188" t="s">
        <v>44</v>
      </c>
      <c r="D12" s="188"/>
      <c r="E12" s="188"/>
      <c r="F12" s="188"/>
      <c r="G12" s="188"/>
    </row>
    <row r="13" spans="3:9" x14ac:dyDescent="0.25">
      <c r="C13" s="13">
        <v>1</v>
      </c>
      <c r="D13" s="187" t="s">
        <v>45</v>
      </c>
      <c r="E13" s="187"/>
      <c r="F13" s="187"/>
      <c r="G13" s="76">
        <v>70</v>
      </c>
    </row>
    <row r="14" spans="3:9" x14ac:dyDescent="0.25">
      <c r="C14" s="13">
        <v>2</v>
      </c>
      <c r="D14" s="187" t="s">
        <v>47</v>
      </c>
      <c r="E14" s="187"/>
      <c r="F14" s="187"/>
      <c r="G14" s="76">
        <v>60</v>
      </c>
    </row>
    <row r="15" spans="3:9" x14ac:dyDescent="0.25">
      <c r="C15" s="13">
        <v>3</v>
      </c>
      <c r="D15" s="187" t="s">
        <v>48</v>
      </c>
      <c r="E15" s="187"/>
      <c r="F15" s="187"/>
      <c r="G15" s="76">
        <v>60</v>
      </c>
    </row>
    <row r="16" spans="3:9" x14ac:dyDescent="0.25">
      <c r="C16" s="188" t="s">
        <v>49</v>
      </c>
      <c r="D16" s="188"/>
      <c r="E16" s="188"/>
      <c r="F16" s="188"/>
      <c r="G16" s="188"/>
    </row>
    <row r="17" spans="3:7" x14ac:dyDescent="0.25">
      <c r="C17" s="188" t="s">
        <v>78</v>
      </c>
      <c r="D17" s="188"/>
      <c r="E17" s="188"/>
      <c r="F17" s="188"/>
      <c r="G17" s="188"/>
    </row>
    <row r="18" spans="3:7" x14ac:dyDescent="0.25">
      <c r="C18" s="13">
        <v>1</v>
      </c>
      <c r="D18" s="187" t="s">
        <v>84</v>
      </c>
      <c r="E18" s="187"/>
      <c r="F18" s="187"/>
      <c r="G18" s="76">
        <v>70</v>
      </c>
    </row>
    <row r="19" spans="3:7" x14ac:dyDescent="0.25">
      <c r="C19" s="13">
        <v>2</v>
      </c>
      <c r="D19" s="183" t="s">
        <v>85</v>
      </c>
      <c r="E19" s="183"/>
      <c r="F19" s="183"/>
      <c r="G19" s="76">
        <v>70</v>
      </c>
    </row>
    <row r="20" spans="3:7" x14ac:dyDescent="0.25">
      <c r="C20" s="13">
        <v>3</v>
      </c>
      <c r="D20" s="183" t="s">
        <v>86</v>
      </c>
      <c r="E20" s="183"/>
      <c r="F20" s="183"/>
      <c r="G20" s="76">
        <v>70</v>
      </c>
    </row>
    <row r="21" spans="3:7" x14ac:dyDescent="0.25">
      <c r="C21" s="13">
        <v>4</v>
      </c>
      <c r="D21" s="187" t="s">
        <v>87</v>
      </c>
      <c r="E21" s="187"/>
      <c r="F21" s="187"/>
      <c r="G21" s="76">
        <v>70</v>
      </c>
    </row>
    <row r="22" spans="3:7" x14ac:dyDescent="0.25">
      <c r="C22" s="13">
        <v>5</v>
      </c>
      <c r="D22" s="183" t="s">
        <v>83</v>
      </c>
      <c r="E22" s="183"/>
      <c r="F22" s="183"/>
      <c r="G22" s="76">
        <v>70</v>
      </c>
    </row>
    <row r="23" spans="3:7" x14ac:dyDescent="0.25"/>
    <row r="24" spans="3:7" x14ac:dyDescent="0.25"/>
    <row r="25" spans="3:7" s="74" customFormat="1" ht="9.75" customHeight="1" x14ac:dyDescent="0.25"/>
    <row r="26" spans="3:7" hidden="1" x14ac:dyDescent="0.25"/>
  </sheetData>
  <sheetProtection selectLockedCells="1"/>
  <mergeCells count="20">
    <mergeCell ref="D14:F14"/>
    <mergeCell ref="C2:G2"/>
    <mergeCell ref="C3:G3"/>
    <mergeCell ref="D5:F5"/>
    <mergeCell ref="C6:G6"/>
    <mergeCell ref="D7:F7"/>
    <mergeCell ref="D8:F8"/>
    <mergeCell ref="D9:F9"/>
    <mergeCell ref="D10:F10"/>
    <mergeCell ref="D11:F11"/>
    <mergeCell ref="C12:G12"/>
    <mergeCell ref="D13:F13"/>
    <mergeCell ref="D21:F21"/>
    <mergeCell ref="D22:F22"/>
    <mergeCell ref="D15:F15"/>
    <mergeCell ref="C16:G16"/>
    <mergeCell ref="C17:G17"/>
    <mergeCell ref="D18:F18"/>
    <mergeCell ref="D19:F19"/>
    <mergeCell ref="D20:F20"/>
  </mergeCells>
  <pageMargins left="0.7" right="0.7" top="0.75" bottom="0.75" header="0.3" footer="0.3"/>
  <pageSetup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7">
    <tabColor theme="4" tint="-0.249977111117893"/>
  </sheetPr>
  <dimension ref="A1:BJ46"/>
  <sheetViews>
    <sheetView zoomScale="55" zoomScaleNormal="55" workbookViewId="0">
      <selection activeCell="AC14" sqref="AC14"/>
    </sheetView>
  </sheetViews>
  <sheetFormatPr defaultColWidth="0" defaultRowHeight="15.75" customHeight="1" zeroHeight="1" x14ac:dyDescent="0.25"/>
  <cols>
    <col min="1" max="1" width="1.42578125" style="54" customWidth="1"/>
    <col min="2" max="2" width="6.42578125" style="54" customWidth="1"/>
    <col min="3" max="3" width="27.28515625" style="54" customWidth="1"/>
    <col min="4" max="4" width="5.5703125" style="54" bestFit="1" customWidth="1"/>
    <col min="5" max="5" width="13.85546875" style="54" bestFit="1" customWidth="1"/>
    <col min="6" max="44" width="4.7109375" style="55" customWidth="1"/>
    <col min="45" max="47" width="4.7109375" style="55" hidden="1" customWidth="1"/>
    <col min="48" max="59" width="4.7109375" style="55" hidden="1"/>
    <col min="60" max="61" width="9.28515625" style="54" bestFit="1" customWidth="1"/>
    <col min="62" max="62" width="9.140625" style="54" customWidth="1"/>
    <col min="63" max="16384" width="9.140625" style="54" hidden="1"/>
  </cols>
  <sheetData>
    <row r="1" spans="2:61" ht="7.5" customHeight="1" x14ac:dyDescent="0.25"/>
    <row r="2" spans="2:61" ht="78.75" customHeight="1" thickBot="1" x14ac:dyDescent="0.3"/>
    <row r="3" spans="2:61" ht="24" thickBot="1" x14ac:dyDescent="0.4">
      <c r="B3" s="197" t="s">
        <v>95</v>
      </c>
      <c r="C3" s="198"/>
      <c r="D3" s="198"/>
      <c r="E3" s="198"/>
      <c r="F3" s="198"/>
      <c r="G3" s="198"/>
      <c r="H3" s="198"/>
      <c r="I3" s="198"/>
      <c r="J3" s="198"/>
      <c r="K3" s="198"/>
      <c r="L3" s="198"/>
      <c r="M3" s="198"/>
      <c r="N3" s="198"/>
      <c r="O3" s="198"/>
      <c r="P3" s="198"/>
      <c r="Q3" s="198"/>
      <c r="R3" s="198"/>
      <c r="S3" s="198"/>
      <c r="T3" s="198"/>
      <c r="U3" s="198"/>
      <c r="V3" s="198"/>
      <c r="W3" s="198"/>
      <c r="X3" s="198"/>
      <c r="Y3" s="198"/>
      <c r="Z3" s="198"/>
      <c r="AA3" s="198"/>
      <c r="AB3" s="198"/>
      <c r="AC3" s="198"/>
      <c r="AD3" s="198"/>
      <c r="AE3" s="198"/>
      <c r="AF3" s="198"/>
      <c r="AG3" s="198"/>
      <c r="AH3" s="198"/>
      <c r="AI3" s="198"/>
      <c r="AJ3" s="198"/>
      <c r="AK3" s="198"/>
      <c r="AL3" s="198"/>
      <c r="AM3" s="198"/>
      <c r="AN3" s="198"/>
      <c r="AO3" s="198"/>
      <c r="AP3" s="198"/>
      <c r="AQ3" s="198"/>
      <c r="AR3" s="198"/>
      <c r="AS3" s="198"/>
      <c r="AT3" s="198"/>
      <c r="AU3" s="198"/>
      <c r="AV3" s="198"/>
      <c r="AW3" s="198"/>
      <c r="AX3" s="198"/>
      <c r="AY3" s="198"/>
      <c r="AZ3" s="198"/>
      <c r="BA3" s="198"/>
      <c r="BB3" s="198"/>
      <c r="BC3" s="198"/>
      <c r="BD3" s="198"/>
      <c r="BE3" s="198"/>
      <c r="BF3" s="198"/>
      <c r="BG3" s="198"/>
      <c r="BH3" s="198"/>
      <c r="BI3" s="199"/>
    </row>
    <row r="4" spans="2:61" ht="6" customHeight="1" x14ac:dyDescent="0.25"/>
    <row r="5" spans="2:61" x14ac:dyDescent="0.25">
      <c r="B5" s="165" t="s">
        <v>27</v>
      </c>
      <c r="C5" s="165" t="s">
        <v>88</v>
      </c>
      <c r="D5" s="165" t="s">
        <v>29</v>
      </c>
      <c r="E5" s="165" t="s">
        <v>30</v>
      </c>
      <c r="F5" s="56" t="s">
        <v>89</v>
      </c>
      <c r="G5" s="57"/>
      <c r="H5" s="57"/>
      <c r="I5" s="57"/>
      <c r="J5" s="57"/>
      <c r="K5" s="57"/>
      <c r="L5" s="57"/>
      <c r="M5" s="57"/>
      <c r="N5" s="57"/>
      <c r="O5" s="57"/>
      <c r="P5" s="57"/>
      <c r="Q5" s="57"/>
      <c r="R5" s="57"/>
      <c r="S5" s="57"/>
      <c r="T5" s="57"/>
      <c r="U5" s="57"/>
      <c r="V5" s="57"/>
      <c r="W5" s="57"/>
      <c r="X5" s="57"/>
      <c r="Y5" s="57"/>
      <c r="Z5" s="57"/>
      <c r="AA5" s="57"/>
      <c r="AB5" s="57"/>
      <c r="AC5" s="57"/>
      <c r="AD5" s="57"/>
      <c r="AE5" s="57"/>
      <c r="AF5" s="57"/>
      <c r="AG5" s="57"/>
      <c r="AH5" s="57"/>
      <c r="AI5" s="57"/>
      <c r="AJ5" s="57"/>
      <c r="AK5" s="57"/>
      <c r="AL5" s="57"/>
      <c r="AM5" s="57"/>
      <c r="AN5" s="57"/>
      <c r="AO5" s="57"/>
      <c r="AP5" s="57"/>
      <c r="AQ5" s="57"/>
      <c r="AR5" s="57"/>
      <c r="AS5" s="57"/>
      <c r="AT5" s="57"/>
      <c r="AU5" s="57"/>
      <c r="AV5" s="57"/>
      <c r="AW5" s="57"/>
      <c r="AX5" s="57"/>
      <c r="AY5" s="57"/>
      <c r="AZ5" s="57"/>
      <c r="BA5" s="57"/>
      <c r="BB5" s="57"/>
      <c r="BC5" s="57"/>
      <c r="BD5" s="57"/>
      <c r="BE5" s="57"/>
      <c r="BF5" s="57"/>
      <c r="BG5" s="58"/>
      <c r="BH5" s="168" t="s">
        <v>93</v>
      </c>
      <c r="BI5" s="170" t="s">
        <v>94</v>
      </c>
    </row>
    <row r="6" spans="2:61" ht="98.25" customHeight="1" x14ac:dyDescent="0.25">
      <c r="B6" s="166"/>
      <c r="C6" s="166"/>
      <c r="D6" s="166"/>
      <c r="E6" s="166"/>
      <c r="F6" s="194" t="s">
        <v>90</v>
      </c>
      <c r="G6" s="195"/>
      <c r="H6" s="196"/>
      <c r="I6" s="194" t="s">
        <v>92</v>
      </c>
      <c r="J6" s="195"/>
      <c r="K6" s="196"/>
      <c r="L6" s="191" t="s">
        <v>99</v>
      </c>
      <c r="M6" s="192"/>
      <c r="N6" s="193"/>
      <c r="O6" s="194" t="s">
        <v>91</v>
      </c>
      <c r="P6" s="195"/>
      <c r="Q6" s="196"/>
      <c r="R6" s="200" t="s">
        <v>101</v>
      </c>
      <c r="S6" s="201"/>
      <c r="T6" s="202"/>
      <c r="U6" s="191" t="s">
        <v>102</v>
      </c>
      <c r="V6" s="192"/>
      <c r="W6" s="193"/>
      <c r="X6" s="191" t="s">
        <v>104</v>
      </c>
      <c r="Y6" s="192"/>
      <c r="Z6" s="193"/>
      <c r="AA6" s="194" t="s">
        <v>105</v>
      </c>
      <c r="AB6" s="195"/>
      <c r="AC6" s="196"/>
      <c r="AD6" s="191" t="s">
        <v>125</v>
      </c>
      <c r="AE6" s="192"/>
      <c r="AF6" s="193"/>
      <c r="AG6" s="194" t="s">
        <v>126</v>
      </c>
      <c r="AH6" s="195"/>
      <c r="AI6" s="196"/>
      <c r="AJ6" s="194" t="s">
        <v>127</v>
      </c>
      <c r="AK6" s="195"/>
      <c r="AL6" s="196"/>
      <c r="AM6" s="194" t="s">
        <v>128</v>
      </c>
      <c r="AN6" s="195"/>
      <c r="AO6" s="196"/>
      <c r="AP6" s="200" t="s">
        <v>124</v>
      </c>
      <c r="AQ6" s="201"/>
      <c r="AR6" s="202"/>
      <c r="AS6" s="200" t="s">
        <v>124</v>
      </c>
      <c r="AT6" s="201"/>
      <c r="AU6" s="202"/>
      <c r="AV6" s="194" t="s">
        <v>116</v>
      </c>
      <c r="AW6" s="195"/>
      <c r="AX6" s="196"/>
      <c r="AY6" s="191" t="s">
        <v>117</v>
      </c>
      <c r="AZ6" s="192"/>
      <c r="BA6" s="193"/>
      <c r="BB6" s="191" t="s">
        <v>111</v>
      </c>
      <c r="BC6" s="192"/>
      <c r="BD6" s="193"/>
      <c r="BE6" s="191" t="s">
        <v>112</v>
      </c>
      <c r="BF6" s="192"/>
      <c r="BG6" s="193"/>
      <c r="BH6" s="169"/>
      <c r="BI6" s="171"/>
    </row>
    <row r="7" spans="2:61" ht="24" customHeight="1" x14ac:dyDescent="0.25">
      <c r="B7" s="167"/>
      <c r="C7" s="167"/>
      <c r="D7" s="167"/>
      <c r="E7" s="167"/>
      <c r="F7" s="59" t="s">
        <v>96</v>
      </c>
      <c r="G7" s="59" t="s">
        <v>97</v>
      </c>
      <c r="H7" s="59" t="s">
        <v>98</v>
      </c>
      <c r="I7" s="59" t="s">
        <v>96</v>
      </c>
      <c r="J7" s="59" t="s">
        <v>97</v>
      </c>
      <c r="K7" s="59" t="s">
        <v>98</v>
      </c>
      <c r="L7" s="59" t="s">
        <v>96</v>
      </c>
      <c r="M7" s="59" t="s">
        <v>97</v>
      </c>
      <c r="N7" s="59" t="s">
        <v>98</v>
      </c>
      <c r="O7" s="59" t="s">
        <v>96</v>
      </c>
      <c r="P7" s="59" t="s">
        <v>97</v>
      </c>
      <c r="Q7" s="59" t="s">
        <v>98</v>
      </c>
      <c r="R7" s="59" t="s">
        <v>96</v>
      </c>
      <c r="S7" s="59" t="s">
        <v>97</v>
      </c>
      <c r="T7" s="59" t="s">
        <v>98</v>
      </c>
      <c r="U7" s="59" t="s">
        <v>96</v>
      </c>
      <c r="V7" s="59" t="s">
        <v>97</v>
      </c>
      <c r="W7" s="59" t="s">
        <v>98</v>
      </c>
      <c r="X7" s="59" t="s">
        <v>96</v>
      </c>
      <c r="Y7" s="59" t="s">
        <v>97</v>
      </c>
      <c r="Z7" s="59" t="s">
        <v>98</v>
      </c>
      <c r="AA7" s="59" t="s">
        <v>96</v>
      </c>
      <c r="AB7" s="59" t="s">
        <v>97</v>
      </c>
      <c r="AC7" s="59" t="s">
        <v>98</v>
      </c>
      <c r="AD7" s="59" t="s">
        <v>96</v>
      </c>
      <c r="AE7" s="59" t="s">
        <v>97</v>
      </c>
      <c r="AF7" s="59" t="s">
        <v>98</v>
      </c>
      <c r="AG7" s="59" t="s">
        <v>96</v>
      </c>
      <c r="AH7" s="59" t="s">
        <v>97</v>
      </c>
      <c r="AI7" s="59" t="s">
        <v>98</v>
      </c>
      <c r="AJ7" s="59" t="s">
        <v>96</v>
      </c>
      <c r="AK7" s="59" t="s">
        <v>97</v>
      </c>
      <c r="AL7" s="59" t="s">
        <v>98</v>
      </c>
      <c r="AM7" s="59" t="s">
        <v>96</v>
      </c>
      <c r="AN7" s="59" t="s">
        <v>97</v>
      </c>
      <c r="AO7" s="59" t="s">
        <v>98</v>
      </c>
      <c r="AP7" s="59" t="s">
        <v>96</v>
      </c>
      <c r="AQ7" s="59" t="s">
        <v>97</v>
      </c>
      <c r="AR7" s="59" t="s">
        <v>98</v>
      </c>
      <c r="AS7" s="59" t="s">
        <v>96</v>
      </c>
      <c r="AT7" s="59" t="s">
        <v>97</v>
      </c>
      <c r="AU7" s="59" t="s">
        <v>98</v>
      </c>
      <c r="AV7" s="59" t="s">
        <v>96</v>
      </c>
      <c r="AW7" s="59" t="s">
        <v>97</v>
      </c>
      <c r="AX7" s="59" t="s">
        <v>98</v>
      </c>
      <c r="AY7" s="59" t="s">
        <v>96</v>
      </c>
      <c r="AZ7" s="59" t="s">
        <v>97</v>
      </c>
      <c r="BA7" s="59" t="s">
        <v>98</v>
      </c>
      <c r="BB7" s="59" t="s">
        <v>96</v>
      </c>
      <c r="BC7" s="59" t="s">
        <v>97</v>
      </c>
      <c r="BD7" s="59" t="s">
        <v>98</v>
      </c>
      <c r="BE7" s="59" t="s">
        <v>96</v>
      </c>
      <c r="BF7" s="59" t="s">
        <v>97</v>
      </c>
      <c r="BG7" s="59" t="s">
        <v>98</v>
      </c>
      <c r="BH7" s="60"/>
      <c r="BI7" s="61"/>
    </row>
    <row r="8" spans="2:61" x14ac:dyDescent="0.25">
      <c r="B8" s="62">
        <v>1</v>
      </c>
      <c r="C8" s="62">
        <v>2</v>
      </c>
      <c r="D8" s="62">
        <v>3</v>
      </c>
      <c r="E8" s="62">
        <v>4</v>
      </c>
      <c r="F8" s="77">
        <v>5</v>
      </c>
      <c r="G8" s="77">
        <v>6</v>
      </c>
      <c r="H8" s="77">
        <v>7</v>
      </c>
      <c r="I8" s="77">
        <v>8</v>
      </c>
      <c r="J8" s="77">
        <v>9</v>
      </c>
      <c r="K8" s="77">
        <v>10</v>
      </c>
      <c r="L8" s="77">
        <v>11</v>
      </c>
      <c r="M8" s="77">
        <v>12</v>
      </c>
      <c r="N8" s="77">
        <v>13</v>
      </c>
      <c r="O8" s="77">
        <v>14</v>
      </c>
      <c r="P8" s="77">
        <v>15</v>
      </c>
      <c r="Q8" s="77">
        <v>16</v>
      </c>
      <c r="R8" s="77">
        <v>17</v>
      </c>
      <c r="S8" s="77">
        <v>18</v>
      </c>
      <c r="T8" s="77">
        <v>19</v>
      </c>
      <c r="U8" s="77">
        <v>20</v>
      </c>
      <c r="V8" s="77">
        <v>21</v>
      </c>
      <c r="W8" s="77">
        <v>22</v>
      </c>
      <c r="X8" s="77">
        <v>23</v>
      </c>
      <c r="Y8" s="77">
        <v>24</v>
      </c>
      <c r="Z8" s="77">
        <v>25</v>
      </c>
      <c r="AA8" s="77">
        <v>26</v>
      </c>
      <c r="AB8" s="77">
        <v>27</v>
      </c>
      <c r="AC8" s="77">
        <v>28</v>
      </c>
      <c r="AD8" s="77">
        <v>29</v>
      </c>
      <c r="AE8" s="77">
        <v>30</v>
      </c>
      <c r="AF8" s="77">
        <v>31</v>
      </c>
      <c r="AG8" s="77">
        <v>32</v>
      </c>
      <c r="AH8" s="77">
        <v>33</v>
      </c>
      <c r="AI8" s="77">
        <v>34</v>
      </c>
      <c r="AJ8" s="77">
        <v>35</v>
      </c>
      <c r="AK8" s="77">
        <v>36</v>
      </c>
      <c r="AL8" s="77">
        <v>37</v>
      </c>
      <c r="AM8" s="77">
        <v>38</v>
      </c>
      <c r="AN8" s="77">
        <v>39</v>
      </c>
      <c r="AO8" s="77">
        <v>40</v>
      </c>
      <c r="AP8" s="77">
        <v>41</v>
      </c>
      <c r="AQ8" s="77">
        <v>42</v>
      </c>
      <c r="AR8" s="77">
        <v>43</v>
      </c>
      <c r="AS8" s="77">
        <v>44</v>
      </c>
      <c r="AT8" s="77">
        <v>45</v>
      </c>
      <c r="AU8" s="77">
        <v>46</v>
      </c>
      <c r="AV8" s="77">
        <v>47</v>
      </c>
      <c r="AW8" s="77">
        <v>48</v>
      </c>
      <c r="AX8" s="77">
        <v>49</v>
      </c>
      <c r="AY8" s="77">
        <v>50</v>
      </c>
      <c r="AZ8" s="77">
        <v>51</v>
      </c>
      <c r="BA8" s="77">
        <v>52</v>
      </c>
      <c r="BB8" s="77">
        <v>53</v>
      </c>
      <c r="BC8" s="77">
        <v>54</v>
      </c>
      <c r="BD8" s="77">
        <v>55</v>
      </c>
      <c r="BE8" s="77">
        <v>56</v>
      </c>
      <c r="BF8" s="77">
        <v>57</v>
      </c>
      <c r="BG8" s="77">
        <v>58</v>
      </c>
      <c r="BH8" s="77">
        <v>59</v>
      </c>
      <c r="BI8" s="77">
        <v>60</v>
      </c>
    </row>
    <row r="9" spans="2:61" x14ac:dyDescent="0.25">
      <c r="B9" s="63">
        <v>1</v>
      </c>
      <c r="C9" s="64" t="str">
        <f>NOMINATIF!C6</f>
        <v>AFMALA INSAN QOIRUNISA</v>
      </c>
      <c r="D9" s="65">
        <f>NOMINATIF!D6</f>
        <v>4020</v>
      </c>
      <c r="E9" s="65" t="str">
        <f>NOMINATIF!E6</f>
        <v>0059023845</v>
      </c>
      <c r="F9" s="53">
        <f t="shared" ref="F9:F43" si="0">IFERROR(VLOOKUP(C9,$BM$8:$BN$101,2,0),0)</f>
        <v>0</v>
      </c>
      <c r="G9" s="53"/>
      <c r="H9" s="53"/>
      <c r="I9" s="53">
        <f>IFERROR(VLOOKUP(C9,$BO$8:$BP$101,2,0),0)</f>
        <v>0</v>
      </c>
      <c r="J9" s="53"/>
      <c r="K9" s="53"/>
      <c r="L9" s="53">
        <f>IFERROR(VLOOKUP(C9,$BQ$8:$BR$101,2,0),0)</f>
        <v>0</v>
      </c>
      <c r="M9" s="53"/>
      <c r="N9" s="53"/>
      <c r="O9" s="53">
        <f>IFERROR(VLOOKUP(C9,$BS$8:$BT$39,2,0),0)</f>
        <v>0</v>
      </c>
      <c r="P9" s="53"/>
      <c r="Q9" s="53"/>
      <c r="R9" s="53">
        <f>IFERROR(VLOOKUP(C9,$BU$8:$BV$101,2,0),0)</f>
        <v>0</v>
      </c>
      <c r="S9" s="53"/>
      <c r="T9" s="53"/>
      <c r="U9" s="53">
        <f>IFERROR(VLOOKUP(C9,$BW$8:$BX$101,2,0),0)</f>
        <v>0</v>
      </c>
      <c r="V9" s="53"/>
      <c r="W9" s="53"/>
      <c r="X9" s="53">
        <f>IFERROR(VLOOKUP(C9,$BY$8:$BZ$101,2,0),0)</f>
        <v>0</v>
      </c>
      <c r="Y9" s="53"/>
      <c r="Z9" s="53"/>
      <c r="AA9" s="53">
        <f>IFERROR(VLOOKUP(C9,$CA$8:$CB$39,2,0),0)</f>
        <v>0</v>
      </c>
      <c r="AB9" s="53"/>
      <c r="AC9" s="53"/>
      <c r="AD9" s="53">
        <f>IFERROR(VLOOKUP(C9,$CC$8:$CD$101,2,0),0)</f>
        <v>0</v>
      </c>
      <c r="AE9" s="53"/>
      <c r="AF9" s="53"/>
      <c r="AG9" s="53">
        <f>IFERROR(VLOOKUP(C9,$CE$8:$CF$101,2,0),0)</f>
        <v>0</v>
      </c>
      <c r="AH9" s="53"/>
      <c r="AI9" s="53"/>
      <c r="AJ9" s="53">
        <f>IFERROR(VLOOKUP(C9,$CG$8:$CH$101,2,0),0)</f>
        <v>0</v>
      </c>
      <c r="AK9" s="53"/>
      <c r="AL9" s="53"/>
      <c r="AM9" s="53">
        <f>IFERROR(VLOOKUP(C9,$CI$8:$CJ$39,2,0),0)</f>
        <v>0</v>
      </c>
      <c r="AN9" s="53"/>
      <c r="AO9" s="53"/>
      <c r="AP9" s="53">
        <f>IFERROR(VLOOKUP(C9,$CK$8:$CL$101,2,0),0)</f>
        <v>0</v>
      </c>
      <c r="AQ9" s="53"/>
      <c r="AR9" s="53"/>
      <c r="AS9" s="66">
        <f>IFERROR(VLOOKUP(C9,$CM$8:$CN$101,2,0),0)</f>
        <v>0</v>
      </c>
      <c r="AT9" s="66"/>
      <c r="AU9" s="66"/>
      <c r="AV9" s="66">
        <f>IFERROR(VLOOKUP(C9,$CO$8:$CP$101,2,0),0)</f>
        <v>0</v>
      </c>
      <c r="AW9" s="66"/>
      <c r="AX9" s="66"/>
      <c r="AY9" s="66">
        <f>IFERROR(VLOOKUP(C9,$CQ$8:$CR$101,2,0),0)</f>
        <v>0</v>
      </c>
      <c r="AZ9" s="66"/>
      <c r="BA9" s="66"/>
      <c r="BB9" s="66">
        <f>IFERROR(VLOOKUP(C9,$CS$8:$CT$101,2,0),0)</f>
        <v>0</v>
      </c>
      <c r="BC9" s="66"/>
      <c r="BD9" s="66"/>
      <c r="BE9" s="66">
        <f>IFERROR(VLOOKUP(C9,$CU$8:$CV$101,2,0),0)</f>
        <v>0</v>
      </c>
      <c r="BF9" s="66"/>
      <c r="BG9" s="66"/>
      <c r="BH9" s="67">
        <f>SUM(F9:BE9)</f>
        <v>0</v>
      </c>
      <c r="BI9" s="68">
        <f>RANK(BH9,$BH$9:$BH$43)</f>
        <v>1</v>
      </c>
    </row>
    <row r="10" spans="2:61" x14ac:dyDescent="0.25">
      <c r="B10" s="63">
        <v>2</v>
      </c>
      <c r="C10" s="64" t="str">
        <f>NOMINATIF!C7</f>
        <v>Bella Febriyan</v>
      </c>
      <c r="D10" s="65">
        <f>NOMINATIF!D7</f>
        <v>4044</v>
      </c>
      <c r="E10" s="65" t="str">
        <f>NOMINATIF!E7</f>
        <v>0063121607</v>
      </c>
      <c r="F10" s="53">
        <f t="shared" si="0"/>
        <v>0</v>
      </c>
      <c r="G10" s="53"/>
      <c r="H10" s="53"/>
      <c r="I10" s="53">
        <f t="shared" ref="I10:I43" si="1">IFERROR(VLOOKUP(C10,$BO$8:$BP$101,2,0),0)</f>
        <v>0</v>
      </c>
      <c r="J10" s="53"/>
      <c r="K10" s="53"/>
      <c r="L10" s="53">
        <f t="shared" ref="L10:L43" si="2">IFERROR(VLOOKUP(C10,$BQ$8:$BR$101,2,0),0)</f>
        <v>0</v>
      </c>
      <c r="M10" s="53"/>
      <c r="N10" s="53"/>
      <c r="O10" s="53">
        <f t="shared" ref="O10:O43" si="3">IFERROR(VLOOKUP(C10,$BS$8:$BT$39,2,0),0)</f>
        <v>0</v>
      </c>
      <c r="P10" s="53"/>
      <c r="Q10" s="53"/>
      <c r="R10" s="53">
        <f t="shared" ref="R10:R43" si="4">IFERROR(VLOOKUP(C10,$BU$8:$BV$101,2,0),0)</f>
        <v>0</v>
      </c>
      <c r="S10" s="53"/>
      <c r="T10" s="53"/>
      <c r="U10" s="53">
        <f t="shared" ref="U10:U43" si="5">IFERROR(VLOOKUP(C10,$BW$8:$BX$101,2,0),0)</f>
        <v>0</v>
      </c>
      <c r="V10" s="53"/>
      <c r="W10" s="53"/>
      <c r="X10" s="53">
        <f t="shared" ref="X10:X43" si="6">IFERROR(VLOOKUP(C10,$BY$8:$BZ$101,2,0),0)</f>
        <v>0</v>
      </c>
      <c r="Y10" s="53"/>
      <c r="Z10" s="53"/>
      <c r="AA10" s="53">
        <f t="shared" ref="AA10:AA43" si="7">IFERROR(VLOOKUP(C10,$CA$8:$CB$39,2,0),0)</f>
        <v>0</v>
      </c>
      <c r="AB10" s="53"/>
      <c r="AC10" s="53"/>
      <c r="AD10" s="53">
        <f t="shared" ref="AD10:AD43" si="8">IFERROR(VLOOKUP(C10,$CC$8:$CD$101,2,0),0)</f>
        <v>0</v>
      </c>
      <c r="AE10" s="53"/>
      <c r="AF10" s="53"/>
      <c r="AG10" s="53">
        <f t="shared" ref="AG10:AG43" si="9">IFERROR(VLOOKUP(C10,$CE$8:$CF$101,2,0),0)</f>
        <v>0</v>
      </c>
      <c r="AH10" s="53"/>
      <c r="AI10" s="53"/>
      <c r="AJ10" s="53">
        <f t="shared" ref="AJ10:AJ43" si="10">IFERROR(VLOOKUP(C10,$CG$8:$CH$101,2,0),0)</f>
        <v>0</v>
      </c>
      <c r="AK10" s="53"/>
      <c r="AL10" s="53"/>
      <c r="AM10" s="53">
        <f t="shared" ref="AM10:AM43" si="11">IFERROR(VLOOKUP(C10,$CI$8:$CJ$39,2,0),0)</f>
        <v>0</v>
      </c>
      <c r="AN10" s="53"/>
      <c r="AO10" s="53"/>
      <c r="AP10" s="53">
        <f t="shared" ref="AP10:AP43" si="12">IFERROR(VLOOKUP(C10,$CK$8:$CL$101,2,0),0)</f>
        <v>0</v>
      </c>
      <c r="AQ10" s="53"/>
      <c r="AR10" s="53"/>
      <c r="AS10" s="66">
        <f t="shared" ref="AS10:AS43" si="13">IFERROR(VLOOKUP(C10,$CM$8:$CN$101,2,0),0)</f>
        <v>0</v>
      </c>
      <c r="AT10" s="66"/>
      <c r="AU10" s="66"/>
      <c r="AV10" s="66">
        <f t="shared" ref="AV10:AV43" si="14">IFERROR(VLOOKUP(C10,$CO$8:$CP$101,2,0),0)</f>
        <v>0</v>
      </c>
      <c r="AW10" s="66"/>
      <c r="AX10" s="66"/>
      <c r="AY10" s="66">
        <f t="shared" ref="AY10:AY43" si="15">IFERROR(VLOOKUP(C10,$CQ$8:$CR$101,2,0),0)</f>
        <v>0</v>
      </c>
      <c r="AZ10" s="66"/>
      <c r="BA10" s="66"/>
      <c r="BB10" s="66">
        <f t="shared" ref="BB10:BB43" si="16">IFERROR(VLOOKUP(C10,$CS$8:$CT$101,2,0),0)</f>
        <v>0</v>
      </c>
      <c r="BC10" s="66"/>
      <c r="BD10" s="66"/>
      <c r="BE10" s="66">
        <f t="shared" ref="BE10:BE43" si="17">IFERROR(VLOOKUP(C10,$CU$8:$CV$101,2,0),0)</f>
        <v>0</v>
      </c>
      <c r="BF10" s="66"/>
      <c r="BG10" s="66"/>
      <c r="BH10" s="67">
        <f t="shared" ref="BH10:BH43" si="18">SUM(F10:BE10)</f>
        <v>0</v>
      </c>
      <c r="BI10" s="68">
        <f t="shared" ref="BI10:BI43" si="19">RANK(BH10,$BH$9:$BH$43)</f>
        <v>1</v>
      </c>
    </row>
    <row r="11" spans="2:61" x14ac:dyDescent="0.25">
      <c r="B11" s="63">
        <v>3</v>
      </c>
      <c r="C11" s="64" t="str">
        <f>NOMINATIF!C8</f>
        <v>CHINTIA WIDYA PUTRI</v>
      </c>
      <c r="D11" s="65">
        <f>NOMINATIF!D8</f>
        <v>4024</v>
      </c>
      <c r="E11" s="65" t="str">
        <f>NOMINATIF!E8</f>
        <v>0064862293</v>
      </c>
      <c r="F11" s="53">
        <f t="shared" si="0"/>
        <v>0</v>
      </c>
      <c r="G11" s="53"/>
      <c r="H11" s="53"/>
      <c r="I11" s="53">
        <f t="shared" si="1"/>
        <v>0</v>
      </c>
      <c r="J11" s="53"/>
      <c r="K11" s="53"/>
      <c r="L11" s="53">
        <f t="shared" si="2"/>
        <v>0</v>
      </c>
      <c r="M11" s="53"/>
      <c r="N11" s="53"/>
      <c r="O11" s="53">
        <f t="shared" si="3"/>
        <v>0</v>
      </c>
      <c r="P11" s="53"/>
      <c r="Q11" s="53"/>
      <c r="R11" s="53">
        <f t="shared" si="4"/>
        <v>0</v>
      </c>
      <c r="S11" s="53"/>
      <c r="T11" s="53"/>
      <c r="U11" s="53">
        <f t="shared" si="5"/>
        <v>0</v>
      </c>
      <c r="V11" s="53"/>
      <c r="W11" s="53"/>
      <c r="X11" s="53">
        <f t="shared" si="6"/>
        <v>0</v>
      </c>
      <c r="Y11" s="53"/>
      <c r="Z11" s="53"/>
      <c r="AA11" s="53">
        <f t="shared" si="7"/>
        <v>0</v>
      </c>
      <c r="AB11" s="53"/>
      <c r="AC11" s="53"/>
      <c r="AD11" s="53">
        <f t="shared" si="8"/>
        <v>0</v>
      </c>
      <c r="AE11" s="53"/>
      <c r="AF11" s="53"/>
      <c r="AG11" s="53">
        <f t="shared" si="9"/>
        <v>0</v>
      </c>
      <c r="AH11" s="53"/>
      <c r="AI11" s="53"/>
      <c r="AJ11" s="53">
        <f t="shared" si="10"/>
        <v>0</v>
      </c>
      <c r="AK11" s="53"/>
      <c r="AL11" s="53"/>
      <c r="AM11" s="53">
        <f t="shared" si="11"/>
        <v>0</v>
      </c>
      <c r="AN11" s="53"/>
      <c r="AO11" s="53"/>
      <c r="AP11" s="53">
        <f t="shared" si="12"/>
        <v>0</v>
      </c>
      <c r="AQ11" s="53"/>
      <c r="AR11" s="53"/>
      <c r="AS11" s="66">
        <f t="shared" si="13"/>
        <v>0</v>
      </c>
      <c r="AT11" s="66"/>
      <c r="AU11" s="66"/>
      <c r="AV11" s="66">
        <f t="shared" si="14"/>
        <v>0</v>
      </c>
      <c r="AW11" s="66"/>
      <c r="AX11" s="66"/>
      <c r="AY11" s="66">
        <f t="shared" si="15"/>
        <v>0</v>
      </c>
      <c r="AZ11" s="66"/>
      <c r="BA11" s="66"/>
      <c r="BB11" s="66">
        <f t="shared" si="16"/>
        <v>0</v>
      </c>
      <c r="BC11" s="66"/>
      <c r="BD11" s="66"/>
      <c r="BE11" s="66">
        <f t="shared" si="17"/>
        <v>0</v>
      </c>
      <c r="BF11" s="66"/>
      <c r="BG11" s="66"/>
      <c r="BH11" s="67">
        <f t="shared" si="18"/>
        <v>0</v>
      </c>
      <c r="BI11" s="68">
        <f t="shared" si="19"/>
        <v>1</v>
      </c>
    </row>
    <row r="12" spans="2:61" x14ac:dyDescent="0.25">
      <c r="B12" s="63">
        <v>4</v>
      </c>
      <c r="C12" s="64" t="str">
        <f>NOMINATIF!C9</f>
        <v>DAVINA AZAHRA</v>
      </c>
      <c r="D12" s="65">
        <f>NOMINATIF!D9</f>
        <v>4048</v>
      </c>
      <c r="E12" s="65" t="str">
        <f>NOMINATIF!E9</f>
        <v>0063299654</v>
      </c>
      <c r="F12" s="53">
        <f t="shared" si="0"/>
        <v>0</v>
      </c>
      <c r="G12" s="53"/>
      <c r="H12" s="53"/>
      <c r="I12" s="53">
        <f t="shared" si="1"/>
        <v>0</v>
      </c>
      <c r="J12" s="53"/>
      <c r="K12" s="53"/>
      <c r="L12" s="53">
        <f t="shared" si="2"/>
        <v>0</v>
      </c>
      <c r="M12" s="53"/>
      <c r="N12" s="53"/>
      <c r="O12" s="53">
        <f t="shared" si="3"/>
        <v>0</v>
      </c>
      <c r="P12" s="53"/>
      <c r="Q12" s="53"/>
      <c r="R12" s="53">
        <f t="shared" si="4"/>
        <v>0</v>
      </c>
      <c r="S12" s="53"/>
      <c r="T12" s="53"/>
      <c r="U12" s="53">
        <f t="shared" si="5"/>
        <v>0</v>
      </c>
      <c r="V12" s="53"/>
      <c r="W12" s="53"/>
      <c r="X12" s="53">
        <f t="shared" si="6"/>
        <v>0</v>
      </c>
      <c r="Y12" s="53"/>
      <c r="Z12" s="53"/>
      <c r="AA12" s="53">
        <f t="shared" si="7"/>
        <v>0</v>
      </c>
      <c r="AB12" s="53"/>
      <c r="AC12" s="53"/>
      <c r="AD12" s="53">
        <f t="shared" si="8"/>
        <v>0</v>
      </c>
      <c r="AE12" s="53"/>
      <c r="AF12" s="53"/>
      <c r="AG12" s="53">
        <f t="shared" si="9"/>
        <v>0</v>
      </c>
      <c r="AH12" s="53"/>
      <c r="AI12" s="53"/>
      <c r="AJ12" s="53">
        <f t="shared" si="10"/>
        <v>0</v>
      </c>
      <c r="AK12" s="53"/>
      <c r="AL12" s="53"/>
      <c r="AM12" s="53">
        <f t="shared" si="11"/>
        <v>0</v>
      </c>
      <c r="AN12" s="53"/>
      <c r="AO12" s="53"/>
      <c r="AP12" s="53">
        <f t="shared" si="12"/>
        <v>0</v>
      </c>
      <c r="AQ12" s="53"/>
      <c r="AR12" s="53"/>
      <c r="AS12" s="66">
        <f t="shared" si="13"/>
        <v>0</v>
      </c>
      <c r="AT12" s="66"/>
      <c r="AU12" s="66"/>
      <c r="AV12" s="66">
        <f t="shared" si="14"/>
        <v>0</v>
      </c>
      <c r="AW12" s="66"/>
      <c r="AX12" s="66"/>
      <c r="AY12" s="66">
        <f t="shared" si="15"/>
        <v>0</v>
      </c>
      <c r="AZ12" s="66"/>
      <c r="BA12" s="66"/>
      <c r="BB12" s="66">
        <f t="shared" si="16"/>
        <v>0</v>
      </c>
      <c r="BC12" s="66"/>
      <c r="BD12" s="66"/>
      <c r="BE12" s="66">
        <f t="shared" si="17"/>
        <v>0</v>
      </c>
      <c r="BF12" s="66"/>
      <c r="BG12" s="66"/>
      <c r="BH12" s="67">
        <f t="shared" si="18"/>
        <v>0</v>
      </c>
      <c r="BI12" s="68">
        <f t="shared" si="19"/>
        <v>1</v>
      </c>
    </row>
    <row r="13" spans="2:61" x14ac:dyDescent="0.25">
      <c r="B13" s="63">
        <v>5</v>
      </c>
      <c r="C13" s="64" t="str">
        <f>NOMINATIF!C10</f>
        <v>DELIA TRI ASTUTI</v>
      </c>
      <c r="D13" s="65">
        <f>NOMINATIF!D10</f>
        <v>4049</v>
      </c>
      <c r="E13" s="65" t="str">
        <f>NOMINATIF!E10</f>
        <v>0051684703</v>
      </c>
      <c r="F13" s="53">
        <v>0</v>
      </c>
      <c r="G13" s="53"/>
      <c r="H13" s="53"/>
      <c r="I13" s="53">
        <f t="shared" si="1"/>
        <v>0</v>
      </c>
      <c r="J13" s="53"/>
      <c r="K13" s="53"/>
      <c r="L13" s="53">
        <f t="shared" si="2"/>
        <v>0</v>
      </c>
      <c r="M13" s="53"/>
      <c r="N13" s="53"/>
      <c r="O13" s="53">
        <f t="shared" si="3"/>
        <v>0</v>
      </c>
      <c r="P13" s="53"/>
      <c r="Q13" s="53"/>
      <c r="R13" s="53">
        <f t="shared" si="4"/>
        <v>0</v>
      </c>
      <c r="S13" s="53"/>
      <c r="T13" s="53"/>
      <c r="U13" s="53">
        <f t="shared" si="5"/>
        <v>0</v>
      </c>
      <c r="V13" s="53"/>
      <c r="W13" s="53"/>
      <c r="X13" s="53">
        <f t="shared" si="6"/>
        <v>0</v>
      </c>
      <c r="Y13" s="53"/>
      <c r="Z13" s="53"/>
      <c r="AA13" s="53">
        <f t="shared" si="7"/>
        <v>0</v>
      </c>
      <c r="AB13" s="53"/>
      <c r="AC13" s="53"/>
      <c r="AD13" s="53">
        <f t="shared" si="8"/>
        <v>0</v>
      </c>
      <c r="AE13" s="53"/>
      <c r="AF13" s="53"/>
      <c r="AG13" s="53">
        <f t="shared" si="9"/>
        <v>0</v>
      </c>
      <c r="AH13" s="53"/>
      <c r="AI13" s="53"/>
      <c r="AJ13" s="53">
        <f t="shared" si="10"/>
        <v>0</v>
      </c>
      <c r="AK13" s="53"/>
      <c r="AL13" s="53"/>
      <c r="AM13" s="53">
        <f t="shared" si="11"/>
        <v>0</v>
      </c>
      <c r="AN13" s="53"/>
      <c r="AO13" s="53"/>
      <c r="AP13" s="53">
        <f t="shared" si="12"/>
        <v>0</v>
      </c>
      <c r="AQ13" s="53"/>
      <c r="AR13" s="53"/>
      <c r="AS13" s="66">
        <f t="shared" si="13"/>
        <v>0</v>
      </c>
      <c r="AT13" s="66"/>
      <c r="AU13" s="66"/>
      <c r="AV13" s="66">
        <f t="shared" si="14"/>
        <v>0</v>
      </c>
      <c r="AW13" s="66"/>
      <c r="AX13" s="66"/>
      <c r="AY13" s="66">
        <f t="shared" si="15"/>
        <v>0</v>
      </c>
      <c r="AZ13" s="66"/>
      <c r="BA13" s="66"/>
      <c r="BB13" s="66">
        <f t="shared" si="16"/>
        <v>0</v>
      </c>
      <c r="BC13" s="66"/>
      <c r="BD13" s="66"/>
      <c r="BE13" s="66">
        <f t="shared" si="17"/>
        <v>0</v>
      </c>
      <c r="BF13" s="66"/>
      <c r="BG13" s="66"/>
      <c r="BH13" s="67">
        <f t="shared" si="18"/>
        <v>0</v>
      </c>
      <c r="BI13" s="68">
        <f t="shared" si="19"/>
        <v>1</v>
      </c>
    </row>
    <row r="14" spans="2:61" x14ac:dyDescent="0.25">
      <c r="B14" s="63">
        <v>6</v>
      </c>
      <c r="C14" s="64" t="str">
        <f>NOMINATIF!C11</f>
        <v>ELVA AYU SAPUTRI</v>
      </c>
      <c r="D14" s="65">
        <f>NOMINATIF!D11</f>
        <v>4027</v>
      </c>
      <c r="E14" s="65" t="str">
        <f>NOMINATIF!E11</f>
        <v>0067175983</v>
      </c>
      <c r="F14" s="53">
        <f t="shared" si="0"/>
        <v>0</v>
      </c>
      <c r="G14" s="53"/>
      <c r="H14" s="53"/>
      <c r="I14" s="53">
        <f t="shared" si="1"/>
        <v>0</v>
      </c>
      <c r="J14" s="53"/>
      <c r="K14" s="53"/>
      <c r="L14" s="53">
        <f t="shared" si="2"/>
        <v>0</v>
      </c>
      <c r="M14" s="53"/>
      <c r="N14" s="53"/>
      <c r="O14" s="53">
        <f t="shared" si="3"/>
        <v>0</v>
      </c>
      <c r="P14" s="53"/>
      <c r="Q14" s="53"/>
      <c r="R14" s="53">
        <f t="shared" si="4"/>
        <v>0</v>
      </c>
      <c r="S14" s="53"/>
      <c r="T14" s="53"/>
      <c r="U14" s="53">
        <f t="shared" si="5"/>
        <v>0</v>
      </c>
      <c r="V14" s="53"/>
      <c r="W14" s="53"/>
      <c r="X14" s="53">
        <f t="shared" si="6"/>
        <v>0</v>
      </c>
      <c r="Y14" s="53"/>
      <c r="Z14" s="53"/>
      <c r="AA14" s="53">
        <f t="shared" si="7"/>
        <v>0</v>
      </c>
      <c r="AB14" s="53"/>
      <c r="AC14" s="53"/>
      <c r="AD14" s="53">
        <f t="shared" si="8"/>
        <v>0</v>
      </c>
      <c r="AE14" s="53"/>
      <c r="AF14" s="53"/>
      <c r="AG14" s="53">
        <f t="shared" si="9"/>
        <v>0</v>
      </c>
      <c r="AH14" s="53"/>
      <c r="AI14" s="53"/>
      <c r="AJ14" s="53">
        <f t="shared" si="10"/>
        <v>0</v>
      </c>
      <c r="AK14" s="53"/>
      <c r="AL14" s="53"/>
      <c r="AM14" s="53">
        <f t="shared" si="11"/>
        <v>0</v>
      </c>
      <c r="AN14" s="53"/>
      <c r="AO14" s="53"/>
      <c r="AP14" s="53">
        <f t="shared" si="12"/>
        <v>0</v>
      </c>
      <c r="AQ14" s="53"/>
      <c r="AR14" s="53"/>
      <c r="AS14" s="66">
        <f t="shared" si="13"/>
        <v>0</v>
      </c>
      <c r="AT14" s="66"/>
      <c r="AU14" s="66"/>
      <c r="AV14" s="66">
        <f t="shared" si="14"/>
        <v>0</v>
      </c>
      <c r="AW14" s="66"/>
      <c r="AX14" s="66"/>
      <c r="AY14" s="66">
        <f t="shared" si="15"/>
        <v>0</v>
      </c>
      <c r="AZ14" s="66"/>
      <c r="BA14" s="66"/>
      <c r="BB14" s="66">
        <f t="shared" si="16"/>
        <v>0</v>
      </c>
      <c r="BC14" s="66"/>
      <c r="BD14" s="66"/>
      <c r="BE14" s="66">
        <f t="shared" si="17"/>
        <v>0</v>
      </c>
      <c r="BF14" s="66"/>
      <c r="BG14" s="66"/>
      <c r="BH14" s="67">
        <f t="shared" si="18"/>
        <v>0</v>
      </c>
      <c r="BI14" s="68">
        <f t="shared" si="19"/>
        <v>1</v>
      </c>
    </row>
    <row r="15" spans="2:61" x14ac:dyDescent="0.25">
      <c r="B15" s="63">
        <v>7</v>
      </c>
      <c r="C15" s="64" t="str">
        <f>NOMINATIF!C12</f>
        <v>Irlyn May Ardhiyana</v>
      </c>
      <c r="D15" s="65">
        <f>NOMINATIF!D12</f>
        <v>4030</v>
      </c>
      <c r="E15" s="65" t="str">
        <f>NOMINATIF!E12</f>
        <v>0068161646</v>
      </c>
      <c r="F15" s="53">
        <f t="shared" si="0"/>
        <v>0</v>
      </c>
      <c r="G15" s="53"/>
      <c r="H15" s="53"/>
      <c r="I15" s="53">
        <f t="shared" si="1"/>
        <v>0</v>
      </c>
      <c r="J15" s="53"/>
      <c r="K15" s="53"/>
      <c r="L15" s="53">
        <f t="shared" si="2"/>
        <v>0</v>
      </c>
      <c r="M15" s="53"/>
      <c r="N15" s="53"/>
      <c r="O15" s="53">
        <f t="shared" si="3"/>
        <v>0</v>
      </c>
      <c r="P15" s="53"/>
      <c r="Q15" s="53"/>
      <c r="R15" s="53">
        <f t="shared" si="4"/>
        <v>0</v>
      </c>
      <c r="S15" s="53"/>
      <c r="T15" s="53"/>
      <c r="U15" s="53">
        <f t="shared" si="5"/>
        <v>0</v>
      </c>
      <c r="V15" s="53"/>
      <c r="W15" s="53"/>
      <c r="X15" s="53">
        <f t="shared" si="6"/>
        <v>0</v>
      </c>
      <c r="Y15" s="53"/>
      <c r="Z15" s="53"/>
      <c r="AA15" s="53">
        <f t="shared" si="7"/>
        <v>0</v>
      </c>
      <c r="AB15" s="53"/>
      <c r="AC15" s="53"/>
      <c r="AD15" s="53">
        <f t="shared" si="8"/>
        <v>0</v>
      </c>
      <c r="AE15" s="53"/>
      <c r="AF15" s="53"/>
      <c r="AG15" s="53">
        <f t="shared" si="9"/>
        <v>0</v>
      </c>
      <c r="AH15" s="53"/>
      <c r="AI15" s="53"/>
      <c r="AJ15" s="53">
        <f t="shared" si="10"/>
        <v>0</v>
      </c>
      <c r="AK15" s="53"/>
      <c r="AL15" s="53"/>
      <c r="AM15" s="53">
        <f t="shared" si="11"/>
        <v>0</v>
      </c>
      <c r="AN15" s="53"/>
      <c r="AO15" s="53"/>
      <c r="AP15" s="53">
        <f t="shared" si="12"/>
        <v>0</v>
      </c>
      <c r="AQ15" s="53"/>
      <c r="AR15" s="53"/>
      <c r="AS15" s="66">
        <f t="shared" si="13"/>
        <v>0</v>
      </c>
      <c r="AT15" s="66"/>
      <c r="AU15" s="66"/>
      <c r="AV15" s="66">
        <f t="shared" si="14"/>
        <v>0</v>
      </c>
      <c r="AW15" s="66"/>
      <c r="AX15" s="66"/>
      <c r="AY15" s="66">
        <f t="shared" si="15"/>
        <v>0</v>
      </c>
      <c r="AZ15" s="66"/>
      <c r="BA15" s="66"/>
      <c r="BB15" s="66">
        <f t="shared" si="16"/>
        <v>0</v>
      </c>
      <c r="BC15" s="66"/>
      <c r="BD15" s="66"/>
      <c r="BE15" s="66">
        <f t="shared" si="17"/>
        <v>0</v>
      </c>
      <c r="BF15" s="66"/>
      <c r="BG15" s="66"/>
      <c r="BH15" s="67">
        <f t="shared" si="18"/>
        <v>0</v>
      </c>
      <c r="BI15" s="68">
        <f t="shared" si="19"/>
        <v>1</v>
      </c>
    </row>
    <row r="16" spans="2:61" x14ac:dyDescent="0.25">
      <c r="B16" s="63">
        <v>8</v>
      </c>
      <c r="C16" s="64" t="str">
        <f>NOMINATIF!C13</f>
        <v>Milla Safira</v>
      </c>
      <c r="D16" s="65">
        <f>NOMINATIF!D13</f>
        <v>4053</v>
      </c>
      <c r="E16" s="65" t="str">
        <f>NOMINATIF!E13</f>
        <v>0057801643</v>
      </c>
      <c r="F16" s="53">
        <f t="shared" si="0"/>
        <v>0</v>
      </c>
      <c r="G16" s="53"/>
      <c r="H16" s="53"/>
      <c r="I16" s="53">
        <f t="shared" si="1"/>
        <v>0</v>
      </c>
      <c r="J16" s="53"/>
      <c r="K16" s="53"/>
      <c r="L16" s="53">
        <f t="shared" si="2"/>
        <v>0</v>
      </c>
      <c r="M16" s="53"/>
      <c r="N16" s="53"/>
      <c r="O16" s="53">
        <f t="shared" si="3"/>
        <v>0</v>
      </c>
      <c r="P16" s="53"/>
      <c r="Q16" s="53"/>
      <c r="R16" s="53">
        <f t="shared" si="4"/>
        <v>0</v>
      </c>
      <c r="S16" s="53"/>
      <c r="T16" s="53"/>
      <c r="U16" s="53">
        <f t="shared" si="5"/>
        <v>0</v>
      </c>
      <c r="V16" s="53"/>
      <c r="W16" s="53"/>
      <c r="X16" s="53">
        <f t="shared" si="6"/>
        <v>0</v>
      </c>
      <c r="Y16" s="53"/>
      <c r="Z16" s="53"/>
      <c r="AA16" s="53">
        <f t="shared" si="7"/>
        <v>0</v>
      </c>
      <c r="AB16" s="53"/>
      <c r="AC16" s="53"/>
      <c r="AD16" s="53">
        <f t="shared" si="8"/>
        <v>0</v>
      </c>
      <c r="AE16" s="53"/>
      <c r="AF16" s="53"/>
      <c r="AG16" s="53">
        <f t="shared" si="9"/>
        <v>0</v>
      </c>
      <c r="AH16" s="53"/>
      <c r="AI16" s="53"/>
      <c r="AJ16" s="53">
        <f t="shared" si="10"/>
        <v>0</v>
      </c>
      <c r="AK16" s="53"/>
      <c r="AL16" s="53"/>
      <c r="AM16" s="53">
        <f t="shared" si="11"/>
        <v>0</v>
      </c>
      <c r="AN16" s="53"/>
      <c r="AO16" s="53"/>
      <c r="AP16" s="53">
        <f t="shared" si="12"/>
        <v>0</v>
      </c>
      <c r="AQ16" s="53"/>
      <c r="AR16" s="53"/>
      <c r="AS16" s="66">
        <f t="shared" si="13"/>
        <v>0</v>
      </c>
      <c r="AT16" s="66"/>
      <c r="AU16" s="66"/>
      <c r="AV16" s="66">
        <f t="shared" si="14"/>
        <v>0</v>
      </c>
      <c r="AW16" s="66"/>
      <c r="AX16" s="66"/>
      <c r="AY16" s="66">
        <f t="shared" si="15"/>
        <v>0</v>
      </c>
      <c r="AZ16" s="66"/>
      <c r="BA16" s="66"/>
      <c r="BB16" s="66">
        <f t="shared" si="16"/>
        <v>0</v>
      </c>
      <c r="BC16" s="66"/>
      <c r="BD16" s="66"/>
      <c r="BE16" s="66">
        <f t="shared" si="17"/>
        <v>0</v>
      </c>
      <c r="BF16" s="66"/>
      <c r="BG16" s="66"/>
      <c r="BH16" s="67">
        <f t="shared" si="18"/>
        <v>0</v>
      </c>
      <c r="BI16" s="68">
        <f t="shared" si="19"/>
        <v>1</v>
      </c>
    </row>
    <row r="17" spans="2:61" x14ac:dyDescent="0.25">
      <c r="B17" s="63">
        <v>9</v>
      </c>
      <c r="C17" s="64" t="str">
        <f>NOMINATIF!C14</f>
        <v>NATASYA EVI ARIFAH</v>
      </c>
      <c r="D17" s="65">
        <f>NOMINATIF!D14</f>
        <v>4033</v>
      </c>
      <c r="E17" s="65" t="str">
        <f>NOMINATIF!E14</f>
        <v>0066680260</v>
      </c>
      <c r="F17" s="53">
        <f t="shared" si="0"/>
        <v>0</v>
      </c>
      <c r="G17" s="53"/>
      <c r="H17" s="53"/>
      <c r="I17" s="53">
        <f t="shared" si="1"/>
        <v>0</v>
      </c>
      <c r="J17" s="53"/>
      <c r="K17" s="53"/>
      <c r="L17" s="53">
        <f t="shared" si="2"/>
        <v>0</v>
      </c>
      <c r="M17" s="53"/>
      <c r="N17" s="53"/>
      <c r="O17" s="53">
        <f t="shared" si="3"/>
        <v>0</v>
      </c>
      <c r="P17" s="53"/>
      <c r="Q17" s="53"/>
      <c r="R17" s="53">
        <f t="shared" si="4"/>
        <v>0</v>
      </c>
      <c r="S17" s="53"/>
      <c r="T17" s="53"/>
      <c r="U17" s="53">
        <f t="shared" si="5"/>
        <v>0</v>
      </c>
      <c r="V17" s="53"/>
      <c r="W17" s="53"/>
      <c r="X17" s="53">
        <f t="shared" si="6"/>
        <v>0</v>
      </c>
      <c r="Y17" s="53"/>
      <c r="Z17" s="53"/>
      <c r="AA17" s="53">
        <f t="shared" si="7"/>
        <v>0</v>
      </c>
      <c r="AB17" s="53"/>
      <c r="AC17" s="53"/>
      <c r="AD17" s="53">
        <f t="shared" si="8"/>
        <v>0</v>
      </c>
      <c r="AE17" s="53"/>
      <c r="AF17" s="53"/>
      <c r="AG17" s="53">
        <f t="shared" si="9"/>
        <v>0</v>
      </c>
      <c r="AH17" s="53"/>
      <c r="AI17" s="53"/>
      <c r="AJ17" s="53">
        <f t="shared" si="10"/>
        <v>0</v>
      </c>
      <c r="AK17" s="53"/>
      <c r="AL17" s="53"/>
      <c r="AM17" s="53">
        <f t="shared" si="11"/>
        <v>0</v>
      </c>
      <c r="AN17" s="53"/>
      <c r="AO17" s="53"/>
      <c r="AP17" s="53">
        <f t="shared" si="12"/>
        <v>0</v>
      </c>
      <c r="AQ17" s="53"/>
      <c r="AR17" s="53"/>
      <c r="AS17" s="66">
        <f t="shared" si="13"/>
        <v>0</v>
      </c>
      <c r="AT17" s="66"/>
      <c r="AU17" s="66"/>
      <c r="AV17" s="66">
        <f t="shared" si="14"/>
        <v>0</v>
      </c>
      <c r="AW17" s="66"/>
      <c r="AX17" s="66"/>
      <c r="AY17" s="66">
        <f t="shared" si="15"/>
        <v>0</v>
      </c>
      <c r="AZ17" s="66"/>
      <c r="BA17" s="66"/>
      <c r="BB17" s="66">
        <f t="shared" si="16"/>
        <v>0</v>
      </c>
      <c r="BC17" s="66"/>
      <c r="BD17" s="66"/>
      <c r="BE17" s="66">
        <f t="shared" si="17"/>
        <v>0</v>
      </c>
      <c r="BF17" s="66"/>
      <c r="BG17" s="66"/>
      <c r="BH17" s="67">
        <f t="shared" si="18"/>
        <v>0</v>
      </c>
      <c r="BI17" s="68">
        <f t="shared" si="19"/>
        <v>1</v>
      </c>
    </row>
    <row r="18" spans="2:61" x14ac:dyDescent="0.25">
      <c r="B18" s="63">
        <v>10</v>
      </c>
      <c r="C18" s="64" t="str">
        <f>NOMINATIF!C15</f>
        <v>Nensyih Widyawati Maharani</v>
      </c>
      <c r="D18" s="65">
        <f>NOMINATIF!D15</f>
        <v>4054</v>
      </c>
      <c r="E18" s="65" t="str">
        <f>NOMINATIF!E15</f>
        <v>0064476649</v>
      </c>
      <c r="F18" s="53">
        <f t="shared" si="0"/>
        <v>0</v>
      </c>
      <c r="G18" s="53"/>
      <c r="H18" s="53"/>
      <c r="I18" s="53">
        <f t="shared" si="1"/>
        <v>0</v>
      </c>
      <c r="J18" s="53"/>
      <c r="K18" s="53"/>
      <c r="L18" s="53">
        <f t="shared" si="2"/>
        <v>0</v>
      </c>
      <c r="M18" s="53"/>
      <c r="N18" s="53"/>
      <c r="O18" s="53">
        <f t="shared" si="3"/>
        <v>0</v>
      </c>
      <c r="P18" s="53"/>
      <c r="Q18" s="53"/>
      <c r="R18" s="53">
        <f t="shared" si="4"/>
        <v>0</v>
      </c>
      <c r="S18" s="53"/>
      <c r="T18" s="53"/>
      <c r="U18" s="53">
        <f t="shared" si="5"/>
        <v>0</v>
      </c>
      <c r="V18" s="53"/>
      <c r="W18" s="53"/>
      <c r="X18" s="53">
        <f t="shared" si="6"/>
        <v>0</v>
      </c>
      <c r="Y18" s="53"/>
      <c r="Z18" s="53"/>
      <c r="AA18" s="53">
        <f t="shared" si="7"/>
        <v>0</v>
      </c>
      <c r="AB18" s="53"/>
      <c r="AC18" s="53"/>
      <c r="AD18" s="53">
        <f t="shared" si="8"/>
        <v>0</v>
      </c>
      <c r="AE18" s="53"/>
      <c r="AF18" s="53"/>
      <c r="AG18" s="53">
        <f t="shared" si="9"/>
        <v>0</v>
      </c>
      <c r="AH18" s="53"/>
      <c r="AI18" s="53"/>
      <c r="AJ18" s="53">
        <f t="shared" si="10"/>
        <v>0</v>
      </c>
      <c r="AK18" s="53"/>
      <c r="AL18" s="53"/>
      <c r="AM18" s="53">
        <f t="shared" si="11"/>
        <v>0</v>
      </c>
      <c r="AN18" s="53"/>
      <c r="AO18" s="53"/>
      <c r="AP18" s="53">
        <f t="shared" si="12"/>
        <v>0</v>
      </c>
      <c r="AQ18" s="53"/>
      <c r="AR18" s="53"/>
      <c r="AS18" s="66">
        <f t="shared" si="13"/>
        <v>0</v>
      </c>
      <c r="AT18" s="66"/>
      <c r="AU18" s="66"/>
      <c r="AV18" s="66">
        <f t="shared" si="14"/>
        <v>0</v>
      </c>
      <c r="AW18" s="66"/>
      <c r="AX18" s="66"/>
      <c r="AY18" s="66">
        <f t="shared" si="15"/>
        <v>0</v>
      </c>
      <c r="AZ18" s="66"/>
      <c r="BA18" s="66"/>
      <c r="BB18" s="66">
        <f t="shared" si="16"/>
        <v>0</v>
      </c>
      <c r="BC18" s="66"/>
      <c r="BD18" s="66"/>
      <c r="BE18" s="66">
        <f t="shared" si="17"/>
        <v>0</v>
      </c>
      <c r="BF18" s="66"/>
      <c r="BG18" s="66"/>
      <c r="BH18" s="67">
        <f t="shared" si="18"/>
        <v>0</v>
      </c>
      <c r="BI18" s="68">
        <f t="shared" si="19"/>
        <v>1</v>
      </c>
    </row>
    <row r="19" spans="2:61" x14ac:dyDescent="0.25">
      <c r="B19" s="63">
        <v>11</v>
      </c>
      <c r="C19" s="64" t="str">
        <f>NOMINATIF!C16</f>
        <v>Olifah Hiasianjeng Prehatin</v>
      </c>
      <c r="D19" s="65">
        <f>NOMINATIF!D16</f>
        <v>4056</v>
      </c>
      <c r="E19" s="65" t="str">
        <f>NOMINATIF!E16</f>
        <v>0056102322</v>
      </c>
      <c r="F19" s="53">
        <f t="shared" si="0"/>
        <v>0</v>
      </c>
      <c r="G19" s="53"/>
      <c r="H19" s="53"/>
      <c r="I19" s="53">
        <f t="shared" si="1"/>
        <v>0</v>
      </c>
      <c r="J19" s="53"/>
      <c r="K19" s="53"/>
      <c r="L19" s="53">
        <f t="shared" si="2"/>
        <v>0</v>
      </c>
      <c r="M19" s="53"/>
      <c r="N19" s="53"/>
      <c r="O19" s="53">
        <f t="shared" si="3"/>
        <v>0</v>
      </c>
      <c r="P19" s="53"/>
      <c r="Q19" s="53"/>
      <c r="R19" s="53">
        <f t="shared" si="4"/>
        <v>0</v>
      </c>
      <c r="S19" s="53"/>
      <c r="T19" s="53"/>
      <c r="U19" s="53">
        <f t="shared" si="5"/>
        <v>0</v>
      </c>
      <c r="V19" s="53"/>
      <c r="W19" s="53"/>
      <c r="X19" s="53">
        <f t="shared" si="6"/>
        <v>0</v>
      </c>
      <c r="Y19" s="53"/>
      <c r="Z19" s="53"/>
      <c r="AA19" s="53">
        <f t="shared" si="7"/>
        <v>0</v>
      </c>
      <c r="AB19" s="53"/>
      <c r="AC19" s="53"/>
      <c r="AD19" s="53">
        <f t="shared" si="8"/>
        <v>0</v>
      </c>
      <c r="AE19" s="53"/>
      <c r="AF19" s="53"/>
      <c r="AG19" s="53">
        <f t="shared" si="9"/>
        <v>0</v>
      </c>
      <c r="AH19" s="53"/>
      <c r="AI19" s="53"/>
      <c r="AJ19" s="53">
        <f t="shared" si="10"/>
        <v>0</v>
      </c>
      <c r="AK19" s="53"/>
      <c r="AL19" s="53"/>
      <c r="AM19" s="53">
        <f t="shared" si="11"/>
        <v>0</v>
      </c>
      <c r="AN19" s="53"/>
      <c r="AO19" s="53"/>
      <c r="AP19" s="53">
        <f t="shared" si="12"/>
        <v>0</v>
      </c>
      <c r="AQ19" s="53"/>
      <c r="AR19" s="53"/>
      <c r="AS19" s="66">
        <f t="shared" si="13"/>
        <v>0</v>
      </c>
      <c r="AT19" s="66"/>
      <c r="AU19" s="66"/>
      <c r="AV19" s="66">
        <f t="shared" si="14"/>
        <v>0</v>
      </c>
      <c r="AW19" s="66"/>
      <c r="AX19" s="66"/>
      <c r="AY19" s="66">
        <f t="shared" si="15"/>
        <v>0</v>
      </c>
      <c r="AZ19" s="66"/>
      <c r="BA19" s="66"/>
      <c r="BB19" s="66">
        <f t="shared" si="16"/>
        <v>0</v>
      </c>
      <c r="BC19" s="66"/>
      <c r="BD19" s="66"/>
      <c r="BE19" s="66">
        <f t="shared" si="17"/>
        <v>0</v>
      </c>
      <c r="BF19" s="66"/>
      <c r="BG19" s="66"/>
      <c r="BH19" s="67">
        <f t="shared" si="18"/>
        <v>0</v>
      </c>
      <c r="BI19" s="68">
        <f t="shared" si="19"/>
        <v>1</v>
      </c>
    </row>
    <row r="20" spans="2:61" x14ac:dyDescent="0.25">
      <c r="B20" s="63">
        <v>12</v>
      </c>
      <c r="C20" s="64" t="str">
        <f>NOMINATIF!C17</f>
        <v>Putri Wijayanti</v>
      </c>
      <c r="D20" s="65">
        <f>NOMINATIF!D17</f>
        <v>4057</v>
      </c>
      <c r="E20" s="65" t="str">
        <f>NOMINATIF!E17</f>
        <v>0065546535</v>
      </c>
      <c r="F20" s="53">
        <f t="shared" si="0"/>
        <v>0</v>
      </c>
      <c r="G20" s="53"/>
      <c r="H20" s="53"/>
      <c r="I20" s="53">
        <f t="shared" si="1"/>
        <v>0</v>
      </c>
      <c r="J20" s="53"/>
      <c r="K20" s="53"/>
      <c r="L20" s="53">
        <f t="shared" si="2"/>
        <v>0</v>
      </c>
      <c r="M20" s="53"/>
      <c r="N20" s="53"/>
      <c r="O20" s="53">
        <f t="shared" si="3"/>
        <v>0</v>
      </c>
      <c r="P20" s="53"/>
      <c r="Q20" s="53"/>
      <c r="R20" s="53">
        <f t="shared" si="4"/>
        <v>0</v>
      </c>
      <c r="S20" s="53"/>
      <c r="T20" s="53"/>
      <c r="U20" s="53">
        <f t="shared" si="5"/>
        <v>0</v>
      </c>
      <c r="V20" s="53"/>
      <c r="W20" s="53"/>
      <c r="X20" s="53">
        <f t="shared" si="6"/>
        <v>0</v>
      </c>
      <c r="Y20" s="53"/>
      <c r="Z20" s="53"/>
      <c r="AA20" s="53">
        <f t="shared" si="7"/>
        <v>0</v>
      </c>
      <c r="AB20" s="53"/>
      <c r="AC20" s="53"/>
      <c r="AD20" s="53">
        <f t="shared" si="8"/>
        <v>0</v>
      </c>
      <c r="AE20" s="53"/>
      <c r="AF20" s="53"/>
      <c r="AG20" s="53">
        <f t="shared" si="9"/>
        <v>0</v>
      </c>
      <c r="AH20" s="53"/>
      <c r="AI20" s="53"/>
      <c r="AJ20" s="53">
        <f t="shared" si="10"/>
        <v>0</v>
      </c>
      <c r="AK20" s="53"/>
      <c r="AL20" s="53"/>
      <c r="AM20" s="53">
        <f t="shared" si="11"/>
        <v>0</v>
      </c>
      <c r="AN20" s="53"/>
      <c r="AO20" s="53"/>
      <c r="AP20" s="53">
        <f t="shared" si="12"/>
        <v>0</v>
      </c>
      <c r="AQ20" s="53"/>
      <c r="AR20" s="53"/>
      <c r="AS20" s="66">
        <f t="shared" si="13"/>
        <v>0</v>
      </c>
      <c r="AT20" s="66"/>
      <c r="AU20" s="66"/>
      <c r="AV20" s="66">
        <f t="shared" si="14"/>
        <v>0</v>
      </c>
      <c r="AW20" s="66"/>
      <c r="AX20" s="66"/>
      <c r="AY20" s="66">
        <f t="shared" si="15"/>
        <v>0</v>
      </c>
      <c r="AZ20" s="66"/>
      <c r="BA20" s="66"/>
      <c r="BB20" s="66">
        <f t="shared" si="16"/>
        <v>0</v>
      </c>
      <c r="BC20" s="66"/>
      <c r="BD20" s="66"/>
      <c r="BE20" s="66">
        <f t="shared" si="17"/>
        <v>0</v>
      </c>
      <c r="BF20" s="66"/>
      <c r="BG20" s="66"/>
      <c r="BH20" s="67">
        <f t="shared" si="18"/>
        <v>0</v>
      </c>
      <c r="BI20" s="68">
        <f t="shared" si="19"/>
        <v>1</v>
      </c>
    </row>
    <row r="21" spans="2:61" x14ac:dyDescent="0.25">
      <c r="B21" s="63">
        <v>13</v>
      </c>
      <c r="C21" s="64" t="str">
        <f>NOMINATIF!C18</f>
        <v>Rafli Ramadani</v>
      </c>
      <c r="D21" s="65">
        <f>NOMINATIF!D18</f>
        <v>4058</v>
      </c>
      <c r="E21" s="65" t="str">
        <f>NOMINATIF!E18</f>
        <v>0055462823</v>
      </c>
      <c r="F21" s="53">
        <f t="shared" ref="F21:I21" si="20">IFERROR(VLOOKUP(#REF!,$BQ$8:$BR$101,2,0),0)</f>
        <v>0</v>
      </c>
      <c r="G21" s="53"/>
      <c r="H21" s="53"/>
      <c r="I21" s="53">
        <f t="shared" si="20"/>
        <v>0</v>
      </c>
      <c r="J21" s="53"/>
      <c r="K21" s="53"/>
      <c r="L21" s="53">
        <f t="shared" si="2"/>
        <v>0</v>
      </c>
      <c r="M21" s="53"/>
      <c r="N21" s="53"/>
      <c r="O21" s="53">
        <f t="shared" si="3"/>
        <v>0</v>
      </c>
      <c r="P21" s="53"/>
      <c r="Q21" s="53"/>
      <c r="R21" s="53">
        <f t="shared" si="4"/>
        <v>0</v>
      </c>
      <c r="S21" s="53"/>
      <c r="T21" s="53"/>
      <c r="U21" s="53">
        <f t="shared" si="5"/>
        <v>0</v>
      </c>
      <c r="V21" s="53"/>
      <c r="W21" s="53"/>
      <c r="X21" s="53">
        <f t="shared" si="6"/>
        <v>0</v>
      </c>
      <c r="Y21" s="53"/>
      <c r="Z21" s="53"/>
      <c r="AA21" s="53">
        <f t="shared" si="7"/>
        <v>0</v>
      </c>
      <c r="AB21" s="53"/>
      <c r="AC21" s="53"/>
      <c r="AD21" s="53">
        <f t="shared" si="8"/>
        <v>0</v>
      </c>
      <c r="AE21" s="53"/>
      <c r="AF21" s="53"/>
      <c r="AG21" s="53">
        <f t="shared" si="9"/>
        <v>0</v>
      </c>
      <c r="AH21" s="53"/>
      <c r="AI21" s="53"/>
      <c r="AJ21" s="53">
        <f t="shared" si="10"/>
        <v>0</v>
      </c>
      <c r="AK21" s="53"/>
      <c r="AL21" s="53"/>
      <c r="AM21" s="53">
        <f t="shared" si="11"/>
        <v>0</v>
      </c>
      <c r="AN21" s="53"/>
      <c r="AO21" s="53"/>
      <c r="AP21" s="53">
        <f t="shared" si="12"/>
        <v>0</v>
      </c>
      <c r="AQ21" s="53"/>
      <c r="AR21" s="53"/>
      <c r="AS21" s="66">
        <f t="shared" si="13"/>
        <v>0</v>
      </c>
      <c r="AT21" s="66"/>
      <c r="AU21" s="66"/>
      <c r="AV21" s="66">
        <f t="shared" si="14"/>
        <v>0</v>
      </c>
      <c r="AW21" s="66"/>
      <c r="AX21" s="66"/>
      <c r="AY21" s="66">
        <f t="shared" si="15"/>
        <v>0</v>
      </c>
      <c r="AZ21" s="66"/>
      <c r="BA21" s="66"/>
      <c r="BB21" s="66">
        <f t="shared" si="16"/>
        <v>0</v>
      </c>
      <c r="BC21" s="66"/>
      <c r="BD21" s="66"/>
      <c r="BE21" s="66">
        <f t="shared" si="17"/>
        <v>0</v>
      </c>
      <c r="BF21" s="66"/>
      <c r="BG21" s="66"/>
      <c r="BH21" s="67">
        <f t="shared" si="18"/>
        <v>0</v>
      </c>
      <c r="BI21" s="68">
        <f t="shared" si="19"/>
        <v>1</v>
      </c>
    </row>
    <row r="22" spans="2:61" x14ac:dyDescent="0.25">
      <c r="B22" s="63">
        <v>14</v>
      </c>
      <c r="C22" s="64" t="str">
        <f>NOMINATIF!C19</f>
        <v>Rheiva Elfa Rossidah</v>
      </c>
      <c r="D22" s="65">
        <f>NOMINATIF!D19</f>
        <v>4036</v>
      </c>
      <c r="E22" s="65" t="str">
        <f>NOMINATIF!E19</f>
        <v>0072838616</v>
      </c>
      <c r="F22" s="53">
        <f t="shared" si="0"/>
        <v>0</v>
      </c>
      <c r="G22" s="53"/>
      <c r="H22" s="53"/>
      <c r="I22" s="53">
        <f t="shared" si="1"/>
        <v>0</v>
      </c>
      <c r="J22" s="53"/>
      <c r="K22" s="53"/>
      <c r="L22" s="53">
        <f t="shared" si="2"/>
        <v>0</v>
      </c>
      <c r="M22" s="53"/>
      <c r="N22" s="53"/>
      <c r="O22" s="53">
        <f t="shared" si="3"/>
        <v>0</v>
      </c>
      <c r="P22" s="53"/>
      <c r="Q22" s="53"/>
      <c r="R22" s="53">
        <f t="shared" si="4"/>
        <v>0</v>
      </c>
      <c r="S22" s="53"/>
      <c r="T22" s="53"/>
      <c r="U22" s="53">
        <f t="shared" si="5"/>
        <v>0</v>
      </c>
      <c r="V22" s="53"/>
      <c r="W22" s="53"/>
      <c r="X22" s="53">
        <f t="shared" si="6"/>
        <v>0</v>
      </c>
      <c r="Y22" s="53"/>
      <c r="Z22" s="53"/>
      <c r="AA22" s="53">
        <f t="shared" si="7"/>
        <v>0</v>
      </c>
      <c r="AB22" s="53"/>
      <c r="AC22" s="53"/>
      <c r="AD22" s="53">
        <f t="shared" si="8"/>
        <v>0</v>
      </c>
      <c r="AE22" s="53"/>
      <c r="AF22" s="53"/>
      <c r="AG22" s="53">
        <f t="shared" si="9"/>
        <v>0</v>
      </c>
      <c r="AH22" s="53"/>
      <c r="AI22" s="53"/>
      <c r="AJ22" s="53">
        <f t="shared" si="10"/>
        <v>0</v>
      </c>
      <c r="AK22" s="53"/>
      <c r="AL22" s="53"/>
      <c r="AM22" s="53">
        <f t="shared" si="11"/>
        <v>0</v>
      </c>
      <c r="AN22" s="53"/>
      <c r="AO22" s="53"/>
      <c r="AP22" s="53">
        <f t="shared" si="12"/>
        <v>0</v>
      </c>
      <c r="AQ22" s="53"/>
      <c r="AR22" s="53"/>
      <c r="AS22" s="66">
        <f t="shared" si="13"/>
        <v>0</v>
      </c>
      <c r="AT22" s="66"/>
      <c r="AU22" s="66"/>
      <c r="AV22" s="66">
        <f t="shared" si="14"/>
        <v>0</v>
      </c>
      <c r="AW22" s="66"/>
      <c r="AX22" s="66"/>
      <c r="AY22" s="66">
        <f t="shared" si="15"/>
        <v>0</v>
      </c>
      <c r="AZ22" s="66"/>
      <c r="BA22" s="66"/>
      <c r="BB22" s="66">
        <f t="shared" si="16"/>
        <v>0</v>
      </c>
      <c r="BC22" s="66"/>
      <c r="BD22" s="66"/>
      <c r="BE22" s="66">
        <f t="shared" si="17"/>
        <v>0</v>
      </c>
      <c r="BF22" s="66"/>
      <c r="BG22" s="66"/>
      <c r="BH22" s="67">
        <f t="shared" si="18"/>
        <v>0</v>
      </c>
      <c r="BI22" s="68">
        <f t="shared" si="19"/>
        <v>1</v>
      </c>
    </row>
    <row r="23" spans="2:61" x14ac:dyDescent="0.25">
      <c r="B23" s="63">
        <v>15</v>
      </c>
      <c r="C23" s="64" t="str">
        <f>NOMINATIF!C20</f>
        <v>Selvia Indah Fitriani</v>
      </c>
      <c r="D23" s="65">
        <f>NOMINATIF!D20</f>
        <v>4037</v>
      </c>
      <c r="E23" s="65" t="str">
        <f>NOMINATIF!E20</f>
        <v>0052393386</v>
      </c>
      <c r="F23" s="53">
        <f t="shared" si="0"/>
        <v>0</v>
      </c>
      <c r="G23" s="53"/>
      <c r="H23" s="53"/>
      <c r="I23" s="53">
        <f t="shared" si="1"/>
        <v>0</v>
      </c>
      <c r="J23" s="53"/>
      <c r="K23" s="53"/>
      <c r="L23" s="53">
        <f t="shared" si="2"/>
        <v>0</v>
      </c>
      <c r="M23" s="53"/>
      <c r="N23" s="53"/>
      <c r="O23" s="53">
        <f t="shared" si="3"/>
        <v>0</v>
      </c>
      <c r="P23" s="53"/>
      <c r="Q23" s="53"/>
      <c r="R23" s="53">
        <f t="shared" si="4"/>
        <v>0</v>
      </c>
      <c r="S23" s="53"/>
      <c r="T23" s="53"/>
      <c r="U23" s="53">
        <f t="shared" si="5"/>
        <v>0</v>
      </c>
      <c r="V23" s="53"/>
      <c r="W23" s="53"/>
      <c r="X23" s="53">
        <f t="shared" si="6"/>
        <v>0</v>
      </c>
      <c r="Y23" s="53"/>
      <c r="Z23" s="53"/>
      <c r="AA23" s="53">
        <f t="shared" si="7"/>
        <v>0</v>
      </c>
      <c r="AB23" s="53"/>
      <c r="AC23" s="53"/>
      <c r="AD23" s="53">
        <f t="shared" si="8"/>
        <v>0</v>
      </c>
      <c r="AE23" s="53"/>
      <c r="AF23" s="53"/>
      <c r="AG23" s="53">
        <f t="shared" si="9"/>
        <v>0</v>
      </c>
      <c r="AH23" s="53"/>
      <c r="AI23" s="53"/>
      <c r="AJ23" s="53">
        <f t="shared" si="10"/>
        <v>0</v>
      </c>
      <c r="AK23" s="53"/>
      <c r="AL23" s="53"/>
      <c r="AM23" s="53">
        <f t="shared" si="11"/>
        <v>0</v>
      </c>
      <c r="AN23" s="53"/>
      <c r="AO23" s="53"/>
      <c r="AP23" s="53">
        <f t="shared" si="12"/>
        <v>0</v>
      </c>
      <c r="AQ23" s="53"/>
      <c r="AR23" s="53"/>
      <c r="AS23" s="66">
        <f t="shared" si="13"/>
        <v>0</v>
      </c>
      <c r="AT23" s="66"/>
      <c r="AU23" s="66"/>
      <c r="AV23" s="66">
        <f t="shared" si="14"/>
        <v>0</v>
      </c>
      <c r="AW23" s="66"/>
      <c r="AX23" s="66"/>
      <c r="AY23" s="66">
        <f t="shared" si="15"/>
        <v>0</v>
      </c>
      <c r="AZ23" s="66"/>
      <c r="BA23" s="66"/>
      <c r="BB23" s="66">
        <f t="shared" si="16"/>
        <v>0</v>
      </c>
      <c r="BC23" s="66"/>
      <c r="BD23" s="66"/>
      <c r="BE23" s="66">
        <f t="shared" si="17"/>
        <v>0</v>
      </c>
      <c r="BF23" s="66"/>
      <c r="BG23" s="66"/>
      <c r="BH23" s="67">
        <f t="shared" si="18"/>
        <v>0</v>
      </c>
      <c r="BI23" s="68">
        <f t="shared" si="19"/>
        <v>1</v>
      </c>
    </row>
    <row r="24" spans="2:61" x14ac:dyDescent="0.25">
      <c r="B24" s="63">
        <v>16</v>
      </c>
      <c r="C24" s="64" t="str">
        <f>NOMINATIF!C21</f>
        <v>TIA APRILIA</v>
      </c>
      <c r="D24" s="65">
        <f>NOMINATIF!D21</f>
        <v>4038</v>
      </c>
      <c r="E24" s="65" t="str">
        <f>NOMINATIF!E21</f>
        <v>0066060316</v>
      </c>
      <c r="F24" s="53">
        <f t="shared" si="0"/>
        <v>0</v>
      </c>
      <c r="G24" s="53"/>
      <c r="H24" s="53"/>
      <c r="I24" s="53">
        <f t="shared" si="1"/>
        <v>0</v>
      </c>
      <c r="J24" s="53"/>
      <c r="K24" s="53"/>
      <c r="L24" s="53">
        <f t="shared" si="2"/>
        <v>0</v>
      </c>
      <c r="M24" s="53"/>
      <c r="N24" s="53"/>
      <c r="O24" s="53">
        <f t="shared" si="3"/>
        <v>0</v>
      </c>
      <c r="P24" s="53"/>
      <c r="Q24" s="53"/>
      <c r="R24" s="53">
        <f t="shared" si="4"/>
        <v>0</v>
      </c>
      <c r="S24" s="53"/>
      <c r="T24" s="53"/>
      <c r="U24" s="53">
        <f t="shared" si="5"/>
        <v>0</v>
      </c>
      <c r="V24" s="53"/>
      <c r="W24" s="53"/>
      <c r="X24" s="53">
        <f t="shared" si="6"/>
        <v>0</v>
      </c>
      <c r="Y24" s="53"/>
      <c r="Z24" s="53"/>
      <c r="AA24" s="53">
        <f t="shared" si="7"/>
        <v>0</v>
      </c>
      <c r="AB24" s="53"/>
      <c r="AC24" s="53"/>
      <c r="AD24" s="53">
        <f t="shared" si="8"/>
        <v>0</v>
      </c>
      <c r="AE24" s="53"/>
      <c r="AF24" s="53"/>
      <c r="AG24" s="53">
        <f t="shared" si="9"/>
        <v>0</v>
      </c>
      <c r="AH24" s="53"/>
      <c r="AI24" s="53"/>
      <c r="AJ24" s="53">
        <f t="shared" si="10"/>
        <v>0</v>
      </c>
      <c r="AK24" s="53"/>
      <c r="AL24" s="53"/>
      <c r="AM24" s="53">
        <f t="shared" si="11"/>
        <v>0</v>
      </c>
      <c r="AN24" s="53"/>
      <c r="AO24" s="53"/>
      <c r="AP24" s="53">
        <f t="shared" si="12"/>
        <v>0</v>
      </c>
      <c r="AQ24" s="53"/>
      <c r="AR24" s="53"/>
      <c r="AS24" s="66">
        <f t="shared" si="13"/>
        <v>0</v>
      </c>
      <c r="AT24" s="66"/>
      <c r="AU24" s="66"/>
      <c r="AV24" s="66">
        <f t="shared" si="14"/>
        <v>0</v>
      </c>
      <c r="AW24" s="66"/>
      <c r="AX24" s="66"/>
      <c r="AY24" s="66">
        <f t="shared" si="15"/>
        <v>0</v>
      </c>
      <c r="AZ24" s="66"/>
      <c r="BA24" s="66"/>
      <c r="BB24" s="66">
        <f t="shared" si="16"/>
        <v>0</v>
      </c>
      <c r="BC24" s="66"/>
      <c r="BD24" s="66"/>
      <c r="BE24" s="66">
        <f t="shared" si="17"/>
        <v>0</v>
      </c>
      <c r="BF24" s="66"/>
      <c r="BG24" s="66"/>
      <c r="BH24" s="67">
        <f t="shared" si="18"/>
        <v>0</v>
      </c>
      <c r="BI24" s="68">
        <f t="shared" si="19"/>
        <v>1</v>
      </c>
    </row>
    <row r="25" spans="2:61" x14ac:dyDescent="0.25">
      <c r="B25" s="63">
        <v>17</v>
      </c>
      <c r="C25" s="64" t="str">
        <f>NOMINATIF!C22</f>
        <v>Tri Yulianti</v>
      </c>
      <c r="D25" s="65">
        <f>NOMINATIF!D22</f>
        <v>4060</v>
      </c>
      <c r="E25" s="65" t="str">
        <f>NOMINATIF!E22</f>
        <v>0068674216</v>
      </c>
      <c r="F25" s="53">
        <f t="shared" si="0"/>
        <v>0</v>
      </c>
      <c r="G25" s="53"/>
      <c r="H25" s="53"/>
      <c r="I25" s="53">
        <f t="shared" si="1"/>
        <v>0</v>
      </c>
      <c r="J25" s="53"/>
      <c r="K25" s="53"/>
      <c r="L25" s="53">
        <f t="shared" si="2"/>
        <v>0</v>
      </c>
      <c r="M25" s="53"/>
      <c r="N25" s="53"/>
      <c r="O25" s="53">
        <f t="shared" si="3"/>
        <v>0</v>
      </c>
      <c r="P25" s="53"/>
      <c r="Q25" s="53"/>
      <c r="R25" s="53">
        <f t="shared" si="4"/>
        <v>0</v>
      </c>
      <c r="S25" s="53"/>
      <c r="T25" s="53"/>
      <c r="U25" s="53">
        <f t="shared" si="5"/>
        <v>0</v>
      </c>
      <c r="V25" s="53"/>
      <c r="W25" s="53"/>
      <c r="X25" s="53">
        <f t="shared" si="6"/>
        <v>0</v>
      </c>
      <c r="Y25" s="53"/>
      <c r="Z25" s="53"/>
      <c r="AA25" s="53">
        <f t="shared" si="7"/>
        <v>0</v>
      </c>
      <c r="AB25" s="53"/>
      <c r="AC25" s="53"/>
      <c r="AD25" s="53">
        <f t="shared" si="8"/>
        <v>0</v>
      </c>
      <c r="AE25" s="53"/>
      <c r="AF25" s="53"/>
      <c r="AG25" s="53">
        <f t="shared" si="9"/>
        <v>0</v>
      </c>
      <c r="AH25" s="53"/>
      <c r="AI25" s="53"/>
      <c r="AJ25" s="53">
        <f t="shared" si="10"/>
        <v>0</v>
      </c>
      <c r="AK25" s="53"/>
      <c r="AL25" s="53"/>
      <c r="AM25" s="53">
        <f t="shared" si="11"/>
        <v>0</v>
      </c>
      <c r="AN25" s="53"/>
      <c r="AO25" s="53"/>
      <c r="AP25" s="53">
        <f t="shared" si="12"/>
        <v>0</v>
      </c>
      <c r="AQ25" s="53"/>
      <c r="AR25" s="53"/>
      <c r="AS25" s="66">
        <f t="shared" si="13"/>
        <v>0</v>
      </c>
      <c r="AT25" s="66"/>
      <c r="AU25" s="66"/>
      <c r="AV25" s="66">
        <f t="shared" si="14"/>
        <v>0</v>
      </c>
      <c r="AW25" s="66"/>
      <c r="AX25" s="66"/>
      <c r="AY25" s="66">
        <f t="shared" si="15"/>
        <v>0</v>
      </c>
      <c r="AZ25" s="66"/>
      <c r="BA25" s="66"/>
      <c r="BB25" s="66">
        <f t="shared" si="16"/>
        <v>0</v>
      </c>
      <c r="BC25" s="66"/>
      <c r="BD25" s="66"/>
      <c r="BE25" s="66">
        <f t="shared" si="17"/>
        <v>0</v>
      </c>
      <c r="BF25" s="66"/>
      <c r="BG25" s="66"/>
      <c r="BH25" s="67">
        <f t="shared" si="18"/>
        <v>0</v>
      </c>
      <c r="BI25" s="68">
        <f t="shared" si="19"/>
        <v>1</v>
      </c>
    </row>
    <row r="26" spans="2:61" x14ac:dyDescent="0.25">
      <c r="B26" s="63">
        <v>18</v>
      </c>
      <c r="C26" s="64" t="str">
        <f>NOMINATIF!C23</f>
        <v>Triya Wulandari</v>
      </c>
      <c r="D26" s="65">
        <f>NOMINATIF!D23</f>
        <v>4039</v>
      </c>
      <c r="E26" s="65" t="str">
        <f>NOMINATIF!E23</f>
        <v>0051300903</v>
      </c>
      <c r="F26" s="53">
        <f t="shared" si="0"/>
        <v>0</v>
      </c>
      <c r="G26" s="53"/>
      <c r="H26" s="53"/>
      <c r="I26" s="53">
        <f t="shared" si="1"/>
        <v>0</v>
      </c>
      <c r="J26" s="53"/>
      <c r="K26" s="53"/>
      <c r="L26" s="53">
        <f t="shared" si="2"/>
        <v>0</v>
      </c>
      <c r="M26" s="53"/>
      <c r="N26" s="53"/>
      <c r="O26" s="53">
        <f t="shared" si="3"/>
        <v>0</v>
      </c>
      <c r="P26" s="53"/>
      <c r="Q26" s="53"/>
      <c r="R26" s="53">
        <f t="shared" si="4"/>
        <v>0</v>
      </c>
      <c r="S26" s="53"/>
      <c r="T26" s="53"/>
      <c r="U26" s="53">
        <f t="shared" si="5"/>
        <v>0</v>
      </c>
      <c r="V26" s="53"/>
      <c r="W26" s="53"/>
      <c r="X26" s="53">
        <f t="shared" si="6"/>
        <v>0</v>
      </c>
      <c r="Y26" s="53"/>
      <c r="Z26" s="53"/>
      <c r="AA26" s="53">
        <f t="shared" si="7"/>
        <v>0</v>
      </c>
      <c r="AB26" s="53"/>
      <c r="AC26" s="53"/>
      <c r="AD26" s="53">
        <f t="shared" si="8"/>
        <v>0</v>
      </c>
      <c r="AE26" s="53"/>
      <c r="AF26" s="53"/>
      <c r="AG26" s="53">
        <f t="shared" si="9"/>
        <v>0</v>
      </c>
      <c r="AH26" s="53"/>
      <c r="AI26" s="53"/>
      <c r="AJ26" s="53">
        <f t="shared" si="10"/>
        <v>0</v>
      </c>
      <c r="AK26" s="53"/>
      <c r="AL26" s="53"/>
      <c r="AM26" s="53">
        <f t="shared" si="11"/>
        <v>0</v>
      </c>
      <c r="AN26" s="53"/>
      <c r="AO26" s="53"/>
      <c r="AP26" s="53">
        <f t="shared" si="12"/>
        <v>0</v>
      </c>
      <c r="AQ26" s="53"/>
      <c r="AR26" s="53"/>
      <c r="AS26" s="66">
        <f t="shared" si="13"/>
        <v>0</v>
      </c>
      <c r="AT26" s="66"/>
      <c r="AU26" s="66"/>
      <c r="AV26" s="66">
        <f t="shared" si="14"/>
        <v>0</v>
      </c>
      <c r="AW26" s="66"/>
      <c r="AX26" s="66"/>
      <c r="AY26" s="66">
        <f t="shared" si="15"/>
        <v>0</v>
      </c>
      <c r="AZ26" s="66"/>
      <c r="BA26" s="66"/>
      <c r="BB26" s="66">
        <f t="shared" si="16"/>
        <v>0</v>
      </c>
      <c r="BC26" s="66"/>
      <c r="BD26" s="66"/>
      <c r="BE26" s="66">
        <f t="shared" si="17"/>
        <v>0</v>
      </c>
      <c r="BF26" s="66"/>
      <c r="BG26" s="66"/>
      <c r="BH26" s="67">
        <f t="shared" si="18"/>
        <v>0</v>
      </c>
      <c r="BI26" s="68">
        <f t="shared" si="19"/>
        <v>1</v>
      </c>
    </row>
    <row r="27" spans="2:61" x14ac:dyDescent="0.25">
      <c r="B27" s="63">
        <v>19</v>
      </c>
      <c r="C27" s="64" t="str">
        <f>NOMINATIF!C24</f>
        <v>VANESZA PUTRI PATRECIA</v>
      </c>
      <c r="D27" s="65">
        <f>NOMINATIF!D24</f>
        <v>4040</v>
      </c>
      <c r="E27" s="65" t="str">
        <f>NOMINATIF!E24</f>
        <v>0064416027</v>
      </c>
      <c r="F27" s="53">
        <f t="shared" si="0"/>
        <v>0</v>
      </c>
      <c r="G27" s="53"/>
      <c r="H27" s="53"/>
      <c r="I27" s="53">
        <f t="shared" si="1"/>
        <v>0</v>
      </c>
      <c r="J27" s="53"/>
      <c r="K27" s="53"/>
      <c r="L27" s="53">
        <f t="shared" si="2"/>
        <v>0</v>
      </c>
      <c r="M27" s="53"/>
      <c r="N27" s="53"/>
      <c r="O27" s="53">
        <f t="shared" si="3"/>
        <v>0</v>
      </c>
      <c r="P27" s="53"/>
      <c r="Q27" s="53"/>
      <c r="R27" s="53">
        <f t="shared" si="4"/>
        <v>0</v>
      </c>
      <c r="S27" s="53"/>
      <c r="T27" s="53"/>
      <c r="U27" s="53">
        <f t="shared" si="5"/>
        <v>0</v>
      </c>
      <c r="V27" s="53"/>
      <c r="W27" s="53"/>
      <c r="X27" s="53">
        <f t="shared" si="6"/>
        <v>0</v>
      </c>
      <c r="Y27" s="53"/>
      <c r="Z27" s="53"/>
      <c r="AA27" s="53">
        <f t="shared" si="7"/>
        <v>0</v>
      </c>
      <c r="AB27" s="53"/>
      <c r="AC27" s="53"/>
      <c r="AD27" s="53">
        <f t="shared" si="8"/>
        <v>0</v>
      </c>
      <c r="AE27" s="53"/>
      <c r="AF27" s="53"/>
      <c r="AG27" s="53">
        <f t="shared" si="9"/>
        <v>0</v>
      </c>
      <c r="AH27" s="53"/>
      <c r="AI27" s="53"/>
      <c r="AJ27" s="53">
        <f t="shared" si="10"/>
        <v>0</v>
      </c>
      <c r="AK27" s="53"/>
      <c r="AL27" s="53"/>
      <c r="AM27" s="53">
        <f t="shared" si="11"/>
        <v>0</v>
      </c>
      <c r="AN27" s="53"/>
      <c r="AO27" s="53"/>
      <c r="AP27" s="53">
        <f t="shared" si="12"/>
        <v>0</v>
      </c>
      <c r="AQ27" s="53"/>
      <c r="AR27" s="53"/>
      <c r="AS27" s="66">
        <f t="shared" si="13"/>
        <v>0</v>
      </c>
      <c r="AT27" s="66"/>
      <c r="AU27" s="66"/>
      <c r="AV27" s="66">
        <f t="shared" si="14"/>
        <v>0</v>
      </c>
      <c r="AW27" s="66"/>
      <c r="AX27" s="66"/>
      <c r="AY27" s="66">
        <f t="shared" si="15"/>
        <v>0</v>
      </c>
      <c r="AZ27" s="66"/>
      <c r="BA27" s="66"/>
      <c r="BB27" s="66">
        <f t="shared" si="16"/>
        <v>0</v>
      </c>
      <c r="BC27" s="66"/>
      <c r="BD27" s="66"/>
      <c r="BE27" s="66">
        <f t="shared" si="17"/>
        <v>0</v>
      </c>
      <c r="BF27" s="66"/>
      <c r="BG27" s="66"/>
      <c r="BH27" s="67">
        <f t="shared" si="18"/>
        <v>0</v>
      </c>
      <c r="BI27" s="68">
        <f t="shared" si="19"/>
        <v>1</v>
      </c>
    </row>
    <row r="28" spans="2:61" x14ac:dyDescent="0.25">
      <c r="B28" s="63">
        <v>20</v>
      </c>
      <c r="C28" s="64" t="str">
        <f>NOMINATIF!C25</f>
        <v>Yanuar Diah Lestari</v>
      </c>
      <c r="D28" s="65">
        <f>NOMINATIF!D25</f>
        <v>4061</v>
      </c>
      <c r="E28" s="65" t="str">
        <f>NOMINATIF!E25</f>
        <v>0052554227</v>
      </c>
      <c r="F28" s="53">
        <f t="shared" si="0"/>
        <v>0</v>
      </c>
      <c r="G28" s="53"/>
      <c r="H28" s="53"/>
      <c r="I28" s="53">
        <f t="shared" si="1"/>
        <v>0</v>
      </c>
      <c r="J28" s="53"/>
      <c r="K28" s="53"/>
      <c r="L28" s="53">
        <f t="shared" si="2"/>
        <v>0</v>
      </c>
      <c r="M28" s="53"/>
      <c r="N28" s="53"/>
      <c r="O28" s="53">
        <f t="shared" si="3"/>
        <v>0</v>
      </c>
      <c r="P28" s="53"/>
      <c r="Q28" s="53"/>
      <c r="R28" s="53">
        <f t="shared" si="4"/>
        <v>0</v>
      </c>
      <c r="S28" s="53"/>
      <c r="T28" s="53"/>
      <c r="U28" s="53">
        <f t="shared" si="5"/>
        <v>0</v>
      </c>
      <c r="V28" s="53"/>
      <c r="W28" s="53"/>
      <c r="X28" s="53">
        <f t="shared" si="6"/>
        <v>0</v>
      </c>
      <c r="Y28" s="53"/>
      <c r="Z28" s="53"/>
      <c r="AA28" s="53">
        <f t="shared" si="7"/>
        <v>0</v>
      </c>
      <c r="AB28" s="53"/>
      <c r="AC28" s="53"/>
      <c r="AD28" s="53">
        <f t="shared" si="8"/>
        <v>0</v>
      </c>
      <c r="AE28" s="53"/>
      <c r="AF28" s="53"/>
      <c r="AG28" s="53">
        <f t="shared" si="9"/>
        <v>0</v>
      </c>
      <c r="AH28" s="53"/>
      <c r="AI28" s="53"/>
      <c r="AJ28" s="53">
        <f t="shared" si="10"/>
        <v>0</v>
      </c>
      <c r="AK28" s="53"/>
      <c r="AL28" s="53"/>
      <c r="AM28" s="53">
        <f t="shared" si="11"/>
        <v>0</v>
      </c>
      <c r="AN28" s="53"/>
      <c r="AO28" s="53"/>
      <c r="AP28" s="53">
        <f t="shared" si="12"/>
        <v>0</v>
      </c>
      <c r="AQ28" s="53"/>
      <c r="AR28" s="53"/>
      <c r="AS28" s="66">
        <f t="shared" si="13"/>
        <v>0</v>
      </c>
      <c r="AT28" s="66"/>
      <c r="AU28" s="66"/>
      <c r="AV28" s="66">
        <f t="shared" si="14"/>
        <v>0</v>
      </c>
      <c r="AW28" s="66"/>
      <c r="AX28" s="66"/>
      <c r="AY28" s="66">
        <f t="shared" si="15"/>
        <v>0</v>
      </c>
      <c r="AZ28" s="66"/>
      <c r="BA28" s="66"/>
      <c r="BB28" s="66">
        <f t="shared" si="16"/>
        <v>0</v>
      </c>
      <c r="BC28" s="66"/>
      <c r="BD28" s="66"/>
      <c r="BE28" s="66">
        <f t="shared" si="17"/>
        <v>0</v>
      </c>
      <c r="BF28" s="66"/>
      <c r="BG28" s="66"/>
      <c r="BH28" s="67">
        <f t="shared" si="18"/>
        <v>0</v>
      </c>
      <c r="BI28" s="68">
        <f t="shared" si="19"/>
        <v>1</v>
      </c>
    </row>
    <row r="29" spans="2:61" x14ac:dyDescent="0.25">
      <c r="B29" s="63">
        <v>21</v>
      </c>
      <c r="C29" s="64">
        <f>NOMINATIF!C26</f>
        <v>0</v>
      </c>
      <c r="D29" s="65">
        <f>NOMINATIF!D26</f>
        <v>0</v>
      </c>
      <c r="E29" s="65">
        <f>NOMINATIF!E26</f>
        <v>0</v>
      </c>
      <c r="F29" s="53">
        <f t="shared" si="0"/>
        <v>0</v>
      </c>
      <c r="G29" s="53"/>
      <c r="H29" s="53"/>
      <c r="I29" s="53">
        <f t="shared" si="1"/>
        <v>0</v>
      </c>
      <c r="J29" s="53"/>
      <c r="K29" s="53"/>
      <c r="L29" s="53">
        <f t="shared" si="2"/>
        <v>0</v>
      </c>
      <c r="M29" s="53"/>
      <c r="N29" s="53"/>
      <c r="O29" s="53">
        <f t="shared" si="3"/>
        <v>0</v>
      </c>
      <c r="P29" s="53"/>
      <c r="Q29" s="53"/>
      <c r="R29" s="53">
        <f t="shared" si="4"/>
        <v>0</v>
      </c>
      <c r="S29" s="53"/>
      <c r="T29" s="53"/>
      <c r="U29" s="53">
        <f t="shared" si="5"/>
        <v>0</v>
      </c>
      <c r="V29" s="53"/>
      <c r="W29" s="53"/>
      <c r="X29" s="53">
        <f t="shared" si="6"/>
        <v>0</v>
      </c>
      <c r="Y29" s="53"/>
      <c r="Z29" s="53"/>
      <c r="AA29" s="53">
        <f t="shared" si="7"/>
        <v>0</v>
      </c>
      <c r="AB29" s="53"/>
      <c r="AC29" s="53"/>
      <c r="AD29" s="53">
        <f t="shared" si="8"/>
        <v>0</v>
      </c>
      <c r="AE29" s="53"/>
      <c r="AF29" s="53"/>
      <c r="AG29" s="53">
        <f t="shared" si="9"/>
        <v>0</v>
      </c>
      <c r="AH29" s="53"/>
      <c r="AI29" s="53"/>
      <c r="AJ29" s="53">
        <f t="shared" si="10"/>
        <v>0</v>
      </c>
      <c r="AK29" s="53"/>
      <c r="AL29" s="53"/>
      <c r="AM29" s="53">
        <f t="shared" si="11"/>
        <v>0</v>
      </c>
      <c r="AN29" s="53"/>
      <c r="AO29" s="53"/>
      <c r="AP29" s="53">
        <f t="shared" si="12"/>
        <v>0</v>
      </c>
      <c r="AQ29" s="53"/>
      <c r="AR29" s="53"/>
      <c r="AS29" s="66">
        <f t="shared" si="13"/>
        <v>0</v>
      </c>
      <c r="AT29" s="66"/>
      <c r="AU29" s="66"/>
      <c r="AV29" s="66">
        <f t="shared" si="14"/>
        <v>0</v>
      </c>
      <c r="AW29" s="66"/>
      <c r="AX29" s="66"/>
      <c r="AY29" s="66">
        <f t="shared" si="15"/>
        <v>0</v>
      </c>
      <c r="AZ29" s="66"/>
      <c r="BA29" s="66"/>
      <c r="BB29" s="66">
        <f t="shared" si="16"/>
        <v>0</v>
      </c>
      <c r="BC29" s="66"/>
      <c r="BD29" s="66"/>
      <c r="BE29" s="66">
        <f t="shared" si="17"/>
        <v>0</v>
      </c>
      <c r="BF29" s="66"/>
      <c r="BG29" s="66"/>
      <c r="BH29" s="67">
        <f t="shared" si="18"/>
        <v>0</v>
      </c>
      <c r="BI29" s="68">
        <f t="shared" si="19"/>
        <v>1</v>
      </c>
    </row>
    <row r="30" spans="2:61" x14ac:dyDescent="0.25">
      <c r="B30" s="63">
        <v>22</v>
      </c>
      <c r="C30" s="64">
        <f>NOMINATIF!C27</f>
        <v>0</v>
      </c>
      <c r="D30" s="65">
        <f>NOMINATIF!D27</f>
        <v>0</v>
      </c>
      <c r="E30" s="65">
        <f>NOMINATIF!E27</f>
        <v>0</v>
      </c>
      <c r="F30" s="53">
        <f t="shared" si="0"/>
        <v>0</v>
      </c>
      <c r="G30" s="53"/>
      <c r="H30" s="53"/>
      <c r="I30" s="53">
        <f t="shared" si="1"/>
        <v>0</v>
      </c>
      <c r="J30" s="53"/>
      <c r="K30" s="53"/>
      <c r="L30" s="53">
        <f t="shared" si="2"/>
        <v>0</v>
      </c>
      <c r="M30" s="53"/>
      <c r="N30" s="53"/>
      <c r="O30" s="53">
        <f t="shared" si="3"/>
        <v>0</v>
      </c>
      <c r="P30" s="53"/>
      <c r="Q30" s="53"/>
      <c r="R30" s="53">
        <f t="shared" si="4"/>
        <v>0</v>
      </c>
      <c r="S30" s="53"/>
      <c r="T30" s="53"/>
      <c r="U30" s="53">
        <f t="shared" si="5"/>
        <v>0</v>
      </c>
      <c r="V30" s="53"/>
      <c r="W30" s="53"/>
      <c r="X30" s="53">
        <f t="shared" si="6"/>
        <v>0</v>
      </c>
      <c r="Y30" s="53"/>
      <c r="Z30" s="53"/>
      <c r="AA30" s="53">
        <f t="shared" si="7"/>
        <v>0</v>
      </c>
      <c r="AB30" s="53"/>
      <c r="AC30" s="53"/>
      <c r="AD30" s="53">
        <f t="shared" si="8"/>
        <v>0</v>
      </c>
      <c r="AE30" s="53"/>
      <c r="AF30" s="53"/>
      <c r="AG30" s="53">
        <f t="shared" si="9"/>
        <v>0</v>
      </c>
      <c r="AH30" s="53"/>
      <c r="AI30" s="53"/>
      <c r="AJ30" s="53">
        <f t="shared" si="10"/>
        <v>0</v>
      </c>
      <c r="AK30" s="53"/>
      <c r="AL30" s="53"/>
      <c r="AM30" s="53">
        <f t="shared" si="11"/>
        <v>0</v>
      </c>
      <c r="AN30" s="53"/>
      <c r="AO30" s="53"/>
      <c r="AP30" s="53">
        <f t="shared" si="12"/>
        <v>0</v>
      </c>
      <c r="AQ30" s="53"/>
      <c r="AR30" s="53"/>
      <c r="AS30" s="66">
        <f t="shared" si="13"/>
        <v>0</v>
      </c>
      <c r="AT30" s="66"/>
      <c r="AU30" s="66"/>
      <c r="AV30" s="66">
        <f t="shared" si="14"/>
        <v>0</v>
      </c>
      <c r="AW30" s="66"/>
      <c r="AX30" s="66"/>
      <c r="AY30" s="66">
        <f t="shared" si="15"/>
        <v>0</v>
      </c>
      <c r="AZ30" s="66"/>
      <c r="BA30" s="66"/>
      <c r="BB30" s="66">
        <f t="shared" si="16"/>
        <v>0</v>
      </c>
      <c r="BC30" s="66"/>
      <c r="BD30" s="66"/>
      <c r="BE30" s="66">
        <f t="shared" si="17"/>
        <v>0</v>
      </c>
      <c r="BF30" s="66"/>
      <c r="BG30" s="66"/>
      <c r="BH30" s="67">
        <f t="shared" si="18"/>
        <v>0</v>
      </c>
      <c r="BI30" s="68">
        <f t="shared" si="19"/>
        <v>1</v>
      </c>
    </row>
    <row r="31" spans="2:61" x14ac:dyDescent="0.25">
      <c r="B31" s="63">
        <v>23</v>
      </c>
      <c r="C31" s="64">
        <f>NOMINATIF!C28</f>
        <v>0</v>
      </c>
      <c r="D31" s="65">
        <f>NOMINATIF!D28</f>
        <v>0</v>
      </c>
      <c r="E31" s="65">
        <f>NOMINATIF!E28</f>
        <v>0</v>
      </c>
      <c r="F31" s="53">
        <f t="shared" si="0"/>
        <v>0</v>
      </c>
      <c r="G31" s="53"/>
      <c r="H31" s="53"/>
      <c r="I31" s="53">
        <f t="shared" si="1"/>
        <v>0</v>
      </c>
      <c r="J31" s="53"/>
      <c r="K31" s="53"/>
      <c r="L31" s="53">
        <f t="shared" si="2"/>
        <v>0</v>
      </c>
      <c r="M31" s="53"/>
      <c r="N31" s="53"/>
      <c r="O31" s="53">
        <f t="shared" si="3"/>
        <v>0</v>
      </c>
      <c r="P31" s="53"/>
      <c r="Q31" s="53"/>
      <c r="R31" s="53">
        <f t="shared" si="4"/>
        <v>0</v>
      </c>
      <c r="S31" s="53"/>
      <c r="T31" s="53"/>
      <c r="U31" s="53">
        <f t="shared" si="5"/>
        <v>0</v>
      </c>
      <c r="V31" s="53"/>
      <c r="W31" s="53"/>
      <c r="X31" s="53">
        <f t="shared" si="6"/>
        <v>0</v>
      </c>
      <c r="Y31" s="53"/>
      <c r="Z31" s="53"/>
      <c r="AA31" s="53">
        <f t="shared" si="7"/>
        <v>0</v>
      </c>
      <c r="AB31" s="53"/>
      <c r="AC31" s="53"/>
      <c r="AD31" s="53">
        <f t="shared" si="8"/>
        <v>0</v>
      </c>
      <c r="AE31" s="53"/>
      <c r="AF31" s="53"/>
      <c r="AG31" s="53">
        <f t="shared" si="9"/>
        <v>0</v>
      </c>
      <c r="AH31" s="53"/>
      <c r="AI31" s="53"/>
      <c r="AJ31" s="53">
        <f t="shared" si="10"/>
        <v>0</v>
      </c>
      <c r="AK31" s="53"/>
      <c r="AL31" s="53"/>
      <c r="AM31" s="53">
        <f t="shared" si="11"/>
        <v>0</v>
      </c>
      <c r="AN31" s="53"/>
      <c r="AO31" s="53"/>
      <c r="AP31" s="53">
        <f t="shared" si="12"/>
        <v>0</v>
      </c>
      <c r="AQ31" s="53"/>
      <c r="AR31" s="53"/>
      <c r="AS31" s="66">
        <f t="shared" si="13"/>
        <v>0</v>
      </c>
      <c r="AT31" s="66"/>
      <c r="AU31" s="66"/>
      <c r="AV31" s="66">
        <f t="shared" si="14"/>
        <v>0</v>
      </c>
      <c r="AW31" s="66"/>
      <c r="AX31" s="66"/>
      <c r="AY31" s="66">
        <f t="shared" si="15"/>
        <v>0</v>
      </c>
      <c r="AZ31" s="66"/>
      <c r="BA31" s="66"/>
      <c r="BB31" s="66">
        <f t="shared" si="16"/>
        <v>0</v>
      </c>
      <c r="BC31" s="66"/>
      <c r="BD31" s="66"/>
      <c r="BE31" s="66">
        <f t="shared" si="17"/>
        <v>0</v>
      </c>
      <c r="BF31" s="66"/>
      <c r="BG31" s="66"/>
      <c r="BH31" s="67">
        <f t="shared" si="18"/>
        <v>0</v>
      </c>
      <c r="BI31" s="68">
        <f t="shared" si="19"/>
        <v>1</v>
      </c>
    </row>
    <row r="32" spans="2:61" x14ac:dyDescent="0.25">
      <c r="B32" s="63">
        <v>24</v>
      </c>
      <c r="C32" s="64">
        <f>NOMINATIF!C29</f>
        <v>0</v>
      </c>
      <c r="D32" s="65">
        <f>NOMINATIF!D29</f>
        <v>0</v>
      </c>
      <c r="E32" s="65">
        <f>NOMINATIF!E29</f>
        <v>0</v>
      </c>
      <c r="F32" s="53">
        <f t="shared" si="0"/>
        <v>0</v>
      </c>
      <c r="G32" s="53"/>
      <c r="H32" s="53"/>
      <c r="I32" s="53">
        <f t="shared" si="1"/>
        <v>0</v>
      </c>
      <c r="J32" s="53"/>
      <c r="K32" s="53"/>
      <c r="L32" s="53">
        <f t="shared" si="2"/>
        <v>0</v>
      </c>
      <c r="M32" s="53"/>
      <c r="N32" s="53"/>
      <c r="O32" s="53">
        <f t="shared" si="3"/>
        <v>0</v>
      </c>
      <c r="P32" s="53"/>
      <c r="Q32" s="53"/>
      <c r="R32" s="53">
        <f t="shared" si="4"/>
        <v>0</v>
      </c>
      <c r="S32" s="53"/>
      <c r="T32" s="53"/>
      <c r="U32" s="53">
        <f t="shared" si="5"/>
        <v>0</v>
      </c>
      <c r="V32" s="53"/>
      <c r="W32" s="53"/>
      <c r="X32" s="53">
        <f t="shared" si="6"/>
        <v>0</v>
      </c>
      <c r="Y32" s="53"/>
      <c r="Z32" s="53"/>
      <c r="AA32" s="53">
        <f t="shared" si="7"/>
        <v>0</v>
      </c>
      <c r="AB32" s="53"/>
      <c r="AC32" s="53"/>
      <c r="AD32" s="53">
        <f t="shared" si="8"/>
        <v>0</v>
      </c>
      <c r="AE32" s="53"/>
      <c r="AF32" s="53"/>
      <c r="AG32" s="53">
        <f t="shared" si="9"/>
        <v>0</v>
      </c>
      <c r="AH32" s="53"/>
      <c r="AI32" s="53"/>
      <c r="AJ32" s="53">
        <f t="shared" si="10"/>
        <v>0</v>
      </c>
      <c r="AK32" s="53"/>
      <c r="AL32" s="53"/>
      <c r="AM32" s="53">
        <f t="shared" si="11"/>
        <v>0</v>
      </c>
      <c r="AN32" s="53"/>
      <c r="AO32" s="53"/>
      <c r="AP32" s="53">
        <f t="shared" si="12"/>
        <v>0</v>
      </c>
      <c r="AQ32" s="53"/>
      <c r="AR32" s="53"/>
      <c r="AS32" s="66">
        <f t="shared" si="13"/>
        <v>0</v>
      </c>
      <c r="AT32" s="66"/>
      <c r="AU32" s="66"/>
      <c r="AV32" s="66">
        <f t="shared" si="14"/>
        <v>0</v>
      </c>
      <c r="AW32" s="66"/>
      <c r="AX32" s="66"/>
      <c r="AY32" s="66">
        <f t="shared" si="15"/>
        <v>0</v>
      </c>
      <c r="AZ32" s="66"/>
      <c r="BA32" s="66"/>
      <c r="BB32" s="66">
        <f t="shared" si="16"/>
        <v>0</v>
      </c>
      <c r="BC32" s="66"/>
      <c r="BD32" s="66"/>
      <c r="BE32" s="66">
        <f t="shared" si="17"/>
        <v>0</v>
      </c>
      <c r="BF32" s="66"/>
      <c r="BG32" s="66"/>
      <c r="BH32" s="67">
        <f t="shared" si="18"/>
        <v>0</v>
      </c>
      <c r="BI32" s="68">
        <f t="shared" si="19"/>
        <v>1</v>
      </c>
    </row>
    <row r="33" spans="2:61" x14ac:dyDescent="0.25">
      <c r="B33" s="63">
        <v>25</v>
      </c>
      <c r="C33" s="64">
        <f>NOMINATIF!C30</f>
        <v>0</v>
      </c>
      <c r="D33" s="65">
        <f>NOMINATIF!D30</f>
        <v>0</v>
      </c>
      <c r="E33" s="65">
        <f>NOMINATIF!E30</f>
        <v>0</v>
      </c>
      <c r="F33" s="53">
        <f t="shared" si="0"/>
        <v>0</v>
      </c>
      <c r="G33" s="53"/>
      <c r="H33" s="53"/>
      <c r="I33" s="53">
        <f t="shared" si="1"/>
        <v>0</v>
      </c>
      <c r="J33" s="53"/>
      <c r="K33" s="53"/>
      <c r="L33" s="53">
        <f t="shared" si="2"/>
        <v>0</v>
      </c>
      <c r="M33" s="53"/>
      <c r="N33" s="53"/>
      <c r="O33" s="53">
        <f t="shared" si="3"/>
        <v>0</v>
      </c>
      <c r="P33" s="53"/>
      <c r="Q33" s="53"/>
      <c r="R33" s="53">
        <f t="shared" si="4"/>
        <v>0</v>
      </c>
      <c r="S33" s="53"/>
      <c r="T33" s="53"/>
      <c r="U33" s="53">
        <f t="shared" si="5"/>
        <v>0</v>
      </c>
      <c r="V33" s="53"/>
      <c r="W33" s="53"/>
      <c r="X33" s="53">
        <f t="shared" si="6"/>
        <v>0</v>
      </c>
      <c r="Y33" s="53"/>
      <c r="Z33" s="53"/>
      <c r="AA33" s="53">
        <f t="shared" si="7"/>
        <v>0</v>
      </c>
      <c r="AB33" s="53"/>
      <c r="AC33" s="53"/>
      <c r="AD33" s="53">
        <f t="shared" si="8"/>
        <v>0</v>
      </c>
      <c r="AE33" s="53"/>
      <c r="AF33" s="53"/>
      <c r="AG33" s="53">
        <f t="shared" si="9"/>
        <v>0</v>
      </c>
      <c r="AH33" s="53"/>
      <c r="AI33" s="53"/>
      <c r="AJ33" s="53">
        <f t="shared" si="10"/>
        <v>0</v>
      </c>
      <c r="AK33" s="53"/>
      <c r="AL33" s="53"/>
      <c r="AM33" s="53">
        <f t="shared" si="11"/>
        <v>0</v>
      </c>
      <c r="AN33" s="53"/>
      <c r="AO33" s="53"/>
      <c r="AP33" s="53">
        <f t="shared" si="12"/>
        <v>0</v>
      </c>
      <c r="AQ33" s="53"/>
      <c r="AR33" s="53"/>
      <c r="AS33" s="66">
        <f t="shared" si="13"/>
        <v>0</v>
      </c>
      <c r="AT33" s="66"/>
      <c r="AU33" s="66"/>
      <c r="AV33" s="66">
        <f t="shared" si="14"/>
        <v>0</v>
      </c>
      <c r="AW33" s="66"/>
      <c r="AX33" s="66"/>
      <c r="AY33" s="66">
        <f t="shared" si="15"/>
        <v>0</v>
      </c>
      <c r="AZ33" s="66"/>
      <c r="BA33" s="66"/>
      <c r="BB33" s="66">
        <f t="shared" si="16"/>
        <v>0</v>
      </c>
      <c r="BC33" s="66"/>
      <c r="BD33" s="66"/>
      <c r="BE33" s="66">
        <f t="shared" si="17"/>
        <v>0</v>
      </c>
      <c r="BF33" s="66"/>
      <c r="BG33" s="66"/>
      <c r="BH33" s="67">
        <f t="shared" si="18"/>
        <v>0</v>
      </c>
      <c r="BI33" s="68">
        <f t="shared" si="19"/>
        <v>1</v>
      </c>
    </row>
    <row r="34" spans="2:61" x14ac:dyDescent="0.25">
      <c r="B34" s="63">
        <v>26</v>
      </c>
      <c r="C34" s="64">
        <f>NOMINATIF!C31</f>
        <v>0</v>
      </c>
      <c r="D34" s="65">
        <f>NOMINATIF!D31</f>
        <v>0</v>
      </c>
      <c r="E34" s="65">
        <f>NOMINATIF!E31</f>
        <v>0</v>
      </c>
      <c r="F34" s="53">
        <f t="shared" si="0"/>
        <v>0</v>
      </c>
      <c r="G34" s="53"/>
      <c r="H34" s="53"/>
      <c r="I34" s="53">
        <f t="shared" si="1"/>
        <v>0</v>
      </c>
      <c r="J34" s="53"/>
      <c r="K34" s="53"/>
      <c r="L34" s="53">
        <f t="shared" si="2"/>
        <v>0</v>
      </c>
      <c r="M34" s="53"/>
      <c r="N34" s="53"/>
      <c r="O34" s="53">
        <f t="shared" si="3"/>
        <v>0</v>
      </c>
      <c r="P34" s="53"/>
      <c r="Q34" s="53"/>
      <c r="R34" s="53">
        <f t="shared" si="4"/>
        <v>0</v>
      </c>
      <c r="S34" s="53"/>
      <c r="T34" s="53"/>
      <c r="U34" s="53">
        <f t="shared" si="5"/>
        <v>0</v>
      </c>
      <c r="V34" s="53"/>
      <c r="W34" s="53"/>
      <c r="X34" s="53">
        <f t="shared" si="6"/>
        <v>0</v>
      </c>
      <c r="Y34" s="53"/>
      <c r="Z34" s="53"/>
      <c r="AA34" s="53">
        <f t="shared" si="7"/>
        <v>0</v>
      </c>
      <c r="AB34" s="53"/>
      <c r="AC34" s="53"/>
      <c r="AD34" s="53">
        <f t="shared" si="8"/>
        <v>0</v>
      </c>
      <c r="AE34" s="53"/>
      <c r="AF34" s="53"/>
      <c r="AG34" s="53">
        <f t="shared" si="9"/>
        <v>0</v>
      </c>
      <c r="AH34" s="53"/>
      <c r="AI34" s="53"/>
      <c r="AJ34" s="53">
        <f t="shared" si="10"/>
        <v>0</v>
      </c>
      <c r="AK34" s="53"/>
      <c r="AL34" s="53"/>
      <c r="AM34" s="53">
        <f t="shared" si="11"/>
        <v>0</v>
      </c>
      <c r="AN34" s="53"/>
      <c r="AO34" s="53"/>
      <c r="AP34" s="53">
        <f t="shared" si="12"/>
        <v>0</v>
      </c>
      <c r="AQ34" s="53"/>
      <c r="AR34" s="53"/>
      <c r="AS34" s="66">
        <f t="shared" si="13"/>
        <v>0</v>
      </c>
      <c r="AT34" s="66"/>
      <c r="AU34" s="66"/>
      <c r="AV34" s="66">
        <f t="shared" si="14"/>
        <v>0</v>
      </c>
      <c r="AW34" s="66"/>
      <c r="AX34" s="66"/>
      <c r="AY34" s="66">
        <f t="shared" si="15"/>
        <v>0</v>
      </c>
      <c r="AZ34" s="66"/>
      <c r="BA34" s="66"/>
      <c r="BB34" s="66">
        <f t="shared" si="16"/>
        <v>0</v>
      </c>
      <c r="BC34" s="66"/>
      <c r="BD34" s="66"/>
      <c r="BE34" s="66">
        <f t="shared" si="17"/>
        <v>0</v>
      </c>
      <c r="BF34" s="66"/>
      <c r="BG34" s="66"/>
      <c r="BH34" s="67">
        <f t="shared" si="18"/>
        <v>0</v>
      </c>
      <c r="BI34" s="68">
        <f t="shared" si="19"/>
        <v>1</v>
      </c>
    </row>
    <row r="35" spans="2:61" x14ac:dyDescent="0.25">
      <c r="B35" s="63">
        <v>27</v>
      </c>
      <c r="C35" s="64">
        <f>NOMINATIF!C32</f>
        <v>0</v>
      </c>
      <c r="D35" s="65">
        <f>NOMINATIF!D32</f>
        <v>0</v>
      </c>
      <c r="E35" s="65">
        <f>NOMINATIF!E32</f>
        <v>0</v>
      </c>
      <c r="F35" s="53">
        <f t="shared" si="0"/>
        <v>0</v>
      </c>
      <c r="G35" s="53"/>
      <c r="H35" s="53"/>
      <c r="I35" s="53">
        <f t="shared" si="1"/>
        <v>0</v>
      </c>
      <c r="J35" s="53"/>
      <c r="K35" s="53"/>
      <c r="L35" s="53">
        <f t="shared" si="2"/>
        <v>0</v>
      </c>
      <c r="M35" s="53"/>
      <c r="N35" s="53"/>
      <c r="O35" s="53">
        <f t="shared" si="3"/>
        <v>0</v>
      </c>
      <c r="P35" s="53"/>
      <c r="Q35" s="53"/>
      <c r="R35" s="53">
        <f t="shared" si="4"/>
        <v>0</v>
      </c>
      <c r="S35" s="53"/>
      <c r="T35" s="53"/>
      <c r="U35" s="53">
        <f t="shared" si="5"/>
        <v>0</v>
      </c>
      <c r="V35" s="53"/>
      <c r="W35" s="53"/>
      <c r="X35" s="53">
        <f t="shared" si="6"/>
        <v>0</v>
      </c>
      <c r="Y35" s="53"/>
      <c r="Z35" s="53"/>
      <c r="AA35" s="53">
        <f t="shared" si="7"/>
        <v>0</v>
      </c>
      <c r="AB35" s="53"/>
      <c r="AC35" s="53"/>
      <c r="AD35" s="53">
        <f t="shared" si="8"/>
        <v>0</v>
      </c>
      <c r="AE35" s="53"/>
      <c r="AF35" s="53"/>
      <c r="AG35" s="53">
        <f t="shared" si="9"/>
        <v>0</v>
      </c>
      <c r="AH35" s="53"/>
      <c r="AI35" s="53"/>
      <c r="AJ35" s="53">
        <f t="shared" si="10"/>
        <v>0</v>
      </c>
      <c r="AK35" s="53"/>
      <c r="AL35" s="53"/>
      <c r="AM35" s="53">
        <f t="shared" si="11"/>
        <v>0</v>
      </c>
      <c r="AN35" s="53"/>
      <c r="AO35" s="53"/>
      <c r="AP35" s="53">
        <f t="shared" si="12"/>
        <v>0</v>
      </c>
      <c r="AQ35" s="53"/>
      <c r="AR35" s="53"/>
      <c r="AS35" s="66">
        <f t="shared" si="13"/>
        <v>0</v>
      </c>
      <c r="AT35" s="66"/>
      <c r="AU35" s="66"/>
      <c r="AV35" s="66">
        <f t="shared" si="14"/>
        <v>0</v>
      </c>
      <c r="AW35" s="66"/>
      <c r="AX35" s="66"/>
      <c r="AY35" s="66">
        <f t="shared" si="15"/>
        <v>0</v>
      </c>
      <c r="AZ35" s="66"/>
      <c r="BA35" s="66"/>
      <c r="BB35" s="66">
        <f t="shared" si="16"/>
        <v>0</v>
      </c>
      <c r="BC35" s="66"/>
      <c r="BD35" s="66"/>
      <c r="BE35" s="66">
        <f t="shared" si="17"/>
        <v>0</v>
      </c>
      <c r="BF35" s="66"/>
      <c r="BG35" s="66"/>
      <c r="BH35" s="67">
        <f t="shared" si="18"/>
        <v>0</v>
      </c>
      <c r="BI35" s="68">
        <f t="shared" si="19"/>
        <v>1</v>
      </c>
    </row>
    <row r="36" spans="2:61" x14ac:dyDescent="0.25">
      <c r="B36" s="63">
        <v>28</v>
      </c>
      <c r="C36" s="64">
        <f>NOMINATIF!C33</f>
        <v>0</v>
      </c>
      <c r="D36" s="65">
        <f>NOMINATIF!D33</f>
        <v>0</v>
      </c>
      <c r="E36" s="65">
        <f>NOMINATIF!E33</f>
        <v>0</v>
      </c>
      <c r="F36" s="53">
        <f t="shared" si="0"/>
        <v>0</v>
      </c>
      <c r="G36" s="53"/>
      <c r="H36" s="53"/>
      <c r="I36" s="53">
        <f t="shared" si="1"/>
        <v>0</v>
      </c>
      <c r="J36" s="53"/>
      <c r="K36" s="53"/>
      <c r="L36" s="53">
        <f t="shared" si="2"/>
        <v>0</v>
      </c>
      <c r="M36" s="53"/>
      <c r="N36" s="53"/>
      <c r="O36" s="53">
        <f t="shared" si="3"/>
        <v>0</v>
      </c>
      <c r="P36" s="53"/>
      <c r="Q36" s="53"/>
      <c r="R36" s="53">
        <f t="shared" si="4"/>
        <v>0</v>
      </c>
      <c r="S36" s="53"/>
      <c r="T36" s="53"/>
      <c r="U36" s="53">
        <f t="shared" si="5"/>
        <v>0</v>
      </c>
      <c r="V36" s="53"/>
      <c r="W36" s="53"/>
      <c r="X36" s="53">
        <f t="shared" si="6"/>
        <v>0</v>
      </c>
      <c r="Y36" s="53"/>
      <c r="Z36" s="53"/>
      <c r="AA36" s="53">
        <f t="shared" si="7"/>
        <v>0</v>
      </c>
      <c r="AB36" s="53"/>
      <c r="AC36" s="53"/>
      <c r="AD36" s="53">
        <f t="shared" si="8"/>
        <v>0</v>
      </c>
      <c r="AE36" s="53"/>
      <c r="AF36" s="53"/>
      <c r="AG36" s="53">
        <f t="shared" si="9"/>
        <v>0</v>
      </c>
      <c r="AH36" s="53"/>
      <c r="AI36" s="53"/>
      <c r="AJ36" s="53">
        <f t="shared" si="10"/>
        <v>0</v>
      </c>
      <c r="AK36" s="53"/>
      <c r="AL36" s="53"/>
      <c r="AM36" s="53">
        <f t="shared" si="11"/>
        <v>0</v>
      </c>
      <c r="AN36" s="53"/>
      <c r="AO36" s="53"/>
      <c r="AP36" s="53">
        <f t="shared" si="12"/>
        <v>0</v>
      </c>
      <c r="AQ36" s="53"/>
      <c r="AR36" s="53"/>
      <c r="AS36" s="66">
        <f t="shared" si="13"/>
        <v>0</v>
      </c>
      <c r="AT36" s="66"/>
      <c r="AU36" s="66"/>
      <c r="AV36" s="66">
        <f t="shared" si="14"/>
        <v>0</v>
      </c>
      <c r="AW36" s="66"/>
      <c r="AX36" s="66"/>
      <c r="AY36" s="66">
        <f t="shared" si="15"/>
        <v>0</v>
      </c>
      <c r="AZ36" s="66"/>
      <c r="BA36" s="66"/>
      <c r="BB36" s="66">
        <f t="shared" si="16"/>
        <v>0</v>
      </c>
      <c r="BC36" s="66"/>
      <c r="BD36" s="66"/>
      <c r="BE36" s="66">
        <f t="shared" si="17"/>
        <v>0</v>
      </c>
      <c r="BF36" s="66"/>
      <c r="BG36" s="66"/>
      <c r="BH36" s="67">
        <f t="shared" si="18"/>
        <v>0</v>
      </c>
      <c r="BI36" s="68">
        <f t="shared" si="19"/>
        <v>1</v>
      </c>
    </row>
    <row r="37" spans="2:61" x14ac:dyDescent="0.25">
      <c r="B37" s="63">
        <v>29</v>
      </c>
      <c r="C37" s="64">
        <f>NOMINATIF!C34</f>
        <v>0</v>
      </c>
      <c r="D37" s="65">
        <f>NOMINATIF!D34</f>
        <v>0</v>
      </c>
      <c r="E37" s="65">
        <f>NOMINATIF!E34</f>
        <v>0</v>
      </c>
      <c r="F37" s="53">
        <f t="shared" si="0"/>
        <v>0</v>
      </c>
      <c r="G37" s="53"/>
      <c r="H37" s="53"/>
      <c r="I37" s="53">
        <f t="shared" si="1"/>
        <v>0</v>
      </c>
      <c r="J37" s="53"/>
      <c r="K37" s="53"/>
      <c r="L37" s="53">
        <f t="shared" si="2"/>
        <v>0</v>
      </c>
      <c r="M37" s="53"/>
      <c r="N37" s="53"/>
      <c r="O37" s="53">
        <f t="shared" si="3"/>
        <v>0</v>
      </c>
      <c r="P37" s="53"/>
      <c r="Q37" s="53"/>
      <c r="R37" s="53">
        <f t="shared" si="4"/>
        <v>0</v>
      </c>
      <c r="S37" s="53"/>
      <c r="T37" s="53"/>
      <c r="U37" s="53">
        <f t="shared" si="5"/>
        <v>0</v>
      </c>
      <c r="V37" s="53"/>
      <c r="W37" s="53"/>
      <c r="X37" s="53">
        <f t="shared" si="6"/>
        <v>0</v>
      </c>
      <c r="Y37" s="53"/>
      <c r="Z37" s="53"/>
      <c r="AA37" s="53">
        <f t="shared" si="7"/>
        <v>0</v>
      </c>
      <c r="AB37" s="53"/>
      <c r="AC37" s="53"/>
      <c r="AD37" s="53">
        <f t="shared" si="8"/>
        <v>0</v>
      </c>
      <c r="AE37" s="53"/>
      <c r="AF37" s="53"/>
      <c r="AG37" s="53">
        <f t="shared" si="9"/>
        <v>0</v>
      </c>
      <c r="AH37" s="53"/>
      <c r="AI37" s="53"/>
      <c r="AJ37" s="53">
        <f t="shared" si="10"/>
        <v>0</v>
      </c>
      <c r="AK37" s="53"/>
      <c r="AL37" s="53"/>
      <c r="AM37" s="53">
        <f t="shared" si="11"/>
        <v>0</v>
      </c>
      <c r="AN37" s="53"/>
      <c r="AO37" s="53"/>
      <c r="AP37" s="53">
        <f t="shared" si="12"/>
        <v>0</v>
      </c>
      <c r="AQ37" s="53"/>
      <c r="AR37" s="53"/>
      <c r="AS37" s="66">
        <f t="shared" si="13"/>
        <v>0</v>
      </c>
      <c r="AT37" s="66"/>
      <c r="AU37" s="66"/>
      <c r="AV37" s="66">
        <f t="shared" si="14"/>
        <v>0</v>
      </c>
      <c r="AW37" s="66"/>
      <c r="AX37" s="66"/>
      <c r="AY37" s="66">
        <f t="shared" si="15"/>
        <v>0</v>
      </c>
      <c r="AZ37" s="66"/>
      <c r="BA37" s="66"/>
      <c r="BB37" s="66">
        <f t="shared" si="16"/>
        <v>0</v>
      </c>
      <c r="BC37" s="66"/>
      <c r="BD37" s="66"/>
      <c r="BE37" s="66">
        <f t="shared" si="17"/>
        <v>0</v>
      </c>
      <c r="BF37" s="66"/>
      <c r="BG37" s="66"/>
      <c r="BH37" s="67">
        <f t="shared" si="18"/>
        <v>0</v>
      </c>
      <c r="BI37" s="68">
        <f t="shared" si="19"/>
        <v>1</v>
      </c>
    </row>
    <row r="38" spans="2:61" x14ac:dyDescent="0.25">
      <c r="B38" s="63">
        <v>30</v>
      </c>
      <c r="C38" s="64">
        <f>NOMINATIF!C35</f>
        <v>0</v>
      </c>
      <c r="D38" s="65">
        <f>NOMINATIF!D35</f>
        <v>0</v>
      </c>
      <c r="E38" s="65">
        <f>NOMINATIF!E35</f>
        <v>0</v>
      </c>
      <c r="F38" s="53">
        <f t="shared" si="0"/>
        <v>0</v>
      </c>
      <c r="G38" s="53"/>
      <c r="H38" s="53"/>
      <c r="I38" s="53">
        <f t="shared" si="1"/>
        <v>0</v>
      </c>
      <c r="J38" s="53"/>
      <c r="K38" s="53"/>
      <c r="L38" s="53">
        <f t="shared" si="2"/>
        <v>0</v>
      </c>
      <c r="M38" s="53"/>
      <c r="N38" s="53"/>
      <c r="O38" s="53">
        <f t="shared" si="3"/>
        <v>0</v>
      </c>
      <c r="P38" s="53"/>
      <c r="Q38" s="53"/>
      <c r="R38" s="53">
        <f t="shared" si="4"/>
        <v>0</v>
      </c>
      <c r="S38" s="53"/>
      <c r="T38" s="53"/>
      <c r="U38" s="53">
        <f t="shared" si="5"/>
        <v>0</v>
      </c>
      <c r="V38" s="53"/>
      <c r="W38" s="53"/>
      <c r="X38" s="53">
        <f t="shared" si="6"/>
        <v>0</v>
      </c>
      <c r="Y38" s="53"/>
      <c r="Z38" s="53"/>
      <c r="AA38" s="53">
        <f t="shared" si="7"/>
        <v>0</v>
      </c>
      <c r="AB38" s="53"/>
      <c r="AC38" s="53"/>
      <c r="AD38" s="53">
        <f t="shared" si="8"/>
        <v>0</v>
      </c>
      <c r="AE38" s="53"/>
      <c r="AF38" s="53"/>
      <c r="AG38" s="53">
        <f t="shared" si="9"/>
        <v>0</v>
      </c>
      <c r="AH38" s="53"/>
      <c r="AI38" s="53"/>
      <c r="AJ38" s="53">
        <f t="shared" si="10"/>
        <v>0</v>
      </c>
      <c r="AK38" s="53"/>
      <c r="AL38" s="53"/>
      <c r="AM38" s="53">
        <f t="shared" si="11"/>
        <v>0</v>
      </c>
      <c r="AN38" s="53"/>
      <c r="AO38" s="53"/>
      <c r="AP38" s="53">
        <f t="shared" si="12"/>
        <v>0</v>
      </c>
      <c r="AQ38" s="53"/>
      <c r="AR38" s="53"/>
      <c r="AS38" s="66">
        <f t="shared" si="13"/>
        <v>0</v>
      </c>
      <c r="AT38" s="66"/>
      <c r="AU38" s="66"/>
      <c r="AV38" s="66">
        <f t="shared" si="14"/>
        <v>0</v>
      </c>
      <c r="AW38" s="66"/>
      <c r="AX38" s="66"/>
      <c r="AY38" s="66">
        <f t="shared" si="15"/>
        <v>0</v>
      </c>
      <c r="AZ38" s="66"/>
      <c r="BA38" s="66"/>
      <c r="BB38" s="66">
        <f t="shared" si="16"/>
        <v>0</v>
      </c>
      <c r="BC38" s="66"/>
      <c r="BD38" s="66"/>
      <c r="BE38" s="66">
        <f t="shared" si="17"/>
        <v>0</v>
      </c>
      <c r="BF38" s="66"/>
      <c r="BG38" s="66"/>
      <c r="BH38" s="67">
        <f t="shared" si="18"/>
        <v>0</v>
      </c>
      <c r="BI38" s="68">
        <f t="shared" si="19"/>
        <v>1</v>
      </c>
    </row>
    <row r="39" spans="2:61" x14ac:dyDescent="0.25">
      <c r="B39" s="63">
        <v>31</v>
      </c>
      <c r="C39" s="64">
        <f>NOMINATIF!C36</f>
        <v>0</v>
      </c>
      <c r="D39" s="65">
        <f>NOMINATIF!D36</f>
        <v>0</v>
      </c>
      <c r="E39" s="65">
        <f>NOMINATIF!E36</f>
        <v>0</v>
      </c>
      <c r="F39" s="53">
        <f t="shared" si="0"/>
        <v>0</v>
      </c>
      <c r="G39" s="53"/>
      <c r="H39" s="53"/>
      <c r="I39" s="53">
        <f t="shared" si="1"/>
        <v>0</v>
      </c>
      <c r="J39" s="53"/>
      <c r="K39" s="53"/>
      <c r="L39" s="53">
        <f t="shared" si="2"/>
        <v>0</v>
      </c>
      <c r="M39" s="53"/>
      <c r="N39" s="53"/>
      <c r="O39" s="53">
        <f t="shared" si="3"/>
        <v>0</v>
      </c>
      <c r="P39" s="53"/>
      <c r="Q39" s="53"/>
      <c r="R39" s="53">
        <f t="shared" si="4"/>
        <v>0</v>
      </c>
      <c r="S39" s="53"/>
      <c r="T39" s="53"/>
      <c r="U39" s="53">
        <f t="shared" si="5"/>
        <v>0</v>
      </c>
      <c r="V39" s="53"/>
      <c r="W39" s="53"/>
      <c r="X39" s="53">
        <f t="shared" si="6"/>
        <v>0</v>
      </c>
      <c r="Y39" s="53"/>
      <c r="Z39" s="53"/>
      <c r="AA39" s="53">
        <f t="shared" si="7"/>
        <v>0</v>
      </c>
      <c r="AB39" s="53"/>
      <c r="AC39" s="53"/>
      <c r="AD39" s="53">
        <f t="shared" si="8"/>
        <v>0</v>
      </c>
      <c r="AE39" s="53"/>
      <c r="AF39" s="53"/>
      <c r="AG39" s="53">
        <f t="shared" si="9"/>
        <v>0</v>
      </c>
      <c r="AH39" s="53"/>
      <c r="AI39" s="53"/>
      <c r="AJ39" s="53">
        <f t="shared" si="10"/>
        <v>0</v>
      </c>
      <c r="AK39" s="53"/>
      <c r="AL39" s="53"/>
      <c r="AM39" s="53">
        <f t="shared" si="11"/>
        <v>0</v>
      </c>
      <c r="AN39" s="53"/>
      <c r="AO39" s="53"/>
      <c r="AP39" s="53">
        <f t="shared" si="12"/>
        <v>0</v>
      </c>
      <c r="AQ39" s="53"/>
      <c r="AR39" s="53"/>
      <c r="AS39" s="66">
        <f t="shared" si="13"/>
        <v>0</v>
      </c>
      <c r="AT39" s="66"/>
      <c r="AU39" s="66"/>
      <c r="AV39" s="66">
        <f t="shared" si="14"/>
        <v>0</v>
      </c>
      <c r="AW39" s="66"/>
      <c r="AX39" s="66"/>
      <c r="AY39" s="66">
        <f t="shared" si="15"/>
        <v>0</v>
      </c>
      <c r="AZ39" s="66"/>
      <c r="BA39" s="66"/>
      <c r="BB39" s="66">
        <f t="shared" si="16"/>
        <v>0</v>
      </c>
      <c r="BC39" s="66"/>
      <c r="BD39" s="66"/>
      <c r="BE39" s="66">
        <f t="shared" si="17"/>
        <v>0</v>
      </c>
      <c r="BF39" s="66"/>
      <c r="BG39" s="66"/>
      <c r="BH39" s="67">
        <f t="shared" si="18"/>
        <v>0</v>
      </c>
      <c r="BI39" s="68">
        <f t="shared" si="19"/>
        <v>1</v>
      </c>
    </row>
    <row r="40" spans="2:61" x14ac:dyDescent="0.25">
      <c r="B40" s="63">
        <v>32</v>
      </c>
      <c r="C40" s="64">
        <f>NOMINATIF!C37</f>
        <v>0</v>
      </c>
      <c r="D40" s="65">
        <f>NOMINATIF!D37</f>
        <v>0</v>
      </c>
      <c r="E40" s="65">
        <f>NOMINATIF!E37</f>
        <v>0</v>
      </c>
      <c r="F40" s="53">
        <f t="shared" si="0"/>
        <v>0</v>
      </c>
      <c r="G40" s="53"/>
      <c r="H40" s="53"/>
      <c r="I40" s="53">
        <f t="shared" si="1"/>
        <v>0</v>
      </c>
      <c r="J40" s="53"/>
      <c r="K40" s="53"/>
      <c r="L40" s="53">
        <f t="shared" si="2"/>
        <v>0</v>
      </c>
      <c r="M40" s="53"/>
      <c r="N40" s="53"/>
      <c r="O40" s="53">
        <f t="shared" si="3"/>
        <v>0</v>
      </c>
      <c r="P40" s="53"/>
      <c r="Q40" s="53"/>
      <c r="R40" s="53">
        <f t="shared" si="4"/>
        <v>0</v>
      </c>
      <c r="S40" s="53"/>
      <c r="T40" s="53"/>
      <c r="U40" s="53">
        <f t="shared" si="5"/>
        <v>0</v>
      </c>
      <c r="V40" s="53"/>
      <c r="W40" s="53"/>
      <c r="X40" s="53">
        <f t="shared" si="6"/>
        <v>0</v>
      </c>
      <c r="Y40" s="53"/>
      <c r="Z40" s="53"/>
      <c r="AA40" s="53">
        <f t="shared" si="7"/>
        <v>0</v>
      </c>
      <c r="AB40" s="53"/>
      <c r="AC40" s="53"/>
      <c r="AD40" s="53">
        <f t="shared" si="8"/>
        <v>0</v>
      </c>
      <c r="AE40" s="53"/>
      <c r="AF40" s="53"/>
      <c r="AG40" s="53">
        <f t="shared" si="9"/>
        <v>0</v>
      </c>
      <c r="AH40" s="53"/>
      <c r="AI40" s="53"/>
      <c r="AJ40" s="53">
        <f t="shared" si="10"/>
        <v>0</v>
      </c>
      <c r="AK40" s="53"/>
      <c r="AL40" s="53"/>
      <c r="AM40" s="53">
        <f t="shared" si="11"/>
        <v>0</v>
      </c>
      <c r="AN40" s="53"/>
      <c r="AO40" s="53"/>
      <c r="AP40" s="53">
        <f t="shared" si="12"/>
        <v>0</v>
      </c>
      <c r="AQ40" s="53"/>
      <c r="AR40" s="53"/>
      <c r="AS40" s="66">
        <f t="shared" si="13"/>
        <v>0</v>
      </c>
      <c r="AT40" s="66"/>
      <c r="AU40" s="66"/>
      <c r="AV40" s="66">
        <f t="shared" si="14"/>
        <v>0</v>
      </c>
      <c r="AW40" s="66"/>
      <c r="AX40" s="66"/>
      <c r="AY40" s="66">
        <f t="shared" si="15"/>
        <v>0</v>
      </c>
      <c r="AZ40" s="66"/>
      <c r="BA40" s="66"/>
      <c r="BB40" s="66">
        <f t="shared" si="16"/>
        <v>0</v>
      </c>
      <c r="BC40" s="66"/>
      <c r="BD40" s="66"/>
      <c r="BE40" s="66">
        <f t="shared" si="17"/>
        <v>0</v>
      </c>
      <c r="BF40" s="66"/>
      <c r="BG40" s="66"/>
      <c r="BH40" s="67">
        <f t="shared" si="18"/>
        <v>0</v>
      </c>
      <c r="BI40" s="68">
        <f t="shared" si="19"/>
        <v>1</v>
      </c>
    </row>
    <row r="41" spans="2:61" x14ac:dyDescent="0.25">
      <c r="B41" s="63">
        <v>33</v>
      </c>
      <c r="C41" s="64">
        <f>NOMINATIF!C38</f>
        <v>0</v>
      </c>
      <c r="D41" s="65">
        <f>NOMINATIF!D38</f>
        <v>0</v>
      </c>
      <c r="E41" s="65">
        <f>NOMINATIF!E38</f>
        <v>0</v>
      </c>
      <c r="F41" s="53">
        <f t="shared" si="0"/>
        <v>0</v>
      </c>
      <c r="G41" s="53"/>
      <c r="H41" s="53"/>
      <c r="I41" s="53">
        <f t="shared" si="1"/>
        <v>0</v>
      </c>
      <c r="J41" s="53"/>
      <c r="K41" s="53"/>
      <c r="L41" s="53">
        <f t="shared" si="2"/>
        <v>0</v>
      </c>
      <c r="M41" s="53"/>
      <c r="N41" s="53"/>
      <c r="O41" s="53">
        <f t="shared" si="3"/>
        <v>0</v>
      </c>
      <c r="P41" s="53"/>
      <c r="Q41" s="53"/>
      <c r="R41" s="53">
        <f t="shared" si="4"/>
        <v>0</v>
      </c>
      <c r="S41" s="53"/>
      <c r="T41" s="53"/>
      <c r="U41" s="53">
        <f t="shared" si="5"/>
        <v>0</v>
      </c>
      <c r="V41" s="53"/>
      <c r="W41" s="53"/>
      <c r="X41" s="53">
        <f t="shared" si="6"/>
        <v>0</v>
      </c>
      <c r="Y41" s="53"/>
      <c r="Z41" s="53"/>
      <c r="AA41" s="53">
        <f t="shared" si="7"/>
        <v>0</v>
      </c>
      <c r="AB41" s="53"/>
      <c r="AC41" s="53"/>
      <c r="AD41" s="53">
        <f t="shared" si="8"/>
        <v>0</v>
      </c>
      <c r="AE41" s="53"/>
      <c r="AF41" s="53"/>
      <c r="AG41" s="53">
        <f t="shared" si="9"/>
        <v>0</v>
      </c>
      <c r="AH41" s="53"/>
      <c r="AI41" s="53"/>
      <c r="AJ41" s="53">
        <f t="shared" si="10"/>
        <v>0</v>
      </c>
      <c r="AK41" s="53"/>
      <c r="AL41" s="53"/>
      <c r="AM41" s="53">
        <f t="shared" si="11"/>
        <v>0</v>
      </c>
      <c r="AN41" s="53"/>
      <c r="AO41" s="53"/>
      <c r="AP41" s="53">
        <f t="shared" si="12"/>
        <v>0</v>
      </c>
      <c r="AQ41" s="53"/>
      <c r="AR41" s="53"/>
      <c r="AS41" s="66">
        <f t="shared" si="13"/>
        <v>0</v>
      </c>
      <c r="AT41" s="66"/>
      <c r="AU41" s="66"/>
      <c r="AV41" s="66">
        <f t="shared" si="14"/>
        <v>0</v>
      </c>
      <c r="AW41" s="66"/>
      <c r="AX41" s="66"/>
      <c r="AY41" s="66">
        <f t="shared" si="15"/>
        <v>0</v>
      </c>
      <c r="AZ41" s="66"/>
      <c r="BA41" s="66"/>
      <c r="BB41" s="66">
        <f t="shared" si="16"/>
        <v>0</v>
      </c>
      <c r="BC41" s="66"/>
      <c r="BD41" s="66"/>
      <c r="BE41" s="66">
        <f t="shared" si="17"/>
        <v>0</v>
      </c>
      <c r="BF41" s="66"/>
      <c r="BG41" s="66"/>
      <c r="BH41" s="67">
        <f t="shared" si="18"/>
        <v>0</v>
      </c>
      <c r="BI41" s="68">
        <f t="shared" si="19"/>
        <v>1</v>
      </c>
    </row>
    <row r="42" spans="2:61" x14ac:dyDescent="0.25">
      <c r="B42" s="63">
        <v>34</v>
      </c>
      <c r="C42" s="64">
        <f>NOMINATIF!C39</f>
        <v>0</v>
      </c>
      <c r="D42" s="65">
        <f>NOMINATIF!D39</f>
        <v>0</v>
      </c>
      <c r="E42" s="65">
        <f>NOMINATIF!E39</f>
        <v>0</v>
      </c>
      <c r="F42" s="53">
        <f t="shared" si="0"/>
        <v>0</v>
      </c>
      <c r="G42" s="53"/>
      <c r="H42" s="53"/>
      <c r="I42" s="53">
        <f t="shared" si="1"/>
        <v>0</v>
      </c>
      <c r="J42" s="53"/>
      <c r="K42" s="53"/>
      <c r="L42" s="53">
        <f t="shared" si="2"/>
        <v>0</v>
      </c>
      <c r="M42" s="53"/>
      <c r="N42" s="53"/>
      <c r="O42" s="53">
        <f t="shared" si="3"/>
        <v>0</v>
      </c>
      <c r="P42" s="53"/>
      <c r="Q42" s="53"/>
      <c r="R42" s="53">
        <f t="shared" si="4"/>
        <v>0</v>
      </c>
      <c r="S42" s="53"/>
      <c r="T42" s="53"/>
      <c r="U42" s="53">
        <f t="shared" si="5"/>
        <v>0</v>
      </c>
      <c r="V42" s="53"/>
      <c r="W42" s="53"/>
      <c r="X42" s="53">
        <f t="shared" si="6"/>
        <v>0</v>
      </c>
      <c r="Y42" s="53"/>
      <c r="Z42" s="53"/>
      <c r="AA42" s="53">
        <f t="shared" si="7"/>
        <v>0</v>
      </c>
      <c r="AB42" s="53"/>
      <c r="AC42" s="53"/>
      <c r="AD42" s="53">
        <f t="shared" si="8"/>
        <v>0</v>
      </c>
      <c r="AE42" s="53"/>
      <c r="AF42" s="53"/>
      <c r="AG42" s="53">
        <f t="shared" si="9"/>
        <v>0</v>
      </c>
      <c r="AH42" s="53"/>
      <c r="AI42" s="53"/>
      <c r="AJ42" s="53">
        <f t="shared" si="10"/>
        <v>0</v>
      </c>
      <c r="AK42" s="53"/>
      <c r="AL42" s="53"/>
      <c r="AM42" s="53">
        <f t="shared" si="11"/>
        <v>0</v>
      </c>
      <c r="AN42" s="53"/>
      <c r="AO42" s="53"/>
      <c r="AP42" s="53">
        <f t="shared" si="12"/>
        <v>0</v>
      </c>
      <c r="AQ42" s="53"/>
      <c r="AR42" s="53"/>
      <c r="AS42" s="66">
        <f t="shared" si="13"/>
        <v>0</v>
      </c>
      <c r="AT42" s="66"/>
      <c r="AU42" s="66"/>
      <c r="AV42" s="66">
        <f t="shared" si="14"/>
        <v>0</v>
      </c>
      <c r="AW42" s="66"/>
      <c r="AX42" s="66"/>
      <c r="AY42" s="66">
        <f t="shared" si="15"/>
        <v>0</v>
      </c>
      <c r="AZ42" s="66"/>
      <c r="BA42" s="66"/>
      <c r="BB42" s="66">
        <f t="shared" si="16"/>
        <v>0</v>
      </c>
      <c r="BC42" s="66"/>
      <c r="BD42" s="66"/>
      <c r="BE42" s="66">
        <f t="shared" si="17"/>
        <v>0</v>
      </c>
      <c r="BF42" s="66"/>
      <c r="BG42" s="66"/>
      <c r="BH42" s="67">
        <f t="shared" si="18"/>
        <v>0</v>
      </c>
      <c r="BI42" s="68">
        <f t="shared" si="19"/>
        <v>1</v>
      </c>
    </row>
    <row r="43" spans="2:61" x14ac:dyDescent="0.25">
      <c r="B43" s="63">
        <v>35</v>
      </c>
      <c r="C43" s="64">
        <f>NOMINATIF!C40</f>
        <v>0</v>
      </c>
      <c r="D43" s="65">
        <f>NOMINATIF!D40</f>
        <v>0</v>
      </c>
      <c r="E43" s="65">
        <f>NOMINATIF!E40</f>
        <v>0</v>
      </c>
      <c r="F43" s="53">
        <f t="shared" si="0"/>
        <v>0</v>
      </c>
      <c r="G43" s="53"/>
      <c r="H43" s="53"/>
      <c r="I43" s="53">
        <f t="shared" si="1"/>
        <v>0</v>
      </c>
      <c r="J43" s="53"/>
      <c r="K43" s="53"/>
      <c r="L43" s="53">
        <f t="shared" si="2"/>
        <v>0</v>
      </c>
      <c r="M43" s="53"/>
      <c r="N43" s="53"/>
      <c r="O43" s="53">
        <f t="shared" si="3"/>
        <v>0</v>
      </c>
      <c r="P43" s="53"/>
      <c r="Q43" s="53"/>
      <c r="R43" s="53">
        <f t="shared" si="4"/>
        <v>0</v>
      </c>
      <c r="S43" s="53"/>
      <c r="T43" s="53"/>
      <c r="U43" s="53">
        <f t="shared" si="5"/>
        <v>0</v>
      </c>
      <c r="V43" s="53"/>
      <c r="W43" s="53"/>
      <c r="X43" s="53">
        <f t="shared" si="6"/>
        <v>0</v>
      </c>
      <c r="Y43" s="53"/>
      <c r="Z43" s="53"/>
      <c r="AA43" s="53">
        <f t="shared" si="7"/>
        <v>0</v>
      </c>
      <c r="AB43" s="53"/>
      <c r="AC43" s="53"/>
      <c r="AD43" s="53">
        <f t="shared" si="8"/>
        <v>0</v>
      </c>
      <c r="AE43" s="53"/>
      <c r="AF43" s="53"/>
      <c r="AG43" s="53">
        <f t="shared" si="9"/>
        <v>0</v>
      </c>
      <c r="AH43" s="53"/>
      <c r="AI43" s="53"/>
      <c r="AJ43" s="53">
        <f t="shared" si="10"/>
        <v>0</v>
      </c>
      <c r="AK43" s="53"/>
      <c r="AL43" s="53"/>
      <c r="AM43" s="53">
        <f t="shared" si="11"/>
        <v>0</v>
      </c>
      <c r="AN43" s="53"/>
      <c r="AO43" s="53"/>
      <c r="AP43" s="53">
        <f t="shared" si="12"/>
        <v>0</v>
      </c>
      <c r="AQ43" s="53"/>
      <c r="AR43" s="53"/>
      <c r="AS43" s="66">
        <f t="shared" si="13"/>
        <v>0</v>
      </c>
      <c r="AT43" s="66"/>
      <c r="AU43" s="66"/>
      <c r="AV43" s="66">
        <f t="shared" si="14"/>
        <v>0</v>
      </c>
      <c r="AW43" s="66"/>
      <c r="AX43" s="66"/>
      <c r="AY43" s="66">
        <f t="shared" si="15"/>
        <v>0</v>
      </c>
      <c r="AZ43" s="66"/>
      <c r="BA43" s="66"/>
      <c r="BB43" s="66">
        <f t="shared" si="16"/>
        <v>0</v>
      </c>
      <c r="BC43" s="66"/>
      <c r="BD43" s="66"/>
      <c r="BE43" s="66">
        <f t="shared" si="17"/>
        <v>0</v>
      </c>
      <c r="BF43" s="66"/>
      <c r="BG43" s="66"/>
      <c r="BH43" s="67">
        <f t="shared" si="18"/>
        <v>0</v>
      </c>
      <c r="BI43" s="68">
        <f t="shared" si="19"/>
        <v>1</v>
      </c>
    </row>
    <row r="44" spans="2:61" x14ac:dyDescent="0.25"/>
    <row r="45" spans="2:61" x14ac:dyDescent="0.25"/>
    <row r="46" spans="2:61" x14ac:dyDescent="0.25"/>
  </sheetData>
  <sheetProtection selectLockedCells="1"/>
  <mergeCells count="25">
    <mergeCell ref="AD6:AF6"/>
    <mergeCell ref="B3:BI3"/>
    <mergeCell ref="B5:B7"/>
    <mergeCell ref="C5:C7"/>
    <mergeCell ref="D5:D7"/>
    <mergeCell ref="E5:E7"/>
    <mergeCell ref="BH5:BH6"/>
    <mergeCell ref="BI5:BI6"/>
    <mergeCell ref="F6:H6"/>
    <mergeCell ref="I6:K6"/>
    <mergeCell ref="L6:N6"/>
    <mergeCell ref="O6:Q6"/>
    <mergeCell ref="R6:T6"/>
    <mergeCell ref="U6:W6"/>
    <mergeCell ref="X6:Z6"/>
    <mergeCell ref="AA6:AC6"/>
    <mergeCell ref="AY6:BA6"/>
    <mergeCell ref="BB6:BD6"/>
    <mergeCell ref="BE6:BG6"/>
    <mergeCell ref="AG6:AI6"/>
    <mergeCell ref="AJ6:AL6"/>
    <mergeCell ref="AM6:AO6"/>
    <mergeCell ref="AP6:AR6"/>
    <mergeCell ref="AS6:AU6"/>
    <mergeCell ref="AV6:AX6"/>
  </mergeCells>
  <pageMargins left="0.7" right="0.7" top="0.75" bottom="0.75" header="0.3" footer="0.3"/>
  <pageSetup orientation="portrait" r:id="rId1"/>
  <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5">
    <tabColor rgb="FF00B0F0"/>
  </sheetPr>
  <dimension ref="A1:AC54"/>
  <sheetViews>
    <sheetView workbookViewId="0">
      <selection activeCell="P26" sqref="P26"/>
    </sheetView>
  </sheetViews>
  <sheetFormatPr defaultColWidth="0" defaultRowHeight="0" customHeight="1" zeroHeight="1" x14ac:dyDescent="0.25"/>
  <cols>
    <col min="1" max="1" width="1.5703125" style="12" customWidth="1"/>
    <col min="2" max="2" width="3.85546875" customWidth="1"/>
    <col min="3" max="3" width="16.7109375" customWidth="1"/>
    <col min="4" max="4" width="1.140625" customWidth="1"/>
    <col min="5" max="5" width="22.42578125" customWidth="1"/>
    <col min="6" max="6" width="9.42578125" customWidth="1"/>
    <col min="7" max="7" width="2" customWidth="1"/>
    <col min="8" max="8" width="17.5703125" customWidth="1"/>
    <col min="9" max="9" width="2.28515625" customWidth="1"/>
    <col min="10" max="10" width="16.140625" hidden="1" customWidth="1"/>
    <col min="11" max="11" width="1.85546875" hidden="1" customWidth="1"/>
    <col min="12" max="12" width="5.140625" customWidth="1"/>
    <col min="13" max="13" width="29.140625" customWidth="1"/>
    <col min="14" max="14" width="1.7109375" customWidth="1"/>
    <col min="15" max="16" width="9.140625" customWidth="1"/>
    <col min="17" max="17" width="2.42578125" customWidth="1"/>
    <col min="18" max="18" width="16.7109375" customWidth="1"/>
    <col min="19" max="19" width="1" customWidth="1"/>
    <col min="20" max="20" width="1.7109375" style="12" customWidth="1"/>
    <col min="21" max="29" width="0" hidden="1" customWidth="1"/>
    <col min="30" max="16384" width="9.140625" hidden="1"/>
  </cols>
  <sheetData>
    <row r="1" spans="2:29" s="12" customFormat="1" ht="7.5" customHeight="1" x14ac:dyDescent="0.25">
      <c r="S1"/>
    </row>
    <row r="2" spans="2:29" ht="15.75" x14ac:dyDescent="0.25">
      <c r="C2" s="3"/>
      <c r="D2" s="204" t="s">
        <v>11</v>
      </c>
      <c r="E2" s="204"/>
      <c r="F2" s="204"/>
      <c r="G2" s="204"/>
      <c r="H2" s="204"/>
      <c r="I2" s="204"/>
      <c r="J2" s="204"/>
      <c r="K2" s="204"/>
      <c r="L2" s="204"/>
      <c r="M2" s="204"/>
      <c r="V2" s="204"/>
      <c r="W2" s="204"/>
      <c r="X2" s="204"/>
      <c r="Y2" s="204"/>
      <c r="Z2" s="204"/>
      <c r="AA2" s="204"/>
      <c r="AB2" s="204"/>
      <c r="AC2" s="204"/>
    </row>
    <row r="3" spans="2:29" ht="15.75" x14ac:dyDescent="0.25">
      <c r="C3" s="3"/>
      <c r="D3" s="204" t="s">
        <v>12</v>
      </c>
      <c r="E3" s="204"/>
      <c r="F3" s="204"/>
      <c r="G3" s="204"/>
      <c r="H3" s="204"/>
      <c r="I3" s="204"/>
      <c r="J3" s="204"/>
      <c r="K3" s="204"/>
      <c r="L3" s="204"/>
      <c r="M3" s="204"/>
      <c r="V3" s="204"/>
      <c r="W3" s="204"/>
      <c r="X3" s="204"/>
      <c r="Y3" s="204"/>
      <c r="Z3" s="204"/>
      <c r="AA3" s="204"/>
      <c r="AB3" s="204"/>
      <c r="AC3" s="204"/>
    </row>
    <row r="4" spans="2:29" ht="15.75" x14ac:dyDescent="0.25">
      <c r="C4" s="1"/>
      <c r="D4" s="203" t="s">
        <v>13</v>
      </c>
      <c r="E4" s="203"/>
      <c r="F4" s="203"/>
      <c r="G4" s="203"/>
      <c r="H4" s="203"/>
      <c r="I4" s="203"/>
      <c r="J4" s="203"/>
      <c r="K4" s="203"/>
      <c r="L4" s="203"/>
      <c r="M4" s="203"/>
      <c r="V4" s="203"/>
      <c r="W4" s="203"/>
      <c r="X4" s="203"/>
      <c r="Y4" s="203"/>
      <c r="Z4" s="203"/>
      <c r="AA4" s="203"/>
      <c r="AB4" s="203"/>
      <c r="AC4" s="203"/>
    </row>
    <row r="5" spans="2:29" ht="15.75" x14ac:dyDescent="0.25">
      <c r="C5" s="1"/>
      <c r="D5" s="203" t="s">
        <v>14</v>
      </c>
      <c r="E5" s="203"/>
      <c r="F5" s="203"/>
      <c r="G5" s="203"/>
      <c r="H5" s="203"/>
      <c r="I5" s="203"/>
      <c r="J5" s="203"/>
      <c r="K5" s="203"/>
      <c r="L5" s="203"/>
      <c r="M5" s="203"/>
      <c r="V5" s="203"/>
      <c r="W5" s="203"/>
      <c r="X5" s="203"/>
      <c r="Y5" s="203"/>
      <c r="Z5" s="203"/>
      <c r="AA5" s="203"/>
      <c r="AB5" s="203"/>
      <c r="AC5" s="203"/>
    </row>
    <row r="6" spans="2:29" ht="16.5" thickBot="1" x14ac:dyDescent="0.3">
      <c r="C6" s="3"/>
      <c r="D6" s="204" t="s">
        <v>1</v>
      </c>
      <c r="E6" s="204"/>
      <c r="F6" s="204"/>
      <c r="G6" s="204"/>
      <c r="H6" s="204"/>
      <c r="I6" s="204"/>
      <c r="J6" s="204"/>
      <c r="K6" s="204"/>
      <c r="L6" s="204"/>
      <c r="M6" s="204"/>
      <c r="V6" s="204"/>
      <c r="W6" s="204"/>
      <c r="X6" s="204"/>
      <c r="Y6" s="204"/>
      <c r="Z6" s="204"/>
      <c r="AA6" s="204"/>
      <c r="AB6" s="204"/>
      <c r="AC6" s="204"/>
    </row>
    <row r="7" spans="2:29" ht="15.75" x14ac:dyDescent="0.25">
      <c r="C7" s="1"/>
      <c r="D7" s="203" t="s">
        <v>15</v>
      </c>
      <c r="E7" s="203"/>
      <c r="F7" s="203"/>
      <c r="G7" s="203"/>
      <c r="H7" s="203"/>
      <c r="I7" s="203"/>
      <c r="J7" s="203"/>
      <c r="K7" s="203"/>
      <c r="L7" s="203"/>
      <c r="M7" s="203"/>
      <c r="O7" s="326" t="s">
        <v>69</v>
      </c>
      <c r="P7" s="327"/>
      <c r="Q7" s="327"/>
      <c r="R7" s="328"/>
      <c r="S7" s="19"/>
      <c r="V7" s="203"/>
      <c r="W7" s="203"/>
      <c r="X7" s="203"/>
      <c r="Y7" s="203"/>
      <c r="Z7" s="203"/>
      <c r="AA7" s="203"/>
      <c r="AB7" s="203"/>
      <c r="AC7" s="203"/>
    </row>
    <row r="8" spans="2:29" ht="15.75" x14ac:dyDescent="0.25">
      <c r="C8" s="1"/>
      <c r="D8" s="203" t="s">
        <v>16</v>
      </c>
      <c r="E8" s="203"/>
      <c r="F8" s="203"/>
      <c r="G8" s="203"/>
      <c r="H8" s="203"/>
      <c r="I8" s="203"/>
      <c r="J8" s="203"/>
      <c r="K8" s="203"/>
      <c r="L8" s="203"/>
      <c r="M8" s="203"/>
      <c r="O8" s="329"/>
      <c r="P8" s="330"/>
      <c r="Q8" s="330"/>
      <c r="R8" s="331"/>
      <c r="V8" s="203"/>
      <c r="W8" s="203"/>
      <c r="X8" s="203"/>
      <c r="Y8" s="203"/>
      <c r="Z8" s="203"/>
      <c r="AA8" s="203"/>
      <c r="AB8" s="203"/>
      <c r="AC8" s="203"/>
    </row>
    <row r="9" spans="2:29" ht="16.5" thickBot="1" x14ac:dyDescent="0.3">
      <c r="C9" s="2"/>
      <c r="D9" s="230" t="s">
        <v>17</v>
      </c>
      <c r="E9" s="230"/>
      <c r="F9" s="230"/>
      <c r="G9" s="230"/>
      <c r="H9" s="230"/>
      <c r="I9" s="230"/>
      <c r="J9" s="230"/>
      <c r="K9" s="230"/>
      <c r="L9" s="230"/>
      <c r="M9" s="230"/>
      <c r="O9" s="22"/>
      <c r="P9" s="325" t="s">
        <v>70</v>
      </c>
      <c r="Q9" s="325"/>
      <c r="R9" s="228">
        <v>1</v>
      </c>
      <c r="V9" s="230"/>
      <c r="W9" s="230"/>
      <c r="X9" s="230"/>
      <c r="Y9" s="230"/>
      <c r="Z9" s="230"/>
      <c r="AA9" s="230"/>
      <c r="AB9" s="230"/>
      <c r="AC9" s="230"/>
    </row>
    <row r="10" spans="2:29" ht="5.25" customHeight="1" thickTop="1" x14ac:dyDescent="0.25">
      <c r="B10" s="231"/>
      <c r="C10" s="232"/>
      <c r="D10" s="232"/>
      <c r="E10" s="232"/>
      <c r="F10" s="232"/>
      <c r="G10" s="232"/>
      <c r="H10" s="232"/>
      <c r="I10" s="232"/>
      <c r="J10" s="232"/>
      <c r="K10" s="232"/>
      <c r="L10" s="232"/>
      <c r="M10" s="232"/>
      <c r="O10" s="22"/>
      <c r="P10" s="325"/>
      <c r="Q10" s="325"/>
      <c r="R10" s="228"/>
    </row>
    <row r="11" spans="2:29" ht="15.75" x14ac:dyDescent="0.25">
      <c r="B11" s="226" t="str">
        <f>HOME!G6</f>
        <v>HASIL PENILAIAN TENGAH SEMESTER GENAP</v>
      </c>
      <c r="C11" s="226"/>
      <c r="D11" s="226"/>
      <c r="E11" s="226"/>
      <c r="F11" s="226"/>
      <c r="G11" s="226"/>
      <c r="H11" s="226"/>
      <c r="I11" s="226"/>
      <c r="J11" s="226"/>
      <c r="K11" s="226"/>
      <c r="L11" s="226"/>
      <c r="M11" s="226"/>
      <c r="O11" s="22"/>
      <c r="P11" s="325"/>
      <c r="Q11" s="325"/>
      <c r="R11" s="228"/>
    </row>
    <row r="12" spans="2:29" ht="15.75" x14ac:dyDescent="0.25">
      <c r="B12" s="226" t="str">
        <f>"TAHUN PELAJARAN " &amp; HOME!G7</f>
        <v>TAHUN PELAJARAN 2022/2023</v>
      </c>
      <c r="C12" s="226"/>
      <c r="D12" s="226"/>
      <c r="E12" s="226"/>
      <c r="F12" s="226"/>
      <c r="G12" s="226"/>
      <c r="H12" s="226"/>
      <c r="I12" s="226"/>
      <c r="J12" s="226"/>
      <c r="K12" s="226"/>
      <c r="L12" s="226"/>
      <c r="M12" s="226"/>
      <c r="O12" s="22"/>
      <c r="P12" s="325" t="s">
        <v>71</v>
      </c>
      <c r="Q12" s="325"/>
      <c r="R12" s="228">
        <f>COUNTA(NOMINATIF!C6:C40)</f>
        <v>20</v>
      </c>
    </row>
    <row r="13" spans="2:29" ht="8.25" customHeight="1" x14ac:dyDescent="0.25">
      <c r="B13" s="16"/>
      <c r="C13" s="4"/>
      <c r="D13" s="4"/>
      <c r="E13" s="4"/>
      <c r="F13" s="4"/>
      <c r="G13" s="4"/>
      <c r="H13" s="4"/>
      <c r="I13" s="4"/>
      <c r="J13" s="4"/>
      <c r="K13" s="4"/>
      <c r="L13" s="4"/>
      <c r="M13" s="4"/>
      <c r="O13" s="22"/>
      <c r="P13" s="325"/>
      <c r="Q13" s="325"/>
      <c r="R13" s="228"/>
    </row>
    <row r="14" spans="2:29" ht="15.75" x14ac:dyDescent="0.25">
      <c r="B14" s="224" t="s">
        <v>18</v>
      </c>
      <c r="C14" s="224"/>
      <c r="D14" s="1" t="s">
        <v>6</v>
      </c>
      <c r="E14" s="229" t="str">
        <f>VLOOKUP(R9,'L XI RPL'!$B$9:$BI$43,2)</f>
        <v>AFMALA INSAN QOIRUNISA</v>
      </c>
      <c r="F14" s="229"/>
      <c r="G14" s="18"/>
      <c r="H14" s="1" t="s">
        <v>63</v>
      </c>
      <c r="I14" t="s">
        <v>6</v>
      </c>
      <c r="J14" s="225" t="str">
        <f>HOME!G9</f>
        <v>Teknik Komputer dan Informatika</v>
      </c>
      <c r="K14" s="225"/>
      <c r="L14" s="225"/>
      <c r="M14" s="225"/>
      <c r="O14" s="22"/>
      <c r="P14" s="325"/>
      <c r="Q14" s="325"/>
      <c r="R14" s="228"/>
    </row>
    <row r="15" spans="2:29" ht="15.75" x14ac:dyDescent="0.25">
      <c r="B15" s="224" t="s">
        <v>19</v>
      </c>
      <c r="C15" s="224"/>
      <c r="D15" s="1" t="s">
        <v>6</v>
      </c>
      <c r="E15" s="224" t="str">
        <f>VLOOKUP(R9,'L XI RPL'!$B$9:$BI$43,3) &amp; "/" &amp; VLOOKUP(R9,'L XI RPL'!$B$9:$BI$43,4)</f>
        <v>4020/0059023845</v>
      </c>
      <c r="F15" s="224"/>
      <c r="G15" s="17"/>
      <c r="H15" s="1" t="s">
        <v>10</v>
      </c>
      <c r="I15" t="s">
        <v>6</v>
      </c>
      <c r="J15" s="225" t="str">
        <f>ID!G7</f>
        <v>Akuntansi dan Keuangan Lembaga</v>
      </c>
      <c r="K15" s="225"/>
      <c r="L15" s="225"/>
      <c r="M15" s="225"/>
      <c r="O15" s="22"/>
      <c r="R15" s="23"/>
    </row>
    <row r="16" spans="2:29" ht="15.75" x14ac:dyDescent="0.25">
      <c r="B16" s="224" t="s">
        <v>9</v>
      </c>
      <c r="C16" s="224"/>
      <c r="D16" s="1" t="s">
        <v>6</v>
      </c>
      <c r="E16" s="224" t="str">
        <f>ID!G8</f>
        <v>XII AKL 1</v>
      </c>
      <c r="F16" s="224"/>
      <c r="G16" s="17"/>
      <c r="H16" s="1" t="s">
        <v>20</v>
      </c>
      <c r="I16" t="s">
        <v>6</v>
      </c>
      <c r="J16" s="225" t="str">
        <f>ID!G9</f>
        <v>4/GENAP</v>
      </c>
      <c r="K16" s="225"/>
      <c r="L16" s="225"/>
      <c r="M16" s="225"/>
      <c r="O16" s="22"/>
      <c r="R16" s="23"/>
    </row>
    <row r="17" spans="2:19" s="12" customFormat="1" ht="15" x14ac:dyDescent="0.25">
      <c r="B17"/>
      <c r="C17"/>
      <c r="D17"/>
      <c r="E17"/>
      <c r="F17"/>
      <c r="G17"/>
      <c r="H17"/>
      <c r="I17"/>
      <c r="J17"/>
      <c r="K17"/>
      <c r="L17"/>
      <c r="M17"/>
      <c r="N17"/>
      <c r="O17" s="22"/>
      <c r="P17"/>
      <c r="Q17"/>
      <c r="R17" s="23"/>
      <c r="S17"/>
    </row>
    <row r="18" spans="2:19" s="12" customFormat="1" ht="31.5" customHeight="1" x14ac:dyDescent="0.25">
      <c r="B18" s="15" t="s">
        <v>32</v>
      </c>
      <c r="C18" s="190" t="s">
        <v>33</v>
      </c>
      <c r="D18" s="190"/>
      <c r="E18" s="190"/>
      <c r="F18" s="222" t="s">
        <v>34</v>
      </c>
      <c r="G18" s="223"/>
      <c r="H18" s="222" t="s">
        <v>35</v>
      </c>
      <c r="I18" s="223"/>
      <c r="J18" s="222" t="s">
        <v>66</v>
      </c>
      <c r="K18" s="223"/>
      <c r="L18" s="15" t="s">
        <v>98</v>
      </c>
      <c r="M18" s="15" t="s">
        <v>36</v>
      </c>
      <c r="N18"/>
      <c r="O18" s="22"/>
      <c r="P18"/>
      <c r="Q18"/>
      <c r="R18" s="23"/>
      <c r="S18"/>
    </row>
    <row r="19" spans="2:19" s="12" customFormat="1" ht="15.75" x14ac:dyDescent="0.25">
      <c r="B19" s="188" t="s">
        <v>37</v>
      </c>
      <c r="C19" s="188"/>
      <c r="D19" s="188"/>
      <c r="E19" s="188"/>
      <c r="F19" s="188"/>
      <c r="G19" s="188"/>
      <c r="H19" s="188"/>
      <c r="I19" s="188"/>
      <c r="J19" s="188"/>
      <c r="K19" s="188"/>
      <c r="L19" s="188"/>
      <c r="M19" s="188"/>
      <c r="N19"/>
      <c r="O19" s="22"/>
      <c r="P19"/>
      <c r="Q19"/>
      <c r="R19" s="23"/>
      <c r="S19"/>
    </row>
    <row r="20" spans="2:19" s="12" customFormat="1" ht="15.75" x14ac:dyDescent="0.25">
      <c r="B20" s="11">
        <v>1</v>
      </c>
      <c r="C20" s="189" t="s">
        <v>38</v>
      </c>
      <c r="D20" s="189"/>
      <c r="E20" s="189"/>
      <c r="F20" s="209">
        <f>'MP XI RPL'!G7</f>
        <v>60</v>
      </c>
      <c r="G20" s="210"/>
      <c r="H20" s="211">
        <f>VLOOKUP(R9,'L XI RPL'!$B$9:$BI$43,5)</f>
        <v>0</v>
      </c>
      <c r="I20" s="212"/>
      <c r="J20" s="211">
        <f>VLOOKUP(R9,'L XI RPL'!$B$9:$BI$43,6)</f>
        <v>0</v>
      </c>
      <c r="K20" s="212"/>
      <c r="L20" s="14">
        <f>IF(J20=0,H20,AVERAGE(H20:K20))</f>
        <v>0</v>
      </c>
      <c r="M20" s="14" t="str">
        <f>IF(F20=60,IF(AND(L20&gt;$O$25,L20&lt;$P$25),$R$25,IF(AND(L20&gt;=$O$26,L20&lt;=$P$26),$R$26,IF(AND(L20&gt;=$O$27,L20&lt;=$P$27),$R$27,IF(AND(L20&gt;=$O$28,L20&lt;=$P$28),$R$28,IF(AND(L20&gt;=$O$29,L20&lt;=$P$29),$R$29,IF(AND(L20&gt;=$O$30,L20&lt;=$P$30),$R$30,IF(AND(L20&gt;=$O$31,L20&lt;=$P$31),$R$31,IF(AND(L20&gt;=$O$32,L20&lt;$P$32),$R$32,IF(AND(L20&gt;$O$33,L20&lt;$P$33),$R$33,IF(AND(L20&lt;=$P$34),$R$34,0)))))))))),IF(F20=70,IF(AND(L20&gt;$O$38,L20&lt;$P$38),$R$38,IF(AND(L20&gt;=$O$39,L20&lt;=$P$39),$R$39,IF(AND(L20&gt;=$O$40,L20&lt;=$P$40),$R$40,IF(AND(L20&gt;=$O$41,L20&lt;=$P$41),$R$41,IF(AND(L20&gt;=$O$42,L20&lt;=$P$42),$R$42,IF(AND(L20&gt;=$O$43,L20&lt;=$P$43),$R$43,IF(AND(L20&gt;=$O$44,L20&lt;=$P$44),$R$44,IF(AND(L20&gt;=$O$45,L20&lt;$P$45),$R$45,IF(AND(L20&gt;$O$46,L20&lt;$P$46),$R$46,IF(AND(L20&lt;=$P$47),$R$47,0))))))))))))</f>
        <v>D</v>
      </c>
      <c r="N20"/>
      <c r="O20" s="22"/>
      <c r="P20"/>
      <c r="Q20"/>
      <c r="R20" s="23"/>
      <c r="S20"/>
    </row>
    <row r="21" spans="2:19" s="12" customFormat="1" ht="16.5" thickBot="1" x14ac:dyDescent="0.3">
      <c r="B21" s="11">
        <v>2</v>
      </c>
      <c r="C21" s="189" t="s">
        <v>39</v>
      </c>
      <c r="D21" s="189"/>
      <c r="E21" s="189"/>
      <c r="F21" s="209">
        <f>'MP XI RPL'!G8</f>
        <v>60</v>
      </c>
      <c r="G21" s="210"/>
      <c r="H21" s="211">
        <f>VLOOKUP(R9,'L XI RPL'!$B$9:$BI$43,8)</f>
        <v>0</v>
      </c>
      <c r="I21" s="212"/>
      <c r="J21" s="211">
        <f>VLOOKUP(R9,'L XI RPL'!$B$9:$BI$43,9)</f>
        <v>0</v>
      </c>
      <c r="K21" s="212"/>
      <c r="L21" s="14">
        <f t="shared" ref="L21:L24" si="0">IF(J21=0,H21,AVERAGE(H21:K21))</f>
        <v>0</v>
      </c>
      <c r="M21" s="14" t="str">
        <f t="shared" ref="M21:M24" si="1">IF(F21=60,IF(AND(L21&gt;$O$25,L21&lt;$P$25),$R$25,IF(AND(L21&gt;=$O$26,L21&lt;=$P$26),$R$26,IF(AND(L21&gt;=$O$27,L21&lt;=$P$27),$R$27,IF(AND(L21&gt;=$O$28,L21&lt;=$P$28),$R$28,IF(AND(L21&gt;=$O$29,L21&lt;=$P$29),$R$29,IF(AND(L21&gt;=$O$30,L21&lt;=$P$30),$R$30,IF(AND(L21&gt;=$O$31,L21&lt;=$P$31),$R$31,IF(AND(L21&gt;=$O$32,L21&lt;$P$32),$R$32,IF(AND(L21&gt;$O$33,L21&lt;$P$33),$R$33,IF(AND(L21&lt;=$P$34),$R$34,0)))))))))),IF(F21=70,IF(AND(L21&gt;$O$38,L21&lt;$P$38),$R$38,IF(AND(L21&gt;=$O$39,L21&lt;=$P$39),$R$39,IF(AND(L21&gt;=$O$40,L21&lt;=$P$40),$R$40,IF(AND(L21&gt;=$O$41,L21&lt;=$P$41),$R$41,IF(AND(L21&gt;=$O$42,L21&lt;=$P$42),$R$42,IF(AND(L21&gt;=$O$43,L21&lt;=$P$43),$R$43,IF(AND(L21&gt;=$O$44,L21&lt;=$P$44),$R$44,IF(AND(L21&gt;=$O$45,L21&lt;$P$45),$R$45,IF(AND(L21&gt;$O$46,L21&lt;$P$46),$R$46,IF(AND(L21&lt;=$P$47),$R$47,0))))))))))))</f>
        <v>D</v>
      </c>
      <c r="N21"/>
      <c r="O21" s="25"/>
      <c r="P21" s="26"/>
      <c r="Q21" s="26"/>
      <c r="R21" s="27"/>
      <c r="S21"/>
    </row>
    <row r="22" spans="2:19" s="12" customFormat="1" ht="16.5" thickBot="1" x14ac:dyDescent="0.3">
      <c r="B22" s="11">
        <v>3</v>
      </c>
      <c r="C22" s="189" t="s">
        <v>40</v>
      </c>
      <c r="D22" s="189"/>
      <c r="E22" s="189"/>
      <c r="F22" s="209">
        <f>'MP XI RPL'!G9</f>
        <v>60</v>
      </c>
      <c r="G22" s="210"/>
      <c r="H22" s="211">
        <f>VLOOKUP(R9,'L XI RPL'!$B$9:$BI$43,11)</f>
        <v>0</v>
      </c>
      <c r="I22" s="212"/>
      <c r="J22" s="211">
        <f>VLOOKUP(R9,'L XI RPL'!$B$9:$BI$43,12)</f>
        <v>0</v>
      </c>
      <c r="K22" s="212"/>
      <c r="L22" s="14">
        <f t="shared" si="0"/>
        <v>0</v>
      </c>
      <c r="M22" s="14" t="str">
        <f t="shared" si="1"/>
        <v>D</v>
      </c>
      <c r="N22"/>
      <c r="O22"/>
      <c r="P22"/>
      <c r="Q22"/>
      <c r="R22"/>
      <c r="S22"/>
    </row>
    <row r="23" spans="2:19" s="12" customFormat="1" ht="15.75" x14ac:dyDescent="0.25">
      <c r="B23" s="11">
        <v>4</v>
      </c>
      <c r="C23" s="187" t="s">
        <v>41</v>
      </c>
      <c r="D23" s="187"/>
      <c r="E23" s="187"/>
      <c r="F23" s="209">
        <f>'MP XI RPL'!G10</f>
        <v>60</v>
      </c>
      <c r="G23" s="210"/>
      <c r="H23" s="211">
        <f>VLOOKUP(R9,'L XI RPL'!$B$9:$BI$43,14)</f>
        <v>0</v>
      </c>
      <c r="I23" s="212"/>
      <c r="J23" s="211">
        <f>VLOOKUP(R9,'L XI RPL'!$B$9:$BI$43,15)</f>
        <v>0</v>
      </c>
      <c r="K23" s="212"/>
      <c r="L23" s="14">
        <f t="shared" si="0"/>
        <v>0</v>
      </c>
      <c r="M23" s="14" t="str">
        <f t="shared" si="1"/>
        <v>D</v>
      </c>
      <c r="N23"/>
      <c r="O23" s="320" t="s">
        <v>139</v>
      </c>
      <c r="P23" s="323"/>
      <c r="Q23" s="323"/>
      <c r="R23" s="324"/>
      <c r="S23"/>
    </row>
    <row r="24" spans="2:19" s="12" customFormat="1" ht="16.5" thickBot="1" x14ac:dyDescent="0.3">
      <c r="B24" s="11">
        <v>5</v>
      </c>
      <c r="C24" s="187" t="s">
        <v>43</v>
      </c>
      <c r="D24" s="187"/>
      <c r="E24" s="187"/>
      <c r="F24" s="209">
        <f>'MP XI RPL'!G11</f>
        <v>60</v>
      </c>
      <c r="G24" s="210"/>
      <c r="H24" s="211">
        <f>VLOOKUP(R9,'L XI RPL'!$B$9:$BI$43,17)</f>
        <v>0</v>
      </c>
      <c r="I24" s="212"/>
      <c r="J24" s="211">
        <f>VLOOKUP(R9,'L XI RPL'!$B$9:$BI$43,18)</f>
        <v>0</v>
      </c>
      <c r="K24" s="212"/>
      <c r="L24" s="14">
        <f t="shared" si="0"/>
        <v>0</v>
      </c>
      <c r="M24" s="14" t="str">
        <f t="shared" si="1"/>
        <v>D</v>
      </c>
      <c r="N24"/>
      <c r="O24" s="48" t="s">
        <v>141</v>
      </c>
      <c r="P24" s="49" t="s">
        <v>142</v>
      </c>
      <c r="Q24" s="49"/>
      <c r="R24" s="50" t="s">
        <v>138</v>
      </c>
      <c r="S24"/>
    </row>
    <row r="25" spans="2:19" s="12" customFormat="1" ht="15.75" x14ac:dyDescent="0.25">
      <c r="B25" s="188" t="s">
        <v>44</v>
      </c>
      <c r="C25" s="188"/>
      <c r="D25" s="188"/>
      <c r="E25" s="188"/>
      <c r="F25" s="188"/>
      <c r="G25" s="188"/>
      <c r="H25" s="188"/>
      <c r="I25" s="188"/>
      <c r="J25" s="188"/>
      <c r="K25" s="188"/>
      <c r="L25" s="188"/>
      <c r="M25" s="188"/>
      <c r="N25"/>
      <c r="O25" s="40">
        <v>95</v>
      </c>
      <c r="P25" s="41">
        <v>100</v>
      </c>
      <c r="Q25" s="45" t="s">
        <v>6</v>
      </c>
      <c r="R25" s="51" t="s">
        <v>137</v>
      </c>
      <c r="S25"/>
    </row>
    <row r="26" spans="2:19" s="12" customFormat="1" ht="15.75" x14ac:dyDescent="0.25">
      <c r="B26" s="13">
        <v>1</v>
      </c>
      <c r="C26" s="187" t="s">
        <v>45</v>
      </c>
      <c r="D26" s="187"/>
      <c r="E26" s="187"/>
      <c r="F26" s="209">
        <f>'MP XI RPL'!G13</f>
        <v>70</v>
      </c>
      <c r="G26" s="210"/>
      <c r="H26" s="211">
        <f>VLOOKUP(R9,'L XI RPL'!$B$9:$BI$43,20)</f>
        <v>0</v>
      </c>
      <c r="I26" s="212"/>
      <c r="J26" s="211">
        <f>VLOOKUP(R9,'L XI RPL'!$B$9:$BI$43,21)</f>
        <v>0</v>
      </c>
      <c r="K26" s="212"/>
      <c r="L26" s="14">
        <f>IF(J26=0,H26,AVERAGE(H26:K26))</f>
        <v>0</v>
      </c>
      <c r="M26" s="14" t="str">
        <f>IF(F26=60,IF(AND(L26&gt;$O$25,L26&lt;$P$25),$R$25,IF(AND(L26&gt;=$O$26,L26&lt;=$P$26),$R$26,IF(AND(L26&gt;=$O$27,L26&lt;=$P$27),$R$27,IF(AND(L26&gt;=$O$28,L26&lt;=$P$28),$R$28,IF(AND(L26&gt;=$O$29,L26&lt;=$P$29),$R$29,IF(AND(L26&gt;=$O$30,L26&lt;=$P$30),$R$30,IF(AND(L26&gt;=$O$31,L26&lt;=$P$31),$R$31,IF(AND(L26&gt;=$O$32,L26&lt;$P$32),$R$32,IF(AND(L26&gt;$O$33,L26&lt;$P$33),$R$33,IF(AND(L26&lt;=$P$34),$R$34,0)))))))))),IF(F26=70,IF(AND(L26&gt;$O$38,L26&lt;$P$38),$R$38,IF(AND(L26&gt;=$O$39,L26&lt;=$P$39),$R$39,IF(AND(L26&gt;=$O$40,L26&lt;=$P$40),$R$40,IF(AND(L26&gt;=$O$41,L26&lt;=$P$41),$R$41,IF(AND(L26&gt;=$O$42,L26&lt;=$P$42),$R$42,IF(AND(L26&gt;=$O$43,L26&lt;=$P$43),$R$43,IF(AND(L26&gt;=$O$44,L26&lt;=$P$44),$R$44,IF(AND(L26&gt;=$O$45,L26&lt;$P$45),$R$45,IF(AND(L26&gt;$O$46,L26&lt;$P$46),$R$46,IF(AND(L26&lt;=$P$47),$R$47,0))))))))))))</f>
        <v>D</v>
      </c>
      <c r="N26"/>
      <c r="O26" s="42">
        <v>90</v>
      </c>
      <c r="P26" s="110">
        <v>94.99</v>
      </c>
      <c r="Q26" s="47" t="s">
        <v>6</v>
      </c>
      <c r="R26" s="52" t="s">
        <v>136</v>
      </c>
      <c r="S26"/>
    </row>
    <row r="27" spans="2:19" s="12" customFormat="1" ht="15.75" x14ac:dyDescent="0.25">
      <c r="B27" s="13">
        <v>2</v>
      </c>
      <c r="C27" s="187" t="s">
        <v>47</v>
      </c>
      <c r="D27" s="187"/>
      <c r="E27" s="187"/>
      <c r="F27" s="209">
        <f>'MP XI RPL'!G14</f>
        <v>60</v>
      </c>
      <c r="G27" s="210"/>
      <c r="H27" s="211">
        <f>VLOOKUP(R9,'L XI RPL'!$B$9:$BI$43,23)</f>
        <v>0</v>
      </c>
      <c r="I27" s="212"/>
      <c r="J27" s="211">
        <f>VLOOKUP(R9,'L XI RPL'!$B$9:$BI$43,24)</f>
        <v>0</v>
      </c>
      <c r="K27" s="212"/>
      <c r="L27" s="14">
        <f t="shared" ref="L27:L28" si="2">IF(J27=0,H27,AVERAGE(H27:K27))</f>
        <v>0</v>
      </c>
      <c r="M27" s="14" t="str">
        <f t="shared" ref="M27" si="3">IF(F27=60,IF(AND(L27&gt;$O$25,L27&lt;$P$25),$R$25,IF(AND(L27&gt;=$O$26,L27&lt;=$P$26),$R$26,IF(AND(L27&gt;=$O$27,L27&lt;=$P$27),$R$27,IF(AND(L27&gt;=$O$28,L27&lt;=$P$28),$R$28,IF(AND(L27&gt;=$O$29,L27&lt;=$P$29),$R$29,IF(AND(L27&gt;=$O$30,L27&lt;=$P$30),$R$30,IF(AND(L27&gt;=$O$31,L27&lt;=$P$31),$R$31,IF(AND(L27&gt;=$O$32,L27&lt;$P$32),$R$32,IF(AND(L27&gt;$O$33,L27&lt;$P$33),$R$33,IF(AND(L27&lt;=$P$34),$R$34,0)))))))))),IF(F27=70,IF(AND(L27&gt;$O$38,L27&lt;$P$38),$R$38,IF(AND(L27&gt;=$O$39,L27&lt;=$P$39),$R$39,IF(AND(L27&gt;=$O$40,L27&lt;=$P$40),$R$40,IF(AND(L27&gt;=$O$41,L27&lt;=$P$41),$R$41,IF(AND(L27&gt;=$O$42,L27&lt;=$P$42),$R$42,IF(AND(L27&gt;=$O$43,L27&lt;=$P$43),$R$43,IF(AND(L27&gt;=$O$44,L27&lt;=$P$44),$R$44,IF(AND(L27&gt;=$O$45,L27&lt;$P$45),$R$45,IF(AND(L27&gt;$O$46,L27&lt;$P$46),$R$46,IF(AND(L27&lt;=$P$47),$R$47,0))))))))))))</f>
        <v>D</v>
      </c>
      <c r="N27"/>
      <c r="O27" s="42">
        <v>85</v>
      </c>
      <c r="P27" s="110">
        <v>89.99</v>
      </c>
      <c r="Q27" s="47" t="s">
        <v>6</v>
      </c>
      <c r="R27" s="52" t="s">
        <v>135</v>
      </c>
      <c r="S27"/>
    </row>
    <row r="28" spans="2:19" s="12" customFormat="1" ht="15.75" x14ac:dyDescent="0.25">
      <c r="B28" s="13">
        <v>3</v>
      </c>
      <c r="C28" s="187" t="s">
        <v>48</v>
      </c>
      <c r="D28" s="187"/>
      <c r="E28" s="187"/>
      <c r="F28" s="209">
        <f>'MP XI RPL'!G15</f>
        <v>60</v>
      </c>
      <c r="G28" s="210"/>
      <c r="H28" s="211">
        <f>VLOOKUP(R9,'L XI RPL'!$B$9:$BI$43,26)</f>
        <v>0</v>
      </c>
      <c r="I28" s="212"/>
      <c r="J28" s="211">
        <f>VLOOKUP(R9,'L XI RPL'!$B$9:$BI$43,27)</f>
        <v>0</v>
      </c>
      <c r="K28" s="212"/>
      <c r="L28" s="14">
        <f t="shared" si="2"/>
        <v>0</v>
      </c>
      <c r="M28" s="14" t="str">
        <f>IF(F28=60,IF(AND(L28&gt;$O$25,L28&lt;$P$25),$R$25,IF(AND(L28&gt;=$O$26,L28&lt;=$P$26),$R$26,IF(AND(L28&gt;=$O$27,L28&lt;=$P$27),$R$27,IF(AND(L28&gt;=$O$28,L28&lt;=$P$28),$R$28,IF(AND(L28&gt;=$O$29,L28&lt;=$P$29),$R$29,IF(AND(L28&gt;=$O$30,L28&lt;=$P$30),$R$30,IF(AND(L28&gt;=$O$31,L28&lt;=$P$31),$R$31,IF(AND(L28&gt;=$O$32,L28&lt;$P$32),$R$32,IF(AND(L28&gt;$O$33,L28&lt;$P$33),$R$33,IF(AND(L28&lt;=$P$34),$R$34,0)))))))))),IF(F28=70,IF(AND(L28&gt;$O$38,L28&lt;$P$38),$R$38,IF(AND(L28&gt;=$O$39,L28&lt;=$P$39),$R$39,IF(AND(L28&gt;=$O$40,L28&lt;=$P$40),$R$40,IF(AND(L28&gt;=$O$41,L28&lt;=$P$41),$R$41,IF(AND(L28&gt;=$O$42,L28&lt;=$P$42),$R$42,IF(AND(L28&gt;=$O$43,L28&lt;=$P$43),$R$43,IF(AND(L28&gt;=$O$44,L28&lt;=$P$44),$R$44,IF(AND(L28&gt;=$O$45,L28&lt;$P$45),$R$45,IF(AND(L28&gt;$O$46,L28&lt;$P$46),$R$46,IF(AND(L28&lt;=$P$47),$R$47,0))))))))))))</f>
        <v>D</v>
      </c>
      <c r="N28"/>
      <c r="O28" s="42">
        <v>80</v>
      </c>
      <c r="P28" s="110">
        <v>84.99</v>
      </c>
      <c r="Q28" s="47" t="s">
        <v>6</v>
      </c>
      <c r="R28" s="52" t="s">
        <v>134</v>
      </c>
      <c r="S28"/>
    </row>
    <row r="29" spans="2:19" s="12" customFormat="1" ht="15.75" x14ac:dyDescent="0.25">
      <c r="B29" s="188" t="s">
        <v>49</v>
      </c>
      <c r="C29" s="188"/>
      <c r="D29" s="188"/>
      <c r="E29" s="188"/>
      <c r="F29" s="188"/>
      <c r="G29" s="188"/>
      <c r="H29" s="188"/>
      <c r="I29" s="188"/>
      <c r="J29" s="188"/>
      <c r="K29" s="188"/>
      <c r="L29" s="188"/>
      <c r="M29" s="188"/>
      <c r="N29"/>
      <c r="O29" s="42">
        <v>75</v>
      </c>
      <c r="P29" s="110">
        <v>79.989999999999995</v>
      </c>
      <c r="Q29" s="47" t="s">
        <v>6</v>
      </c>
      <c r="R29" s="52" t="s">
        <v>118</v>
      </c>
      <c r="S29"/>
    </row>
    <row r="30" spans="2:19" s="12" customFormat="1" ht="15.75" x14ac:dyDescent="0.25">
      <c r="B30" s="188" t="s">
        <v>78</v>
      </c>
      <c r="C30" s="188"/>
      <c r="D30" s="188"/>
      <c r="E30" s="188"/>
      <c r="F30" s="188"/>
      <c r="G30" s="188"/>
      <c r="H30" s="188"/>
      <c r="I30" s="188"/>
      <c r="J30" s="188"/>
      <c r="K30" s="188"/>
      <c r="L30" s="188"/>
      <c r="M30" s="188"/>
      <c r="N30"/>
      <c r="O30" s="42">
        <v>70</v>
      </c>
      <c r="P30" s="110">
        <v>74.989999999999995</v>
      </c>
      <c r="Q30" s="47" t="s">
        <v>6</v>
      </c>
      <c r="R30" s="52" t="s">
        <v>133</v>
      </c>
      <c r="S30"/>
    </row>
    <row r="31" spans="2:19" s="12" customFormat="1" ht="15.75" customHeight="1" x14ac:dyDescent="0.25">
      <c r="B31" s="13">
        <v>1</v>
      </c>
      <c r="C31" s="187" t="s">
        <v>84</v>
      </c>
      <c r="D31" s="187"/>
      <c r="E31" s="187"/>
      <c r="F31" s="209">
        <f>'MP XI RPL'!G18</f>
        <v>70</v>
      </c>
      <c r="G31" s="210"/>
      <c r="H31" s="211">
        <f>VLOOKUP(R9,'L XI RPL'!$B$9:$BI$43,29)</f>
        <v>0</v>
      </c>
      <c r="I31" s="212"/>
      <c r="J31" s="211">
        <f>VLOOKUP(R9,'L XI RPL'!$B$9:$BI$43,30)</f>
        <v>0</v>
      </c>
      <c r="K31" s="212"/>
      <c r="L31" s="14">
        <f>IF(J31=0,H31,AVERAGE(H31:K31))</f>
        <v>0</v>
      </c>
      <c r="M31" s="14" t="str">
        <f>IF(F31=60,IF(AND(L31&gt;$O$25,L31&lt;$P$25),$R$25,IF(AND(L31&gt;=$O$26,L31&lt;=$P$26),$R$26,IF(AND(L31&gt;=$O$27,L31&lt;=$P$27),$R$27,IF(AND(L31&gt;=$O$28,L31&lt;=$P$28),$R$28,IF(AND(L31&gt;=$O$29,L31&lt;=$P$29),$R$29,IF(AND(L31&gt;=$O$30,L31&lt;=$P$30),$R$30,IF(AND(L31&gt;=$O$31,L31&lt;=$P$31),$R$31,IF(AND(L31&gt;=$O$32,L31&lt;$P$32),$R$32,IF(AND(L31&gt;$O$33,L31&lt;$P$33),$R$33,IF(AND(L31&lt;=$P$34),$R$34,0)))))))))),IF(F31=70,IF(AND(L31&gt;$O$38,L31&lt;$P$38),$R$38,IF(AND(L31&gt;=$O$39,L31&lt;=$P$39),$R$39,IF(AND(L31&gt;=$O$40,L31&lt;=$P$40),$R$40,IF(AND(L31&gt;=$O$41,L31&lt;=$P$41),$R$41,IF(AND(L31&gt;=$O$42,L31&lt;=$P$42),$R$42,IF(AND(L31&gt;=$O$43,L31&lt;=$P$43),$R$43,IF(AND(L31&gt;=$O$44,L31&lt;=$P$44),$R$44,IF(AND(L31&gt;=$O$45,L31&lt;$P$45),$R$45,IF(AND(L31&gt;$O$46,L31&lt;$P$46),$R$46,IF(AND(L31&lt;=$P$47),$R$47,0))))))))))))</f>
        <v>D</v>
      </c>
      <c r="N31"/>
      <c r="O31" s="42">
        <v>65</v>
      </c>
      <c r="P31" s="110">
        <v>69.989999999999995</v>
      </c>
      <c r="Q31" s="47" t="s">
        <v>6</v>
      </c>
      <c r="R31" s="52" t="s">
        <v>132</v>
      </c>
      <c r="S31"/>
    </row>
    <row r="32" spans="2:19" s="12" customFormat="1" ht="15.75" x14ac:dyDescent="0.25">
      <c r="B32" s="13">
        <v>2</v>
      </c>
      <c r="C32" s="183" t="s">
        <v>85</v>
      </c>
      <c r="D32" s="183"/>
      <c r="E32" s="183"/>
      <c r="F32" s="209">
        <f>'MP XI RPL'!G19</f>
        <v>70</v>
      </c>
      <c r="G32" s="210"/>
      <c r="H32" s="211">
        <f>VLOOKUP(R9,'L XI RPL'!$B$9:$BI$43,32)</f>
        <v>0</v>
      </c>
      <c r="I32" s="212"/>
      <c r="J32" s="211">
        <f>VLOOKUP(R9,'L XI RPL'!$B$9:$BI$43,33)</f>
        <v>0</v>
      </c>
      <c r="K32" s="212"/>
      <c r="L32" s="14">
        <f t="shared" ref="L32:L35" si="4">IF(J32=0,H32,AVERAGE(H32:K32))</f>
        <v>0</v>
      </c>
      <c r="M32" s="14" t="str">
        <f t="shared" ref="M32:M35" si="5">IF(F32=60,IF(AND(L32&gt;$O$25,L32&lt;$P$25),$R$25,IF(AND(L32&gt;=$O$26,L32&lt;=$P$26),$R$26,IF(AND(L32&gt;=$O$27,L32&lt;=$P$27),$R$27,IF(AND(L32&gt;=$O$28,L32&lt;=$P$28),$R$28,IF(AND(L32&gt;=$O$29,L32&lt;=$P$29),$R$29,IF(AND(L32&gt;=$O$30,L32&lt;=$P$30),$R$30,IF(AND(L32&gt;=$O$31,L32&lt;=$P$31),$R$31,IF(AND(L32&gt;=$O$32,L32&lt;$P$32),$R$32,IF(AND(L32&gt;$O$33,L32&lt;$P$33),$R$33,IF(AND(L32&lt;=$P$34),$R$34,0)))))))))),IF(F32=70,IF(AND(L32&gt;$O$38,L32&lt;$P$38),$R$38,IF(AND(L32&gt;=$O$39,L32&lt;=$P$39),$R$39,IF(AND(L32&gt;=$O$40,L32&lt;=$P$40),$R$40,IF(AND(L32&gt;=$O$41,L32&lt;=$P$41),$R$41,IF(AND(L32&gt;=$O$42,L32&lt;=$P$42),$R$42,IF(AND(L32&gt;=$O$43,L32&lt;=$P$43),$R$43,IF(AND(L32&gt;=$O$44,L32&lt;=$P$44),$R$44,IF(AND(L32&gt;=$O$45,L32&lt;$P$45),$R$45,IF(AND(L32&gt;$O$46,L32&lt;$P$46),$R$46,IF(AND(L32&lt;=$P$47),$R$47,0))))))))))))</f>
        <v>D</v>
      </c>
      <c r="N32"/>
      <c r="O32" s="42">
        <v>60</v>
      </c>
      <c r="P32" s="110">
        <v>64.989999999999995</v>
      </c>
      <c r="Q32" s="47" t="s">
        <v>6</v>
      </c>
      <c r="R32" s="52" t="s">
        <v>131</v>
      </c>
      <c r="S32"/>
    </row>
    <row r="33" spans="2:19" s="12" customFormat="1" ht="15.75" x14ac:dyDescent="0.25">
      <c r="B33" s="13">
        <v>3</v>
      </c>
      <c r="C33" s="183" t="s">
        <v>86</v>
      </c>
      <c r="D33" s="183"/>
      <c r="E33" s="183"/>
      <c r="F33" s="209">
        <f>'MP XI RPL'!G20</f>
        <v>70</v>
      </c>
      <c r="G33" s="210"/>
      <c r="H33" s="211">
        <f>VLOOKUP(R9,'L XI RPL'!$B$9:$BI$43,35)</f>
        <v>0</v>
      </c>
      <c r="I33" s="212"/>
      <c r="J33" s="211">
        <f>VLOOKUP(R9,'L XI RPL'!$B$9:$BI$43,36)</f>
        <v>0</v>
      </c>
      <c r="K33" s="212"/>
      <c r="L33" s="14">
        <f t="shared" si="4"/>
        <v>0</v>
      </c>
      <c r="M33" s="14" t="str">
        <f t="shared" si="5"/>
        <v>D</v>
      </c>
      <c r="N33"/>
      <c r="O33" s="42">
        <v>55</v>
      </c>
      <c r="P33" s="110">
        <v>59.99</v>
      </c>
      <c r="Q33" s="47" t="s">
        <v>6</v>
      </c>
      <c r="R33" s="52" t="s">
        <v>130</v>
      </c>
      <c r="S33"/>
    </row>
    <row r="34" spans="2:19" s="12" customFormat="1" ht="16.5" thickBot="1" x14ac:dyDescent="0.3">
      <c r="B34" s="13">
        <v>4</v>
      </c>
      <c r="C34" s="187" t="s">
        <v>87</v>
      </c>
      <c r="D34" s="187"/>
      <c r="E34" s="187"/>
      <c r="F34" s="209">
        <f>'MP XI RPL'!G21</f>
        <v>70</v>
      </c>
      <c r="G34" s="210"/>
      <c r="H34" s="211">
        <f>VLOOKUP(R9,'L XI RPL'!$B$9:$BI$43,38)</f>
        <v>0</v>
      </c>
      <c r="I34" s="212"/>
      <c r="J34" s="211">
        <f>VLOOKUP(R9,'L XI RPL'!$B$9:$BI$43,39)</f>
        <v>0</v>
      </c>
      <c r="K34" s="212"/>
      <c r="L34" s="14">
        <f t="shared" si="4"/>
        <v>0</v>
      </c>
      <c r="M34" s="14" t="str">
        <f>IF(F34=60,IF(AND(L34&gt;$O$25,L34&lt;$P$25),$R$25,IF(AND(L34&gt;=$O$26,L34&lt;=$P$26),$R$26,IF(AND(L34&gt;=$O$27,L34&lt;=$P$27),$R$27,IF(AND(L34&gt;=$O$28,L34&lt;=$P$28),$R$28,IF(AND(L34&gt;=$O$29,L34&lt;=$P$29),$R$29,IF(AND(L34&gt;=$O$30,L34&lt;=$P$30),$R$30,IF(AND(L34&gt;=$O$31,L34&lt;=$P$31),$R$31,IF(AND(L34&gt;=$O$32,L34&lt;$P$32),$R$32,IF(AND(L34&gt;$O$33,L34&lt;$P$33),$R$33,IF(AND(L34&lt;=$P$34),$R$34,0)))))))))),IF(F34=70,IF(AND(L34&gt;$O$38,L34&lt;$P$38),$R$38,IF(AND(L34&gt;=$O$39,L34&lt;=$P$39),$R$39,IF(AND(L34&gt;=$O$40,L34&lt;=$P$40),$R$40,IF(AND(L34&gt;=$O$41,L34&lt;=$P$41),$R$41,IF(AND(L34&gt;=$O$42,L34&lt;=$P$42),$R$42,IF(AND(L34&gt;=$O$43,L34&lt;=$P$43),$R$43,IF(AND(L34&gt;=$O$44,L34&lt;=$P$44),$R$44,IF(AND(L34&gt;=$O$45,L34&lt;$P$45),$R$45,IF(AND(L34&gt;$O$46,L34&lt;$P$46),$R$46,IF(AND(L34&lt;=$P$47),$R$47,0))))))))))))</f>
        <v>D</v>
      </c>
      <c r="N34"/>
      <c r="O34" s="43">
        <v>50</v>
      </c>
      <c r="P34" s="111">
        <v>54.99</v>
      </c>
      <c r="Q34" s="49" t="s">
        <v>6</v>
      </c>
      <c r="R34" s="50" t="s">
        <v>129</v>
      </c>
      <c r="S34"/>
    </row>
    <row r="35" spans="2:19" s="12" customFormat="1" ht="16.5" thickBot="1" x14ac:dyDescent="0.3">
      <c r="B35" s="13">
        <v>5</v>
      </c>
      <c r="C35" s="183" t="s">
        <v>83</v>
      </c>
      <c r="D35" s="183"/>
      <c r="E35" s="183"/>
      <c r="F35" s="209">
        <f>'MP XI RPL'!G22</f>
        <v>70</v>
      </c>
      <c r="G35" s="210"/>
      <c r="H35" s="211">
        <f>VLOOKUP(R9,'L XI RPL'!$B$9:$BI$43,41)</f>
        <v>0</v>
      </c>
      <c r="I35" s="212"/>
      <c r="J35" s="211">
        <f>VLOOKUP(R9,'L XI RPL'!$B$9:$BI$43,42)</f>
        <v>0</v>
      </c>
      <c r="K35" s="212"/>
      <c r="L35" s="14">
        <f t="shared" si="4"/>
        <v>0</v>
      </c>
      <c r="M35" s="14" t="str">
        <f t="shared" si="5"/>
        <v>D</v>
      </c>
      <c r="N35"/>
      <c r="O35" s="20"/>
      <c r="P35" s="20"/>
      <c r="Q35" s="20"/>
      <c r="R35" s="20"/>
      <c r="S35"/>
    </row>
    <row r="36" spans="2:19" s="12" customFormat="1" ht="15.75" x14ac:dyDescent="0.25">
      <c r="B36" s="213" t="s">
        <v>60</v>
      </c>
      <c r="C36" s="214"/>
      <c r="D36" s="214"/>
      <c r="E36" s="214"/>
      <c r="F36" s="214"/>
      <c r="G36" s="215"/>
      <c r="H36" s="216">
        <f>VLOOKUP(R9,'L XI RPL'!$B$9:$BI$43,59)</f>
        <v>0</v>
      </c>
      <c r="I36" s="216"/>
      <c r="J36" s="216"/>
      <c r="K36" s="216"/>
      <c r="L36" s="216"/>
      <c r="M36" s="216"/>
      <c r="N36"/>
      <c r="O36" s="320" t="s">
        <v>140</v>
      </c>
      <c r="P36" s="321"/>
      <c r="Q36" s="321"/>
      <c r="R36" s="322"/>
      <c r="S36"/>
    </row>
    <row r="37" spans="2:19" s="12" customFormat="1" ht="16.5" thickBot="1" x14ac:dyDescent="0.3">
      <c r="B37" s="205" t="s">
        <v>61</v>
      </c>
      <c r="C37" s="206"/>
      <c r="D37" s="206"/>
      <c r="E37" s="206"/>
      <c r="F37" s="206"/>
      <c r="G37" s="207"/>
      <c r="H37" s="208">
        <f>VLOOKUP(R9,'L XI RPL'!$B$9:$BI$43,60)</f>
        <v>1</v>
      </c>
      <c r="I37" s="208"/>
      <c r="J37" s="208"/>
      <c r="K37" s="208"/>
      <c r="L37" s="208"/>
      <c r="M37" s="208"/>
      <c r="N37"/>
      <c r="O37" s="48" t="s">
        <v>141</v>
      </c>
      <c r="P37" s="49" t="s">
        <v>142</v>
      </c>
      <c r="Q37" s="49"/>
      <c r="R37" s="50" t="s">
        <v>138</v>
      </c>
      <c r="S37"/>
    </row>
    <row r="38" spans="2:19" s="12" customFormat="1" ht="15.75" x14ac:dyDescent="0.25">
      <c r="B38" s="1"/>
      <c r="C38" s="1"/>
      <c r="D38" s="1"/>
      <c r="E38" s="1"/>
      <c r="F38" s="1"/>
      <c r="G38" s="1"/>
      <c r="H38" s="1"/>
      <c r="I38" s="1"/>
      <c r="J38" s="1"/>
      <c r="K38" s="1"/>
      <c r="L38" s="1"/>
      <c r="M38" s="1"/>
      <c r="N38"/>
      <c r="O38" s="44">
        <v>98</v>
      </c>
      <c r="P38" s="45">
        <v>100</v>
      </c>
      <c r="Q38" s="45" t="s">
        <v>6</v>
      </c>
      <c r="R38" s="51" t="s">
        <v>137</v>
      </c>
      <c r="S38"/>
    </row>
    <row r="39" spans="2:19" s="12" customFormat="1" ht="15.75" x14ac:dyDescent="0.25">
      <c r="B39" s="1"/>
      <c r="C39" s="1"/>
      <c r="D39" s="1"/>
      <c r="E39" s="1"/>
      <c r="F39" s="1"/>
      <c r="G39" s="1"/>
      <c r="H39" s="203" t="str">
        <f>ID!G11</f>
        <v>31 MARET 2023</v>
      </c>
      <c r="I39" s="203"/>
      <c r="J39" s="203"/>
      <c r="K39" s="203"/>
      <c r="L39" s="203"/>
      <c r="M39" s="203"/>
      <c r="N39"/>
      <c r="O39" s="46">
        <v>94</v>
      </c>
      <c r="P39" s="47">
        <v>97.99</v>
      </c>
      <c r="Q39" s="47" t="s">
        <v>6</v>
      </c>
      <c r="R39" s="52" t="s">
        <v>136</v>
      </c>
      <c r="S39"/>
    </row>
    <row r="40" spans="2:19" s="12" customFormat="1" ht="15.75" x14ac:dyDescent="0.25">
      <c r="B40" s="203" t="s">
        <v>67</v>
      </c>
      <c r="C40" s="203"/>
      <c r="D40" s="203"/>
      <c r="E40" s="203"/>
      <c r="F40" s="1"/>
      <c r="G40" s="1"/>
      <c r="H40" s="1"/>
      <c r="I40" s="1"/>
      <c r="J40" s="1"/>
      <c r="K40" s="1"/>
      <c r="L40" s="1"/>
      <c r="M40" s="1"/>
      <c r="N40"/>
      <c r="O40" s="46">
        <v>90</v>
      </c>
      <c r="P40" s="47">
        <v>93.99</v>
      </c>
      <c r="Q40" s="47" t="s">
        <v>6</v>
      </c>
      <c r="R40" s="52" t="s">
        <v>135</v>
      </c>
      <c r="S40"/>
    </row>
    <row r="41" spans="2:19" s="12" customFormat="1" ht="15.75" x14ac:dyDescent="0.25">
      <c r="B41" s="203" t="str">
        <f>"Kepala " &amp; ID!G5</f>
        <v>Kepala SMK Pancasila 8 Slogohimo</v>
      </c>
      <c r="C41" s="203"/>
      <c r="D41" s="203"/>
      <c r="E41" s="203"/>
      <c r="F41" s="1"/>
      <c r="G41" s="1"/>
      <c r="H41" s="203" t="s">
        <v>62</v>
      </c>
      <c r="I41" s="203"/>
      <c r="J41" s="203"/>
      <c r="K41" s="203"/>
      <c r="L41" s="203"/>
      <c r="M41" s="203"/>
      <c r="N41"/>
      <c r="O41" s="46">
        <v>86</v>
      </c>
      <c r="P41" s="47">
        <v>89.99</v>
      </c>
      <c r="Q41" s="47" t="s">
        <v>6</v>
      </c>
      <c r="R41" s="52" t="s">
        <v>134</v>
      </c>
      <c r="S41"/>
    </row>
    <row r="42" spans="2:19" s="12" customFormat="1" ht="15.75" x14ac:dyDescent="0.25">
      <c r="B42" s="1"/>
      <c r="C42" s="1"/>
      <c r="D42" s="1"/>
      <c r="E42" s="1"/>
      <c r="F42" s="1"/>
      <c r="G42" s="1"/>
      <c r="H42" s="203"/>
      <c r="I42" s="203"/>
      <c r="J42" s="203"/>
      <c r="K42" s="203"/>
      <c r="L42" s="203"/>
      <c r="M42" s="203"/>
      <c r="N42"/>
      <c r="O42" s="46">
        <v>82</v>
      </c>
      <c r="P42" s="47">
        <v>85.99</v>
      </c>
      <c r="Q42" s="47" t="s">
        <v>6</v>
      </c>
      <c r="R42" s="52" t="s">
        <v>118</v>
      </c>
      <c r="S42"/>
    </row>
    <row r="43" spans="2:19" s="12" customFormat="1" ht="15.75" x14ac:dyDescent="0.25">
      <c r="B43" s="1"/>
      <c r="C43" s="1"/>
      <c r="D43" s="1"/>
      <c r="E43" s="1"/>
      <c r="F43" s="1"/>
      <c r="G43" s="1"/>
      <c r="H43" s="203"/>
      <c r="I43" s="203"/>
      <c r="J43" s="203"/>
      <c r="K43" s="203"/>
      <c r="L43" s="203"/>
      <c r="M43" s="203"/>
      <c r="N43"/>
      <c r="O43" s="46">
        <v>78</v>
      </c>
      <c r="P43" s="47">
        <v>81.99</v>
      </c>
      <c r="Q43" s="47" t="s">
        <v>6</v>
      </c>
      <c r="R43" s="52" t="s">
        <v>133</v>
      </c>
      <c r="S43"/>
    </row>
    <row r="44" spans="2:19" s="12" customFormat="1" ht="15.75" x14ac:dyDescent="0.25">
      <c r="B44" s="1"/>
      <c r="C44" s="1"/>
      <c r="D44" s="1"/>
      <c r="E44" s="1"/>
      <c r="F44" s="1"/>
      <c r="G44" s="1"/>
      <c r="H44" s="203"/>
      <c r="I44" s="203"/>
      <c r="J44" s="203"/>
      <c r="K44" s="203"/>
      <c r="L44" s="203"/>
      <c r="M44" s="203"/>
      <c r="N44"/>
      <c r="O44" s="46">
        <v>74</v>
      </c>
      <c r="P44" s="47">
        <v>77.989999999999995</v>
      </c>
      <c r="Q44" s="47" t="s">
        <v>6</v>
      </c>
      <c r="R44" s="52" t="s">
        <v>132</v>
      </c>
      <c r="S44"/>
    </row>
    <row r="45" spans="2:19" s="12" customFormat="1" ht="15.75" x14ac:dyDescent="0.25">
      <c r="B45" s="204" t="str">
        <f>ID!G6</f>
        <v>Sri Rahayu, S.Pd., SE.</v>
      </c>
      <c r="C45" s="204"/>
      <c r="D45" s="204"/>
      <c r="E45" s="204"/>
      <c r="F45" s="1"/>
      <c r="G45" s="1"/>
      <c r="H45" s="204" t="str">
        <f>ID!G10</f>
        <v>SURADI S.Pd.</v>
      </c>
      <c r="I45" s="204"/>
      <c r="J45" s="204"/>
      <c r="K45" s="204"/>
      <c r="L45" s="204"/>
      <c r="M45" s="204"/>
      <c r="N45"/>
      <c r="O45" s="46">
        <v>70</v>
      </c>
      <c r="P45" s="47">
        <v>73.989999999999995</v>
      </c>
      <c r="Q45" s="47" t="s">
        <v>6</v>
      </c>
      <c r="R45" s="52" t="s">
        <v>131</v>
      </c>
      <c r="S45"/>
    </row>
    <row r="46" spans="2:19" s="12" customFormat="1" ht="15.75" x14ac:dyDescent="0.25">
      <c r="B46" s="4"/>
      <c r="C46" s="4"/>
      <c r="D46" s="4"/>
      <c r="E46" s="4"/>
      <c r="F46" s="1"/>
      <c r="G46" s="1"/>
      <c r="H46" s="4"/>
      <c r="I46" s="4"/>
      <c r="J46" s="4"/>
      <c r="K46" s="4"/>
      <c r="L46" s="4"/>
      <c r="M46" s="4"/>
      <c r="N46"/>
      <c r="O46" s="46">
        <v>65</v>
      </c>
      <c r="P46" s="47">
        <v>69.989999999999995</v>
      </c>
      <c r="Q46" s="47" t="s">
        <v>6</v>
      </c>
      <c r="R46" s="52" t="s">
        <v>130</v>
      </c>
      <c r="S46"/>
    </row>
    <row r="47" spans="2:19" s="12" customFormat="1" ht="16.5" thickBot="1" x14ac:dyDescent="0.3">
      <c r="B47" s="4"/>
      <c r="C47" s="4"/>
      <c r="D47" s="4"/>
      <c r="E47" s="4"/>
      <c r="F47" s="1"/>
      <c r="G47" s="1"/>
      <c r="H47" s="4"/>
      <c r="I47" s="4"/>
      <c r="J47" s="4"/>
      <c r="K47" s="4"/>
      <c r="L47" s="4"/>
      <c r="M47" s="4"/>
      <c r="N47"/>
      <c r="O47" s="48">
        <v>60</v>
      </c>
      <c r="P47" s="49">
        <v>64.989999999999995</v>
      </c>
      <c r="Q47" s="49" t="s">
        <v>6</v>
      </c>
      <c r="R47" s="50" t="s">
        <v>129</v>
      </c>
      <c r="S47"/>
    </row>
    <row r="48" spans="2:19" s="12" customFormat="1" ht="7.5" customHeight="1" x14ac:dyDescent="0.25">
      <c r="S48"/>
    </row>
    <row r="49" spans="2:19" s="12" customFormat="1" ht="0" hidden="1" customHeight="1" x14ac:dyDescent="0.25">
      <c r="B49"/>
      <c r="C49"/>
      <c r="D49"/>
      <c r="E49"/>
      <c r="F49"/>
      <c r="G49"/>
      <c r="H49"/>
      <c r="I49"/>
      <c r="J49"/>
      <c r="K49"/>
      <c r="L49"/>
      <c r="M49"/>
      <c r="N49"/>
      <c r="O49"/>
      <c r="P49"/>
      <c r="Q49"/>
      <c r="R49"/>
      <c r="S49"/>
    </row>
    <row r="50" spans="2:19" s="12" customFormat="1" ht="0" hidden="1" customHeight="1" x14ac:dyDescent="0.25">
      <c r="B50"/>
      <c r="C50"/>
      <c r="D50"/>
      <c r="E50"/>
      <c r="F50"/>
      <c r="G50"/>
      <c r="H50"/>
      <c r="I50"/>
      <c r="J50"/>
      <c r="K50"/>
      <c r="L50"/>
      <c r="M50"/>
      <c r="N50"/>
      <c r="O50"/>
      <c r="P50"/>
      <c r="Q50"/>
      <c r="R50"/>
      <c r="S50"/>
    </row>
    <row r="51" spans="2:19" s="12" customFormat="1" ht="0" hidden="1" customHeight="1" x14ac:dyDescent="0.25">
      <c r="B51"/>
      <c r="C51"/>
      <c r="D51"/>
      <c r="E51"/>
      <c r="F51"/>
      <c r="G51"/>
      <c r="H51"/>
      <c r="I51"/>
      <c r="J51"/>
      <c r="K51"/>
      <c r="L51"/>
      <c r="M51"/>
      <c r="N51"/>
      <c r="O51"/>
      <c r="P51"/>
      <c r="Q51"/>
      <c r="R51"/>
      <c r="S51"/>
    </row>
    <row r="52" spans="2:19" s="12" customFormat="1" ht="0" hidden="1" customHeight="1" x14ac:dyDescent="0.25">
      <c r="B52"/>
      <c r="C52"/>
      <c r="D52"/>
      <c r="E52"/>
      <c r="F52"/>
      <c r="G52"/>
      <c r="H52"/>
      <c r="I52"/>
      <c r="J52"/>
      <c r="K52"/>
      <c r="L52"/>
      <c r="M52"/>
      <c r="N52"/>
      <c r="O52"/>
      <c r="P52"/>
      <c r="Q52"/>
      <c r="R52"/>
      <c r="S52"/>
    </row>
    <row r="53" spans="2:19" s="12" customFormat="1" ht="0" hidden="1" customHeight="1" x14ac:dyDescent="0.25">
      <c r="B53"/>
      <c r="C53"/>
      <c r="D53"/>
      <c r="E53"/>
      <c r="F53"/>
      <c r="G53"/>
      <c r="H53"/>
      <c r="I53"/>
      <c r="J53"/>
      <c r="K53"/>
      <c r="L53"/>
      <c r="M53"/>
      <c r="N53"/>
      <c r="O53"/>
      <c r="P53"/>
      <c r="Q53"/>
      <c r="R53"/>
      <c r="S53"/>
    </row>
    <row r="54" spans="2:19" s="12" customFormat="1" ht="0" hidden="1" customHeight="1" x14ac:dyDescent="0.25">
      <c r="B54"/>
      <c r="C54"/>
      <c r="D54"/>
      <c r="E54"/>
      <c r="F54"/>
      <c r="G54"/>
      <c r="H54"/>
      <c r="I54"/>
      <c r="J54"/>
      <c r="K54"/>
      <c r="L54"/>
      <c r="M54"/>
      <c r="N54"/>
      <c r="O54"/>
      <c r="P54"/>
      <c r="Q54"/>
      <c r="R54"/>
      <c r="S54"/>
    </row>
  </sheetData>
  <sheetProtection selectLockedCells="1"/>
  <mergeCells count="106">
    <mergeCell ref="D2:M2"/>
    <mergeCell ref="V2:AC2"/>
    <mergeCell ref="D3:M3"/>
    <mergeCell ref="V3:AC3"/>
    <mergeCell ref="D4:M4"/>
    <mergeCell ref="V4:AC4"/>
    <mergeCell ref="D9:M9"/>
    <mergeCell ref="P9:Q11"/>
    <mergeCell ref="R9:R11"/>
    <mergeCell ref="V9:AC9"/>
    <mergeCell ref="B10:M10"/>
    <mergeCell ref="B11:M11"/>
    <mergeCell ref="D5:M5"/>
    <mergeCell ref="V5:AC5"/>
    <mergeCell ref="D6:M6"/>
    <mergeCell ref="V6:AC6"/>
    <mergeCell ref="D7:M7"/>
    <mergeCell ref="O7:R8"/>
    <mergeCell ref="V7:AC7"/>
    <mergeCell ref="D8:M8"/>
    <mergeCell ref="V8:AC8"/>
    <mergeCell ref="B15:C15"/>
    <mergeCell ref="E15:F15"/>
    <mergeCell ref="J15:M15"/>
    <mergeCell ref="B16:C16"/>
    <mergeCell ref="E16:F16"/>
    <mergeCell ref="J16:M16"/>
    <mergeCell ref="B12:M12"/>
    <mergeCell ref="P12:Q14"/>
    <mergeCell ref="R12:R14"/>
    <mergeCell ref="B14:C14"/>
    <mergeCell ref="E14:F14"/>
    <mergeCell ref="J14:M14"/>
    <mergeCell ref="C21:E21"/>
    <mergeCell ref="F21:G21"/>
    <mergeCell ref="H21:I21"/>
    <mergeCell ref="J21:K21"/>
    <mergeCell ref="C22:E22"/>
    <mergeCell ref="F22:G22"/>
    <mergeCell ref="H22:I22"/>
    <mergeCell ref="J22:K22"/>
    <mergeCell ref="C18:E18"/>
    <mergeCell ref="F18:G18"/>
    <mergeCell ref="H18:I18"/>
    <mergeCell ref="J18:K18"/>
    <mergeCell ref="B19:M19"/>
    <mergeCell ref="C20:E20"/>
    <mergeCell ref="F20:G20"/>
    <mergeCell ref="H20:I20"/>
    <mergeCell ref="J20:K20"/>
    <mergeCell ref="C23:E23"/>
    <mergeCell ref="F23:G23"/>
    <mergeCell ref="H23:I23"/>
    <mergeCell ref="J23:K23"/>
    <mergeCell ref="O23:R23"/>
    <mergeCell ref="C24:E24"/>
    <mergeCell ref="F24:G24"/>
    <mergeCell ref="H24:I24"/>
    <mergeCell ref="J24:K24"/>
    <mergeCell ref="B25:M25"/>
    <mergeCell ref="C26:E26"/>
    <mergeCell ref="F26:G26"/>
    <mergeCell ref="H26:I26"/>
    <mergeCell ref="J26:K26"/>
    <mergeCell ref="C27:E27"/>
    <mergeCell ref="F27:G27"/>
    <mergeCell ref="H27:I27"/>
    <mergeCell ref="J27:K27"/>
    <mergeCell ref="C31:E31"/>
    <mergeCell ref="F31:G31"/>
    <mergeCell ref="H31:I31"/>
    <mergeCell ref="J31:K31"/>
    <mergeCell ref="C32:E32"/>
    <mergeCell ref="F32:G32"/>
    <mergeCell ref="H32:I32"/>
    <mergeCell ref="J32:K32"/>
    <mergeCell ref="C28:E28"/>
    <mergeCell ref="F28:G28"/>
    <mergeCell ref="H28:I28"/>
    <mergeCell ref="J28:K28"/>
    <mergeCell ref="B29:M29"/>
    <mergeCell ref="B30:M30"/>
    <mergeCell ref="C35:E35"/>
    <mergeCell ref="F35:G35"/>
    <mergeCell ref="H35:I35"/>
    <mergeCell ref="J35:K35"/>
    <mergeCell ref="B36:G36"/>
    <mergeCell ref="H36:M36"/>
    <mergeCell ref="C33:E33"/>
    <mergeCell ref="F33:G33"/>
    <mergeCell ref="H33:I33"/>
    <mergeCell ref="J33:K33"/>
    <mergeCell ref="C34:E34"/>
    <mergeCell ref="F34:G34"/>
    <mergeCell ref="H34:I34"/>
    <mergeCell ref="J34:K34"/>
    <mergeCell ref="H42:M44"/>
    <mergeCell ref="B45:E45"/>
    <mergeCell ref="H45:M45"/>
    <mergeCell ref="O36:R36"/>
    <mergeCell ref="B37:G37"/>
    <mergeCell ref="H37:M37"/>
    <mergeCell ref="H39:M39"/>
    <mergeCell ref="B40:E40"/>
    <mergeCell ref="B41:E41"/>
    <mergeCell ref="H41:M41"/>
  </mergeCells>
  <pageMargins left="0.31496062992125984" right="0.31496062992125984" top="0.74803149606299213" bottom="0.74803149606299213" header="0.31496062992125984" footer="0.31496062992125984"/>
  <pageSetup paperSize="10000" scale="9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Spinner 1">
              <controlPr defaultSize="0" autoPict="0">
                <anchor moveWithCells="1" sizeWithCells="1">
                  <from>
                    <xdr:col>14</xdr:col>
                    <xdr:colOff>28575</xdr:colOff>
                    <xdr:row>8</xdr:row>
                    <xdr:rowOff>0</xdr:rowOff>
                  </from>
                  <to>
                    <xdr:col>14</xdr:col>
                    <xdr:colOff>466725</xdr:colOff>
                    <xdr:row>14</xdr:row>
                    <xdr:rowOff>19050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9">
    <tabColor rgb="FF00B0F0"/>
    <pageSetUpPr fitToPage="1"/>
  </sheetPr>
  <dimension ref="A1:AC65"/>
  <sheetViews>
    <sheetView topLeftCell="A13" zoomScale="80" zoomScaleNormal="80" workbookViewId="0">
      <selection activeCell="O30" sqref="O30"/>
    </sheetView>
  </sheetViews>
  <sheetFormatPr defaultColWidth="0" defaultRowHeight="0" customHeight="1" zeroHeight="1" x14ac:dyDescent="0.25"/>
  <cols>
    <col min="1" max="1" width="1.5703125" style="12" customWidth="1"/>
    <col min="2" max="2" width="3.85546875" customWidth="1"/>
    <col min="3" max="3" width="16.7109375" customWidth="1"/>
    <col min="4" max="4" width="1.140625" customWidth="1"/>
    <col min="5" max="5" width="23.85546875" customWidth="1"/>
    <col min="6" max="6" width="9.42578125" customWidth="1"/>
    <col min="7" max="7" width="4.140625" customWidth="1"/>
    <col min="8" max="8" width="16.42578125" customWidth="1"/>
    <col min="9" max="9" width="2.28515625" customWidth="1"/>
    <col min="10" max="10" width="16.140625" customWidth="1"/>
    <col min="11" max="11" width="1.85546875" customWidth="1"/>
    <col min="12" max="12" width="5" customWidth="1"/>
    <col min="13" max="13" width="13.7109375" customWidth="1"/>
    <col min="14" max="14" width="1.7109375" customWidth="1"/>
    <col min="15" max="16" width="9.140625" customWidth="1"/>
    <col min="17" max="17" width="2.42578125" customWidth="1"/>
    <col min="18" max="18" width="16.7109375" customWidth="1"/>
    <col min="19" max="19" width="1" customWidth="1"/>
    <col min="20" max="20" width="1.7109375" style="12" customWidth="1"/>
    <col min="21" max="29" width="0" hidden="1" customWidth="1"/>
    <col min="30" max="16384" width="9.140625" hidden="1"/>
  </cols>
  <sheetData>
    <row r="1" spans="2:29" s="12" customFormat="1" ht="7.5" customHeight="1" x14ac:dyDescent="0.25">
      <c r="S1"/>
    </row>
    <row r="2" spans="2:29" ht="15.75" x14ac:dyDescent="0.25">
      <c r="C2" s="3"/>
      <c r="D2" s="204" t="s">
        <v>11</v>
      </c>
      <c r="E2" s="204"/>
      <c r="F2" s="204"/>
      <c r="G2" s="204"/>
      <c r="H2" s="204"/>
      <c r="I2" s="204"/>
      <c r="J2" s="204"/>
      <c r="K2" s="204"/>
      <c r="L2" s="204"/>
      <c r="M2" s="204"/>
      <c r="N2" s="20"/>
      <c r="O2" s="20"/>
      <c r="P2" s="20"/>
      <c r="Q2" s="20"/>
      <c r="R2" s="20"/>
      <c r="V2" s="204"/>
      <c r="W2" s="204"/>
      <c r="X2" s="204"/>
      <c r="Y2" s="204"/>
      <c r="Z2" s="204"/>
      <c r="AA2" s="204"/>
      <c r="AB2" s="204"/>
      <c r="AC2" s="204"/>
    </row>
    <row r="3" spans="2:29" ht="15.75" x14ac:dyDescent="0.25">
      <c r="C3" s="3"/>
      <c r="D3" s="204" t="s">
        <v>12</v>
      </c>
      <c r="E3" s="204"/>
      <c r="F3" s="204"/>
      <c r="G3" s="204"/>
      <c r="H3" s="204"/>
      <c r="I3" s="204"/>
      <c r="J3" s="204"/>
      <c r="K3" s="204"/>
      <c r="L3" s="204"/>
      <c r="M3" s="204"/>
      <c r="N3" s="20"/>
      <c r="O3" s="20"/>
      <c r="P3" s="20"/>
      <c r="Q3" s="20"/>
      <c r="R3" s="20"/>
      <c r="V3" s="204"/>
      <c r="W3" s="204"/>
      <c r="X3" s="204"/>
      <c r="Y3" s="204"/>
      <c r="Z3" s="204"/>
      <c r="AA3" s="204"/>
      <c r="AB3" s="204"/>
      <c r="AC3" s="204"/>
    </row>
    <row r="4" spans="2:29" ht="15.75" x14ac:dyDescent="0.25">
      <c r="C4" s="1"/>
      <c r="D4" s="203" t="s">
        <v>13</v>
      </c>
      <c r="E4" s="203"/>
      <c r="F4" s="203"/>
      <c r="G4" s="203"/>
      <c r="H4" s="203"/>
      <c r="I4" s="203"/>
      <c r="J4" s="203"/>
      <c r="K4" s="203"/>
      <c r="L4" s="203"/>
      <c r="M4" s="203"/>
      <c r="N4" s="20"/>
      <c r="O4" s="20"/>
      <c r="P4" s="20"/>
      <c r="Q4" s="20"/>
      <c r="R4" s="20"/>
      <c r="V4" s="203"/>
      <c r="W4" s="203"/>
      <c r="X4" s="203"/>
      <c r="Y4" s="203"/>
      <c r="Z4" s="203"/>
      <c r="AA4" s="203"/>
      <c r="AB4" s="203"/>
      <c r="AC4" s="203"/>
    </row>
    <row r="5" spans="2:29" ht="15.75" x14ac:dyDescent="0.25">
      <c r="C5" s="1"/>
      <c r="D5" s="203" t="s">
        <v>14</v>
      </c>
      <c r="E5" s="203"/>
      <c r="F5" s="203"/>
      <c r="G5" s="203"/>
      <c r="H5" s="203"/>
      <c r="I5" s="203"/>
      <c r="J5" s="203"/>
      <c r="K5" s="203"/>
      <c r="L5" s="203"/>
      <c r="M5" s="203"/>
      <c r="N5" s="20"/>
      <c r="O5" s="20"/>
      <c r="P5" s="20"/>
      <c r="Q5" s="20"/>
      <c r="R5" s="20"/>
      <c r="V5" s="203"/>
      <c r="W5" s="203"/>
      <c r="X5" s="203"/>
      <c r="Y5" s="203"/>
      <c r="Z5" s="203"/>
      <c r="AA5" s="203"/>
      <c r="AB5" s="203"/>
      <c r="AC5" s="203"/>
    </row>
    <row r="6" spans="2:29" ht="16.5" thickBot="1" x14ac:dyDescent="0.3">
      <c r="C6" s="3"/>
      <c r="D6" s="204" t="s">
        <v>1</v>
      </c>
      <c r="E6" s="204"/>
      <c r="F6" s="204"/>
      <c r="G6" s="204"/>
      <c r="H6" s="204"/>
      <c r="I6" s="204"/>
      <c r="J6" s="204"/>
      <c r="K6" s="204"/>
      <c r="L6" s="204"/>
      <c r="M6" s="204"/>
      <c r="N6" s="20"/>
      <c r="O6" s="20"/>
      <c r="P6" s="20"/>
      <c r="Q6" s="20"/>
      <c r="R6" s="20"/>
      <c r="V6" s="204"/>
      <c r="W6" s="204"/>
      <c r="X6" s="204"/>
      <c r="Y6" s="204"/>
      <c r="Z6" s="204"/>
      <c r="AA6" s="204"/>
      <c r="AB6" s="204"/>
      <c r="AC6" s="204"/>
    </row>
    <row r="7" spans="2:29" ht="15.75" x14ac:dyDescent="0.25">
      <c r="C7" s="1"/>
      <c r="D7" s="203" t="s">
        <v>15</v>
      </c>
      <c r="E7" s="203"/>
      <c r="F7" s="203"/>
      <c r="G7" s="203"/>
      <c r="H7" s="203"/>
      <c r="I7" s="203"/>
      <c r="J7" s="203"/>
      <c r="K7" s="203"/>
      <c r="L7" s="203"/>
      <c r="M7" s="203"/>
      <c r="N7" s="20"/>
      <c r="O7" s="233" t="s">
        <v>69</v>
      </c>
      <c r="P7" s="234"/>
      <c r="Q7" s="234"/>
      <c r="R7" s="235"/>
      <c r="S7" s="19"/>
      <c r="V7" s="203"/>
      <c r="W7" s="203"/>
      <c r="X7" s="203"/>
      <c r="Y7" s="203"/>
      <c r="Z7" s="203"/>
      <c r="AA7" s="203"/>
      <c r="AB7" s="203"/>
      <c r="AC7" s="203"/>
    </row>
    <row r="8" spans="2:29" ht="15.75" x14ac:dyDescent="0.25">
      <c r="C8" s="1"/>
      <c r="D8" s="203" t="s">
        <v>16</v>
      </c>
      <c r="E8" s="203"/>
      <c r="F8" s="203"/>
      <c r="G8" s="203"/>
      <c r="H8" s="203"/>
      <c r="I8" s="203"/>
      <c r="J8" s="203"/>
      <c r="K8" s="203"/>
      <c r="L8" s="203"/>
      <c r="M8" s="203"/>
      <c r="N8" s="20"/>
      <c r="O8" s="236"/>
      <c r="P8" s="237"/>
      <c r="Q8" s="237"/>
      <c r="R8" s="238"/>
      <c r="V8" s="203"/>
      <c r="W8" s="203"/>
      <c r="X8" s="203"/>
      <c r="Y8" s="203"/>
      <c r="Z8" s="203"/>
      <c r="AA8" s="203"/>
      <c r="AB8" s="203"/>
      <c r="AC8" s="203"/>
    </row>
    <row r="9" spans="2:29" ht="16.5" thickBot="1" x14ac:dyDescent="0.3">
      <c r="C9" s="2"/>
      <c r="D9" s="230" t="s">
        <v>17</v>
      </c>
      <c r="E9" s="230"/>
      <c r="F9" s="230"/>
      <c r="G9" s="230"/>
      <c r="H9" s="230"/>
      <c r="I9" s="230"/>
      <c r="J9" s="230"/>
      <c r="K9" s="230"/>
      <c r="L9" s="230"/>
      <c r="M9" s="230"/>
      <c r="N9" s="20"/>
      <c r="O9" s="35"/>
      <c r="P9" s="227" t="s">
        <v>70</v>
      </c>
      <c r="Q9" s="227"/>
      <c r="R9" s="228">
        <v>1</v>
      </c>
      <c r="V9" s="230"/>
      <c r="W9" s="230"/>
      <c r="X9" s="230"/>
      <c r="Y9" s="230"/>
      <c r="Z9" s="230"/>
      <c r="AA9" s="230"/>
      <c r="AB9" s="230"/>
      <c r="AC9" s="230"/>
    </row>
    <row r="10" spans="2:29" ht="5.25" customHeight="1" thickTop="1" x14ac:dyDescent="0.25">
      <c r="B10" s="231"/>
      <c r="C10" s="232"/>
      <c r="D10" s="232"/>
      <c r="E10" s="232"/>
      <c r="F10" s="232"/>
      <c r="G10" s="232"/>
      <c r="H10" s="232"/>
      <c r="I10" s="232"/>
      <c r="J10" s="232"/>
      <c r="K10" s="232"/>
      <c r="L10" s="232"/>
      <c r="M10" s="232"/>
      <c r="N10" s="20"/>
      <c r="O10" s="35"/>
      <c r="P10" s="227"/>
      <c r="Q10" s="227"/>
      <c r="R10" s="228"/>
    </row>
    <row r="11" spans="2:29" ht="15.75" x14ac:dyDescent="0.25">
      <c r="B11" s="226" t="str">
        <f>HOME!G6</f>
        <v>HASIL PENILAIAN TENGAH SEMESTER GENAP</v>
      </c>
      <c r="C11" s="226"/>
      <c r="D11" s="226"/>
      <c r="E11" s="226"/>
      <c r="F11" s="226"/>
      <c r="G11" s="226"/>
      <c r="H11" s="226"/>
      <c r="I11" s="226"/>
      <c r="J11" s="226"/>
      <c r="K11" s="226"/>
      <c r="L11" s="226"/>
      <c r="M11" s="226"/>
      <c r="N11" s="20"/>
      <c r="O11" s="35"/>
      <c r="P11" s="227"/>
      <c r="Q11" s="227"/>
      <c r="R11" s="228"/>
    </row>
    <row r="12" spans="2:29" ht="15.75" x14ac:dyDescent="0.25">
      <c r="B12" s="226" t="str">
        <f>"TAHUN PELAJARAN " &amp; HOME!G7</f>
        <v>TAHUN PELAJARAN 2022/2023</v>
      </c>
      <c r="C12" s="226"/>
      <c r="D12" s="226"/>
      <c r="E12" s="226"/>
      <c r="F12" s="226"/>
      <c r="G12" s="226"/>
      <c r="H12" s="226"/>
      <c r="I12" s="226"/>
      <c r="J12" s="226"/>
      <c r="K12" s="226"/>
      <c r="L12" s="226"/>
      <c r="M12" s="226"/>
      <c r="N12" s="20"/>
      <c r="O12" s="35"/>
      <c r="P12" s="227" t="s">
        <v>71</v>
      </c>
      <c r="Q12" s="227"/>
      <c r="R12" s="228">
        <f>COUNTA(NOMINATIF!C6:C40)</f>
        <v>20</v>
      </c>
    </row>
    <row r="13" spans="2:29" ht="8.25" customHeight="1" x14ac:dyDescent="0.25">
      <c r="B13" s="16"/>
      <c r="C13" s="4"/>
      <c r="D13" s="4"/>
      <c r="E13" s="4"/>
      <c r="F13" s="4"/>
      <c r="G13" s="4"/>
      <c r="H13" s="4"/>
      <c r="I13" s="4"/>
      <c r="J13" s="4"/>
      <c r="K13" s="4"/>
      <c r="L13" s="4"/>
      <c r="M13" s="4"/>
      <c r="N13" s="20"/>
      <c r="O13" s="35"/>
      <c r="P13" s="227"/>
      <c r="Q13" s="227"/>
      <c r="R13" s="228"/>
    </row>
    <row r="14" spans="2:29" ht="15.75" x14ac:dyDescent="0.25">
      <c r="B14" s="224" t="s">
        <v>18</v>
      </c>
      <c r="C14" s="224"/>
      <c r="D14" s="1" t="s">
        <v>6</v>
      </c>
      <c r="E14" s="229" t="str">
        <f>VLOOKUP(R9,'L XI RPL'!$B$9:$BI$43,2)</f>
        <v>AFMALA INSAN QOIRUNISA</v>
      </c>
      <c r="F14" s="229"/>
      <c r="G14" s="18"/>
      <c r="H14" s="1" t="s">
        <v>63</v>
      </c>
      <c r="I14" t="s">
        <v>6</v>
      </c>
      <c r="J14" s="225" t="str">
        <f>HOME!G9</f>
        <v>Teknik Komputer dan Informatika</v>
      </c>
      <c r="K14" s="225"/>
      <c r="L14" s="225"/>
      <c r="M14" s="225"/>
      <c r="N14" s="20"/>
      <c r="O14" s="35"/>
      <c r="P14" s="227"/>
      <c r="Q14" s="227"/>
      <c r="R14" s="228"/>
    </row>
    <row r="15" spans="2:29" ht="15.75" x14ac:dyDescent="0.25">
      <c r="B15" s="224" t="s">
        <v>19</v>
      </c>
      <c r="C15" s="224"/>
      <c r="D15" s="1" t="s">
        <v>6</v>
      </c>
      <c r="E15" s="224" t="str">
        <f>VLOOKUP(R9,'L XI RPL'!$B$9:$BI$43,3) &amp; "/" &amp; VLOOKUP(R9,'L XI RPL'!$B$9:$BI$43,4)</f>
        <v>4020/0059023845</v>
      </c>
      <c r="F15" s="224"/>
      <c r="G15" s="17"/>
      <c r="H15" s="1" t="s">
        <v>10</v>
      </c>
      <c r="I15" t="s">
        <v>6</v>
      </c>
      <c r="J15" s="225" t="str">
        <f>ID!G7</f>
        <v>Akuntansi dan Keuangan Lembaga</v>
      </c>
      <c r="K15" s="225"/>
      <c r="L15" s="225"/>
      <c r="M15" s="225"/>
      <c r="N15" s="20"/>
      <c r="O15" s="35"/>
      <c r="P15" s="20"/>
      <c r="Q15" s="20"/>
      <c r="R15" s="36"/>
    </row>
    <row r="16" spans="2:29" ht="15.75" x14ac:dyDescent="0.25">
      <c r="B16" s="224" t="s">
        <v>9</v>
      </c>
      <c r="C16" s="224"/>
      <c r="D16" s="1" t="s">
        <v>6</v>
      </c>
      <c r="E16" s="224" t="str">
        <f>ID!G8</f>
        <v>XII AKL 1</v>
      </c>
      <c r="F16" s="224"/>
      <c r="G16" s="17"/>
      <c r="H16" s="1" t="s">
        <v>20</v>
      </c>
      <c r="I16" t="s">
        <v>6</v>
      </c>
      <c r="J16" s="225" t="str">
        <f>ID!G9</f>
        <v>4/GENAP</v>
      </c>
      <c r="K16" s="225"/>
      <c r="L16" s="225"/>
      <c r="M16" s="225"/>
      <c r="N16" s="20"/>
      <c r="O16" s="35"/>
      <c r="P16" s="20"/>
      <c r="Q16" s="20"/>
      <c r="R16" s="36"/>
    </row>
    <row r="17" spans="2:18" ht="15" x14ac:dyDescent="0.25">
      <c r="N17" s="20"/>
      <c r="O17" s="35"/>
      <c r="P17" s="20"/>
      <c r="Q17" s="20"/>
      <c r="R17" s="36"/>
    </row>
    <row r="18" spans="2:18" ht="21.75" customHeight="1" x14ac:dyDescent="0.25">
      <c r="B18" s="335" t="s">
        <v>161</v>
      </c>
      <c r="C18" s="335"/>
      <c r="D18" s="335"/>
      <c r="E18" s="335"/>
      <c r="F18" s="335"/>
      <c r="G18" s="335"/>
      <c r="H18" s="335"/>
      <c r="I18" s="335"/>
      <c r="J18" s="335"/>
      <c r="K18" s="335"/>
      <c r="L18" s="335"/>
      <c r="M18" s="335"/>
      <c r="N18" s="20"/>
      <c r="O18" s="35"/>
      <c r="P18" s="20"/>
      <c r="Q18" s="20"/>
      <c r="R18" s="36"/>
    </row>
    <row r="19" spans="2:18" ht="31.5" customHeight="1" x14ac:dyDescent="0.25">
      <c r="B19" s="15" t="s">
        <v>32</v>
      </c>
      <c r="C19" s="190" t="s">
        <v>33</v>
      </c>
      <c r="D19" s="190"/>
      <c r="E19" s="190"/>
      <c r="F19" s="222" t="s">
        <v>34</v>
      </c>
      <c r="G19" s="223"/>
      <c r="H19" s="222" t="s">
        <v>35</v>
      </c>
      <c r="I19" s="223"/>
      <c r="J19" s="222" t="s">
        <v>66</v>
      </c>
      <c r="K19" s="223"/>
      <c r="L19" s="15" t="s">
        <v>98</v>
      </c>
      <c r="M19" s="15" t="s">
        <v>36</v>
      </c>
      <c r="N19" s="20"/>
      <c r="O19" s="35"/>
      <c r="P19" s="20"/>
      <c r="Q19" s="20"/>
      <c r="R19" s="36"/>
    </row>
    <row r="20" spans="2:18" ht="15.75" x14ac:dyDescent="0.25">
      <c r="B20" s="188" t="s">
        <v>216</v>
      </c>
      <c r="C20" s="188"/>
      <c r="D20" s="188"/>
      <c r="E20" s="188"/>
      <c r="F20" s="188"/>
      <c r="G20" s="188"/>
      <c r="H20" s="188"/>
      <c r="I20" s="188"/>
      <c r="J20" s="188"/>
      <c r="K20" s="188"/>
      <c r="L20" s="188"/>
      <c r="M20" s="188"/>
      <c r="N20" s="20"/>
      <c r="O20" s="35"/>
      <c r="P20" s="20"/>
      <c r="Q20" s="20"/>
      <c r="R20" s="36"/>
    </row>
    <row r="21" spans="2:18" ht="15.75" x14ac:dyDescent="0.25">
      <c r="B21" s="11">
        <v>1</v>
      </c>
      <c r="C21" s="189" t="s">
        <v>38</v>
      </c>
      <c r="D21" s="189"/>
      <c r="E21" s="189"/>
      <c r="F21" s="209">
        <f>'MP XI RPL'!G7</f>
        <v>60</v>
      </c>
      <c r="G21" s="210"/>
      <c r="H21" s="211">
        <f>VLOOKUP(R9,'L XI RPL'!$B$9:$BI$43,5)</f>
        <v>0</v>
      </c>
      <c r="I21" s="212"/>
      <c r="J21" s="211">
        <f>VLOOKUP(R9,'L XI RPL'!$B$9:$BI$43,6)</f>
        <v>0</v>
      </c>
      <c r="K21" s="212"/>
      <c r="L21" s="13">
        <f>IF(J21=0,H21,AVERAGE(H21:K21))</f>
        <v>0</v>
      </c>
      <c r="M21" s="13" t="str">
        <f>IF(F21=60,IF(AND(L21&gt;$O$26,L21&lt;$P$26),$R$26,IF(AND(L21&gt;=$O$27,L21&lt;=$P$27),$R$27,IF(AND(L21&gt;=$O$28,L21&lt;=$P$28),$R$28,IF(AND(L21&gt;=$O$29,L21&lt;=$P$29),$R$29,IF(AND(L21&gt;=$O$30,L21&lt;=$P$30),$R$30,IF(AND(L21&gt;=$O$31,L21&lt;=$P$31),$R$31,IF(AND(L21&gt;=$O$32,L21&lt;=$P$32),$R$32,IF(AND(L21&gt;=$O$33,L21&lt;$P$33),$R$33,IF(AND(L21&gt;$O$34,L21&lt;$P$34),$R$34,IF(AND(L21&lt;=$P$35),$R$35,0)))))))))),IF(F21=70,IF(AND(L21&gt;$O$39,L21&lt;$P$39),$R$39,IF(AND(L21&gt;=$O$40,L21&lt;=$P$40),$R$40,IF(AND(L21&gt;=$O$41,L21&lt;=$P$41),$R$41,IF(AND(L21&gt;=$O$42,L21&lt;=$P$42),$R$42,IF(AND(L21&gt;=$O$43,L21&lt;=$P$43),$R$43,IF(AND(L21&gt;=$O$44,L21&lt;=$P$44),$R$44,IF(AND(L21&gt;=$O$45,L21&lt;=$P$45),$R$45,IF(AND(L21&gt;=$O$46,L21&lt;$P$46),$R$46,IF(AND(L21&gt;$O$47,L21&lt;$P$47),$R$47,IF(AND(L21&lt;=$P$48),$R$48,0))))))))))))</f>
        <v>D</v>
      </c>
      <c r="N21" s="20"/>
      <c r="O21" s="35"/>
      <c r="P21" s="20"/>
      <c r="Q21" s="20"/>
      <c r="R21" s="36"/>
    </row>
    <row r="22" spans="2:18" ht="16.5" thickBot="1" x14ac:dyDescent="0.3">
      <c r="B22" s="11">
        <v>2</v>
      </c>
      <c r="C22" s="189" t="s">
        <v>213</v>
      </c>
      <c r="D22" s="189"/>
      <c r="E22" s="189"/>
      <c r="F22" s="209">
        <f>'MP XI RPL'!G8</f>
        <v>60</v>
      </c>
      <c r="G22" s="210"/>
      <c r="H22" s="211">
        <f>VLOOKUP(R9,'L XI RPL'!$B$9:$BI$43,8)</f>
        <v>0</v>
      </c>
      <c r="I22" s="212"/>
      <c r="J22" s="211">
        <f>VLOOKUP(R9,'L XI RPL'!$B$9:$BI$43,9)</f>
        <v>0</v>
      </c>
      <c r="K22" s="212"/>
      <c r="L22" s="13">
        <f t="shared" ref="L22:L25" si="0">IF(J22=0,H22,AVERAGE(H22:K22))</f>
        <v>0</v>
      </c>
      <c r="M22" s="13" t="str">
        <f t="shared" ref="M22:M25" si="1">IF(F22=60,IF(AND(L22&gt;$O$26,L22&lt;$P$26),$R$26,IF(AND(L22&gt;=$O$27,L22&lt;=$P$27),$R$27,IF(AND(L22&gt;=$O$28,L22&lt;=$P$28),$R$28,IF(AND(L22&gt;=$O$29,L22&lt;=$P$29),$R$29,IF(AND(L22&gt;=$O$30,L22&lt;=$P$30),$R$30,IF(AND(L22&gt;=$O$31,L22&lt;=$P$31),$R$31,IF(AND(L22&gt;=$O$32,L22&lt;=$P$32),$R$32,IF(AND(L22&gt;=$O$33,L22&lt;$P$33),$R$33,IF(AND(L22&gt;$O$34,L22&lt;$P$34),$R$34,IF(AND(L22&lt;=$P$35),$R$35,0)))))))))),IF(F22=70,IF(AND(L22&gt;$O$39,L22&lt;$P$39),$R$39,IF(AND(L22&gt;=$O$40,L22&lt;=$P$40),$R$40,IF(AND(L22&gt;=$O$41,L22&lt;=$P$41),$R$41,IF(AND(L22&gt;=$O$42,L22&lt;=$P$42),$R$42,IF(AND(L22&gt;=$O$43,L22&lt;=$P$43),$R$43,IF(AND(L22&gt;=$O$44,L22&lt;=$P$44),$R$44,IF(AND(L22&gt;=$O$45,L22&lt;=$P$45),$R$45,IF(AND(L22&gt;=$O$46,L22&lt;$P$46),$R$46,IF(AND(L22&gt;$O$47,L22&lt;$P$47),$R$47,IF(AND(L22&lt;=$P$48),$R$48,0))))))))))))</f>
        <v>D</v>
      </c>
      <c r="N22" s="20"/>
      <c r="O22" s="37"/>
      <c r="P22" s="38"/>
      <c r="Q22" s="38"/>
      <c r="R22" s="39"/>
    </row>
    <row r="23" spans="2:18" ht="16.5" thickBot="1" x14ac:dyDescent="0.3">
      <c r="B23" s="11">
        <v>3</v>
      </c>
      <c r="C23" s="189" t="s">
        <v>40</v>
      </c>
      <c r="D23" s="189"/>
      <c r="E23" s="189"/>
      <c r="F23" s="209">
        <f>'MP XI RPL'!G9</f>
        <v>60</v>
      </c>
      <c r="G23" s="210"/>
      <c r="H23" s="211">
        <f>VLOOKUP(R9,'L XI RPL'!$B$9:$BI$43,11)</f>
        <v>0</v>
      </c>
      <c r="I23" s="212"/>
      <c r="J23" s="211">
        <f>VLOOKUP(R9,'L XI RPL'!$B$9:$BI$43,12)</f>
        <v>0</v>
      </c>
      <c r="K23" s="212"/>
      <c r="L23" s="13">
        <f t="shared" si="0"/>
        <v>0</v>
      </c>
      <c r="M23" s="13" t="str">
        <f t="shared" si="1"/>
        <v>D</v>
      </c>
    </row>
    <row r="24" spans="2:18" ht="15.75" x14ac:dyDescent="0.25">
      <c r="B24" s="11">
        <v>4</v>
      </c>
      <c r="C24" s="187" t="s">
        <v>41</v>
      </c>
      <c r="D24" s="187"/>
      <c r="E24" s="187"/>
      <c r="F24" s="209">
        <f>'MP XI RPL'!G10</f>
        <v>60</v>
      </c>
      <c r="G24" s="210"/>
      <c r="H24" s="211">
        <f>VLOOKUP(R9,'L XI RPL'!$B$9:$BI$43,14)</f>
        <v>0</v>
      </c>
      <c r="I24" s="212"/>
      <c r="J24" s="211">
        <f>VLOOKUP(R9,'L XI RPL'!$B$9:$BI$43,15)</f>
        <v>0</v>
      </c>
      <c r="K24" s="212"/>
      <c r="L24" s="13">
        <f t="shared" si="0"/>
        <v>0</v>
      </c>
      <c r="M24" s="13" t="str">
        <f t="shared" si="1"/>
        <v>D</v>
      </c>
      <c r="O24" s="320" t="s">
        <v>139</v>
      </c>
      <c r="P24" s="323"/>
      <c r="Q24" s="323"/>
      <c r="R24" s="324"/>
    </row>
    <row r="25" spans="2:18" ht="16.5" thickBot="1" x14ac:dyDescent="0.3">
      <c r="B25" s="11">
        <v>5</v>
      </c>
      <c r="C25" s="187" t="s">
        <v>43</v>
      </c>
      <c r="D25" s="187"/>
      <c r="E25" s="187"/>
      <c r="F25" s="209">
        <f>'MP XI RPL'!G11</f>
        <v>60</v>
      </c>
      <c r="G25" s="210"/>
      <c r="H25" s="211">
        <f>VLOOKUP(R9,'L XI RPL'!$B$9:$BI$43,17)</f>
        <v>0</v>
      </c>
      <c r="I25" s="212"/>
      <c r="J25" s="211">
        <f>VLOOKUP(R9,'L XI RPL'!$B$9:$BI$43,18)</f>
        <v>0</v>
      </c>
      <c r="K25" s="212"/>
      <c r="L25" s="13">
        <f t="shared" si="0"/>
        <v>0</v>
      </c>
      <c r="M25" s="13" t="str">
        <f t="shared" si="1"/>
        <v>D</v>
      </c>
      <c r="O25" s="48" t="s">
        <v>141</v>
      </c>
      <c r="P25" s="49" t="s">
        <v>142</v>
      </c>
      <c r="Q25" s="49"/>
      <c r="R25" s="50" t="s">
        <v>138</v>
      </c>
    </row>
    <row r="26" spans="2:18" ht="15.75" x14ac:dyDescent="0.25">
      <c r="B26" s="188" t="s">
        <v>217</v>
      </c>
      <c r="C26" s="188"/>
      <c r="D26" s="188"/>
      <c r="E26" s="188"/>
      <c r="F26" s="188"/>
      <c r="G26" s="188"/>
      <c r="H26" s="188"/>
      <c r="I26" s="188"/>
      <c r="J26" s="188"/>
      <c r="K26" s="188"/>
      <c r="L26" s="188"/>
      <c r="M26" s="188"/>
      <c r="O26" s="113">
        <v>94.5</v>
      </c>
      <c r="P26" s="114">
        <v>100</v>
      </c>
      <c r="Q26" s="45" t="s">
        <v>6</v>
      </c>
      <c r="R26" s="51" t="s">
        <v>137</v>
      </c>
    </row>
    <row r="27" spans="2:18" ht="15.75" x14ac:dyDescent="0.25">
      <c r="B27" s="13">
        <v>1</v>
      </c>
      <c r="C27" s="187" t="s">
        <v>45</v>
      </c>
      <c r="D27" s="187"/>
      <c r="E27" s="187"/>
      <c r="F27" s="209">
        <f>'MP XI RPL'!G13</f>
        <v>70</v>
      </c>
      <c r="G27" s="210"/>
      <c r="H27" s="211">
        <f>VLOOKUP(R9,'L XI RPL'!$B$9:$BI$43,20)</f>
        <v>0</v>
      </c>
      <c r="I27" s="212"/>
      <c r="J27" s="211">
        <f>VLOOKUP(R9,'L XI RPL'!$B$9:$BI$43,21)</f>
        <v>0</v>
      </c>
      <c r="K27" s="212"/>
      <c r="L27" s="13">
        <f>IF(J27=0,H27,AVERAGE(H27:K27))</f>
        <v>0</v>
      </c>
      <c r="M27" s="13" t="str">
        <f>IF(F27=60,IF(AND(L27&gt;$O$26,L27&lt;$P$26),$R$26,IF(AND(L27&gt;=$O$27,L27&lt;=$P$27),$R$27,IF(AND(L27&gt;=$O$28,L27&lt;=$P$28),$R$28,IF(AND(L27&gt;=$O$29,L27&lt;=$P$29),$R$29,IF(AND(L27&gt;=$O$30,L27&lt;=$P$30),$R$30,IF(AND(L27&gt;=$O$31,L27&lt;=$P$31),$R$31,IF(AND(L27&gt;=$O$32,L27&lt;=$P$32),$R$32,IF(AND(L27&gt;=$O$33,L27&lt;$P$33),$R$33,IF(AND(L27&gt;$O$34,L27&lt;$P$34),$R$34,IF(AND(L27&lt;=$P$35),$R$35,0)))))))))),IF(F27=70,IF(AND(L27&gt;$O$39,L27&lt;$P$39),$R$39,IF(AND(L27&gt;=$O$40,L27&lt;=$P$40),$R$40,IF(AND(L27&gt;=$O$41,L27&lt;=$P$41),$R$41,IF(AND(L27&gt;=$O$42,L27&lt;=$P$42),$R$42,IF(AND(L27&gt;=$O$43,L27&lt;=$P$43),$R$43,IF(AND(L27&gt;=$O$44,L27&lt;=$P$44),$R$44,IF(AND(L27&gt;=$O$45,L27&lt;=$P$45),$R$45,IF(AND(L27&gt;=$O$46,L27&lt;$P$46),$R$46,IF(AND(L27&gt;$O$47,L27&lt;$P$47),$R$47,IF(AND(L27&lt;=$P$48),$R$48,0))))))))))))</f>
        <v>D</v>
      </c>
      <c r="O27" s="117">
        <v>89.5</v>
      </c>
      <c r="P27" s="110">
        <v>94.49</v>
      </c>
      <c r="Q27" s="47" t="s">
        <v>6</v>
      </c>
      <c r="R27" s="52" t="s">
        <v>136</v>
      </c>
    </row>
    <row r="28" spans="2:18" ht="15.75" x14ac:dyDescent="0.25">
      <c r="B28" s="13">
        <v>2</v>
      </c>
      <c r="C28" s="187" t="s">
        <v>47</v>
      </c>
      <c r="D28" s="187"/>
      <c r="E28" s="187"/>
      <c r="F28" s="209">
        <f>'MP XI RPL'!G14</f>
        <v>60</v>
      </c>
      <c r="G28" s="210"/>
      <c r="H28" s="211">
        <f>VLOOKUP(R9,'L XI RPL'!$B$9:$BI$43,23)</f>
        <v>0</v>
      </c>
      <c r="I28" s="212"/>
      <c r="J28" s="211">
        <f>VLOOKUP(R9,'L XI RPL'!$B$9:$BI$43,24)</f>
        <v>0</v>
      </c>
      <c r="K28" s="212"/>
      <c r="L28" s="13">
        <f t="shared" ref="L28:L29" si="2">IF(J28=0,H28,AVERAGE(H28:K28))</f>
        <v>0</v>
      </c>
      <c r="M28" s="13" t="str">
        <f t="shared" ref="M28" si="3">IF(F28=60,IF(AND(L28&gt;$O$26,L28&lt;$P$26),$R$26,IF(AND(L28&gt;=$O$27,L28&lt;=$P$27),$R$27,IF(AND(L28&gt;=$O$28,L28&lt;=$P$28),$R$28,IF(AND(L28&gt;=$O$29,L28&lt;=$P$29),$R$29,IF(AND(L28&gt;=$O$30,L28&lt;=$P$30),$R$30,IF(AND(L28&gt;=$O$31,L28&lt;=$P$31),$R$31,IF(AND(L28&gt;=$O$32,L28&lt;=$P$32),$R$32,IF(AND(L28&gt;=$O$33,L28&lt;$P$33),$R$33,IF(AND(L28&gt;$O$34,L28&lt;$P$34),$R$34,IF(AND(L28&lt;=$P$35),$R$35,0)))))))))),IF(F28=70,IF(AND(L28&gt;$O$39,L28&lt;$P$39),$R$39,IF(AND(L28&gt;=$O$40,L28&lt;=$P$40),$R$40,IF(AND(L28&gt;=$O$41,L28&lt;=$P$41),$R$41,IF(AND(L28&gt;=$O$42,L28&lt;=$P$42),$R$42,IF(AND(L28&gt;=$O$43,L28&lt;=$P$43),$R$43,IF(AND(L28&gt;=$O$44,L28&lt;=$P$44),$R$44,IF(AND(L28&gt;=$O$45,L28&lt;=$P$45),$R$45,IF(AND(L28&gt;=$O$46,L28&lt;$P$46),$R$46,IF(AND(L28&gt;$O$47,L28&lt;$P$47),$R$47,IF(AND(L28&lt;=$P$48),$R$48,0))))))))))))</f>
        <v>D</v>
      </c>
      <c r="O28" s="117">
        <v>84.5</v>
      </c>
      <c r="P28" s="110">
        <v>89.49</v>
      </c>
      <c r="Q28" s="47" t="s">
        <v>6</v>
      </c>
      <c r="R28" s="52" t="s">
        <v>135</v>
      </c>
    </row>
    <row r="29" spans="2:18" ht="15.75" x14ac:dyDescent="0.25">
      <c r="B29" s="13">
        <v>3</v>
      </c>
      <c r="C29" s="187" t="s">
        <v>48</v>
      </c>
      <c r="D29" s="187"/>
      <c r="E29" s="187"/>
      <c r="F29" s="209">
        <f>'MP XI RPL'!G15</f>
        <v>60</v>
      </c>
      <c r="G29" s="210"/>
      <c r="H29" s="211">
        <f>VLOOKUP(R9,'L XI RPL'!$B$9:$BI$43,26)</f>
        <v>0</v>
      </c>
      <c r="I29" s="212"/>
      <c r="J29" s="211">
        <f>VLOOKUP(R9,'L XI RPL'!$B$9:$BI$43,27)</f>
        <v>0</v>
      </c>
      <c r="K29" s="212"/>
      <c r="L29" s="13">
        <f t="shared" si="2"/>
        <v>0</v>
      </c>
      <c r="M29" s="13" t="str">
        <f>IF(F29=60,IF(AND(L29&gt;$O$26,L29&lt;$P$26),$R$26,IF(AND(L29&gt;=$O$27,L29&lt;=$P$27),$R$27,IF(AND(L29&gt;=$O$28,L29&lt;=$P$28),$R$28,IF(AND(L29&gt;=$O$29,L29&lt;=$P$29),$R$29,IF(AND(L29&gt;=$O$30,L29&lt;=$P$30),$R$30,IF(AND(L29&gt;=$O$31,L29&lt;=$P$31),$R$31,IF(AND(L29&gt;=$O$32,L29&lt;=$P$32),$R$32,IF(AND(L29&gt;=$O$33,L29&lt;$P$33),$R$33,IF(AND(L29&gt;$O$34,L29&lt;$P$34),$R$34,IF(AND(L29&lt;=$P$35),$R$35,0)))))))))),IF(F29=70,IF(AND(L29&gt;$O$39,L29&lt;$P$39),$R$39,IF(AND(L29&gt;=$O$40,L29&lt;=$P$40),$R$40,IF(AND(L29&gt;=$O$41,L29&lt;=$P$41),$R$41,IF(AND(L29&gt;=$O$42,L29&lt;=$P$42),$R$42,IF(AND(L29&gt;=$O$43,L29&lt;=$P$43),$R$43,IF(AND(L29&gt;=$O$44,L29&lt;=$P$44),$R$44,IF(AND(L29&gt;=$O$45,L29&lt;=$P$45),$R$45,IF(AND(L29&gt;=$O$46,L29&lt;$P$46),$R$46,IF(AND(L29&gt;$O$47,L29&lt;$P$47),$R$47,IF(AND(L29&lt;=$P$48),$R$48,0))))))))))))</f>
        <v>D</v>
      </c>
      <c r="O29" s="117">
        <v>79.5</v>
      </c>
      <c r="P29" s="110">
        <v>84.49</v>
      </c>
      <c r="Q29" s="47" t="s">
        <v>6</v>
      </c>
      <c r="R29" s="52" t="s">
        <v>134</v>
      </c>
    </row>
    <row r="30" spans="2:18" ht="15.75" x14ac:dyDescent="0.25">
      <c r="B30" s="188" t="s">
        <v>218</v>
      </c>
      <c r="C30" s="188"/>
      <c r="D30" s="188"/>
      <c r="E30" s="188"/>
      <c r="F30" s="188"/>
      <c r="G30" s="188"/>
      <c r="H30" s="188"/>
      <c r="I30" s="188"/>
      <c r="J30" s="188"/>
      <c r="K30" s="188"/>
      <c r="L30" s="188"/>
      <c r="M30" s="188"/>
      <c r="O30" s="117">
        <v>74.5</v>
      </c>
      <c r="P30" s="110">
        <v>79.489999999999995</v>
      </c>
      <c r="Q30" s="47" t="s">
        <v>6</v>
      </c>
      <c r="R30" s="52" t="s">
        <v>118</v>
      </c>
    </row>
    <row r="31" spans="2:18" ht="15.75" x14ac:dyDescent="0.25">
      <c r="B31" s="188" t="s">
        <v>78</v>
      </c>
      <c r="C31" s="188"/>
      <c r="D31" s="188"/>
      <c r="E31" s="188"/>
      <c r="F31" s="188"/>
      <c r="G31" s="188"/>
      <c r="H31" s="188"/>
      <c r="I31" s="188"/>
      <c r="J31" s="188"/>
      <c r="K31" s="188"/>
      <c r="L31" s="188"/>
      <c r="M31" s="188"/>
      <c r="O31" s="117">
        <v>69.5</v>
      </c>
      <c r="P31" s="110">
        <v>74.489999999999995</v>
      </c>
      <c r="Q31" s="47" t="s">
        <v>6</v>
      </c>
      <c r="R31" s="52" t="s">
        <v>133</v>
      </c>
    </row>
    <row r="32" spans="2:18" ht="15.75" customHeight="1" x14ac:dyDescent="0.25">
      <c r="B32" s="13">
        <v>1</v>
      </c>
      <c r="C32" s="187" t="s">
        <v>84</v>
      </c>
      <c r="D32" s="187"/>
      <c r="E32" s="187"/>
      <c r="F32" s="209">
        <f>'MP XI RPL'!G18</f>
        <v>70</v>
      </c>
      <c r="G32" s="210"/>
      <c r="H32" s="211">
        <f>VLOOKUP(R9,'L XI RPL'!$B$9:$BI$43,29)</f>
        <v>0</v>
      </c>
      <c r="I32" s="212"/>
      <c r="J32" s="211">
        <f>VLOOKUP(R9,'L XI RPL'!$B$9:$BI$43,30)</f>
        <v>0</v>
      </c>
      <c r="K32" s="212"/>
      <c r="L32" s="13">
        <f>IF(J32=0,H32,AVERAGE(H32:K32))</f>
        <v>0</v>
      </c>
      <c r="M32" s="13" t="str">
        <f>IF(F32=60,IF(AND(L32&gt;$O$26,L32&lt;$P$26),$R$26,IF(AND(L32&gt;=$O$27,L32&lt;=$P$27),$R$27,IF(AND(L32&gt;=$O$28,L32&lt;=$P$28),$R$28,IF(AND(L32&gt;=$O$29,L32&lt;=$P$29),$R$29,IF(AND(L32&gt;=$O$30,L32&lt;=$P$30),$R$30,IF(AND(L32&gt;=$O$31,L32&lt;=$P$31),$R$31,IF(AND(L32&gt;=$O$32,L32&lt;=$P$32),$R$32,IF(AND(L32&gt;=$O$33,L32&lt;$P$33),$R$33,IF(AND(L32&gt;$O$34,L32&lt;$P$34),$R$34,IF(AND(L32&lt;=$P$35),$R$35,0)))))))))),IF(F32=70,IF(AND(L32&gt;$O$39,L32&lt;$P$39),$R$39,IF(AND(L32&gt;=$O$40,L32&lt;=$P$40),$R$40,IF(AND(L32&gt;=$O$41,L32&lt;=$P$41),$R$41,IF(AND(L32&gt;=$O$42,L32&lt;=$P$42),$R$42,IF(AND(L32&gt;=$O$43,L32&lt;=$P$43),$R$43,IF(AND(L32&gt;=$O$44,L32&lt;=$P$44),$R$44,IF(AND(L32&gt;=$O$45,L32&lt;=$P$45),$R$45,IF(AND(L32&gt;=$O$46,L32&lt;$P$46),$R$46,IF(AND(L32&gt;$O$47,L32&lt;$P$47),$R$47,IF(AND(L32&lt;=$P$48),$R$48,0))))))))))))</f>
        <v>D</v>
      </c>
      <c r="O32" s="117">
        <v>64.5</v>
      </c>
      <c r="P32" s="110">
        <v>69.489999999999995</v>
      </c>
      <c r="Q32" s="47" t="s">
        <v>6</v>
      </c>
      <c r="R32" s="52" t="s">
        <v>132</v>
      </c>
    </row>
    <row r="33" spans="2:18" ht="15.75" x14ac:dyDescent="0.25">
      <c r="B33" s="13">
        <v>2</v>
      </c>
      <c r="C33" s="183" t="s">
        <v>85</v>
      </c>
      <c r="D33" s="183"/>
      <c r="E33" s="183"/>
      <c r="F33" s="209">
        <f>'MP XI RPL'!G19</f>
        <v>70</v>
      </c>
      <c r="G33" s="210"/>
      <c r="H33" s="211">
        <f>VLOOKUP(R9,'L XI RPL'!$B$9:$BI$43,32)</f>
        <v>0</v>
      </c>
      <c r="I33" s="212"/>
      <c r="J33" s="211">
        <f>VLOOKUP(R9,'L XI RPL'!$B$9:$BI$43,33)</f>
        <v>0</v>
      </c>
      <c r="K33" s="212"/>
      <c r="L33" s="13">
        <f t="shared" ref="L33:L36" si="4">IF(J33=0,H33,AVERAGE(H33:K33))</f>
        <v>0</v>
      </c>
      <c r="M33" s="13" t="str">
        <f t="shared" ref="M33:M36" si="5">IF(F33=60,IF(AND(L33&gt;$O$26,L33&lt;$P$26),$R$26,IF(AND(L33&gt;=$O$27,L33&lt;=$P$27),$R$27,IF(AND(L33&gt;=$O$28,L33&lt;=$P$28),$R$28,IF(AND(L33&gt;=$O$29,L33&lt;=$P$29),$R$29,IF(AND(L33&gt;=$O$30,L33&lt;=$P$30),$R$30,IF(AND(L33&gt;=$O$31,L33&lt;=$P$31),$R$31,IF(AND(L33&gt;=$O$32,L33&lt;=$P$32),$R$32,IF(AND(L33&gt;=$O$33,L33&lt;$P$33),$R$33,IF(AND(L33&gt;$O$34,L33&lt;$P$34),$R$34,IF(AND(L33&lt;=$P$35),$R$35,0)))))))))),IF(F33=70,IF(AND(L33&gt;$O$39,L33&lt;$P$39),$R$39,IF(AND(L33&gt;=$O$40,L33&lt;=$P$40),$R$40,IF(AND(L33&gt;=$O$41,L33&lt;=$P$41),$R$41,IF(AND(L33&gt;=$O$42,L33&lt;=$P$42),$R$42,IF(AND(L33&gt;=$O$43,L33&lt;=$P$43),$R$43,IF(AND(L33&gt;=$O$44,L33&lt;=$P$44),$R$44,IF(AND(L33&gt;=$O$45,L33&lt;=$P$45),$R$45,IF(AND(L33&gt;=$O$46,L33&lt;$P$46),$R$46,IF(AND(L33&gt;$O$47,L33&lt;$P$47),$R$47,IF(AND(L33&lt;=$P$48),$R$48,0))))))))))))</f>
        <v>D</v>
      </c>
      <c r="O33" s="117">
        <v>59.5</v>
      </c>
      <c r="P33" s="110">
        <v>65.489999999999995</v>
      </c>
      <c r="Q33" s="47" t="s">
        <v>6</v>
      </c>
      <c r="R33" s="52" t="s">
        <v>131</v>
      </c>
    </row>
    <row r="34" spans="2:18" ht="15.75" x14ac:dyDescent="0.25">
      <c r="B34" s="13">
        <v>3</v>
      </c>
      <c r="C34" s="183" t="s">
        <v>86</v>
      </c>
      <c r="D34" s="183"/>
      <c r="E34" s="183"/>
      <c r="F34" s="209">
        <f>'MP XI RPL'!G20</f>
        <v>70</v>
      </c>
      <c r="G34" s="210"/>
      <c r="H34" s="211">
        <f>VLOOKUP(R9,'L XI RPL'!$B$9:$BI$43,35)</f>
        <v>0</v>
      </c>
      <c r="I34" s="212"/>
      <c r="J34" s="211">
        <f>VLOOKUP(R9,'L XI RPL'!$B$9:$BI$43,36)</f>
        <v>0</v>
      </c>
      <c r="K34" s="212"/>
      <c r="L34" s="13">
        <f t="shared" si="4"/>
        <v>0</v>
      </c>
      <c r="M34" s="13" t="str">
        <f t="shared" si="5"/>
        <v>D</v>
      </c>
      <c r="O34" s="117">
        <v>54.5</v>
      </c>
      <c r="P34" s="110">
        <v>59.49</v>
      </c>
      <c r="Q34" s="47" t="s">
        <v>6</v>
      </c>
      <c r="R34" s="52" t="s">
        <v>130</v>
      </c>
    </row>
    <row r="35" spans="2:18" ht="16.5" thickBot="1" x14ac:dyDescent="0.3">
      <c r="B35" s="13">
        <v>4</v>
      </c>
      <c r="C35" s="187" t="s">
        <v>87</v>
      </c>
      <c r="D35" s="187"/>
      <c r="E35" s="187"/>
      <c r="F35" s="209">
        <f>'MP XI RPL'!G21</f>
        <v>70</v>
      </c>
      <c r="G35" s="210"/>
      <c r="H35" s="211">
        <f>VLOOKUP(R9,'L XI RPL'!$B$9:$BI$43,38)</f>
        <v>0</v>
      </c>
      <c r="I35" s="212"/>
      <c r="J35" s="211">
        <f>VLOOKUP(R9,'L XI RPL'!$B$9:$BI$43,39)</f>
        <v>0</v>
      </c>
      <c r="K35" s="212"/>
      <c r="L35" s="13">
        <f t="shared" si="4"/>
        <v>0</v>
      </c>
      <c r="M35" s="13" t="str">
        <f>IF(F35=60,IF(AND(L35&gt;$O$26,L35&lt;$P$26),$R$26,IF(AND(L35&gt;=$O$27,L35&lt;=$P$27),$R$27,IF(AND(L35&gt;=$O$28,L35&lt;=$P$28),$R$28,IF(AND(L35&gt;=$O$29,L35&lt;=$P$29),$R$29,IF(AND(L35&gt;=$O$30,L35&lt;=$P$30),$R$30,IF(AND(L35&gt;=$O$31,L35&lt;=$P$31),$R$31,IF(AND(L35&gt;=$O$32,L35&lt;=$P$32),$R$32,IF(AND(L35&gt;=$O$33,L35&lt;$P$33),$R$33,IF(AND(L35&gt;$O$34,L35&lt;$P$34),$R$34,IF(AND(L35&lt;=$P$35),$R$35,0)))))))))),IF(F35=70,IF(AND(L35&gt;$O$39,L35&lt;$P$39),$R$39,IF(AND(L35&gt;=$O$40,L35&lt;=$P$40),$R$40,IF(AND(L35&gt;=$O$41,L35&lt;=$P$41),$R$41,IF(AND(L35&gt;=$O$42,L35&lt;=$P$42),$R$42,IF(AND(L35&gt;=$O$43,L35&lt;=$P$43),$R$43,IF(AND(L35&gt;=$O$44,L35&lt;=$P$44),$R$44,IF(AND(L35&gt;=$O$45,L35&lt;=$P$45),$R$45,IF(AND(L35&gt;=$O$46,L35&lt;$P$46),$R$46,IF(AND(L35&gt;$O$47,L35&lt;$P$47),$R$47,IF(AND(L35&lt;=$P$48),$R$48,0))))))))))))</f>
        <v>D</v>
      </c>
      <c r="O35" s="112">
        <v>49.5</v>
      </c>
      <c r="P35" s="111">
        <v>54.49</v>
      </c>
      <c r="Q35" s="49" t="s">
        <v>6</v>
      </c>
      <c r="R35" s="50" t="s">
        <v>129</v>
      </c>
    </row>
    <row r="36" spans="2:18" ht="16.5" thickBot="1" x14ac:dyDescent="0.3">
      <c r="B36" s="13">
        <v>5</v>
      </c>
      <c r="C36" s="183" t="s">
        <v>83</v>
      </c>
      <c r="D36" s="183"/>
      <c r="E36" s="183"/>
      <c r="F36" s="209">
        <f>'MP XI RPL'!G22</f>
        <v>70</v>
      </c>
      <c r="G36" s="210"/>
      <c r="H36" s="211">
        <f>VLOOKUP(R9,'L XI RPL'!$B$9:$BI$43,41)</f>
        <v>0</v>
      </c>
      <c r="I36" s="212"/>
      <c r="J36" s="211">
        <f>VLOOKUP(R9,'L XI RPL'!$B$9:$BI$43,42)</f>
        <v>0</v>
      </c>
      <c r="K36" s="212"/>
      <c r="L36" s="13">
        <f t="shared" si="4"/>
        <v>0</v>
      </c>
      <c r="M36" s="13" t="str">
        <f t="shared" si="5"/>
        <v>D</v>
      </c>
      <c r="O36" s="20"/>
      <c r="P36" s="20"/>
      <c r="Q36" s="20"/>
      <c r="R36" s="20"/>
    </row>
    <row r="37" spans="2:18" ht="15.75" x14ac:dyDescent="0.25">
      <c r="B37" s="209" t="s">
        <v>60</v>
      </c>
      <c r="C37" s="304"/>
      <c r="D37" s="304"/>
      <c r="E37" s="304"/>
      <c r="F37" s="304"/>
      <c r="G37" s="210"/>
      <c r="H37" s="332">
        <f>VLOOKUP(R9,'L XI RPL'!$B$9:$BI$43,59)</f>
        <v>0</v>
      </c>
      <c r="I37" s="332"/>
      <c r="J37" s="332"/>
      <c r="K37" s="332"/>
      <c r="L37" s="332"/>
      <c r="M37" s="332"/>
      <c r="O37" s="320" t="s">
        <v>140</v>
      </c>
      <c r="P37" s="321"/>
      <c r="Q37" s="321"/>
      <c r="R37" s="322"/>
    </row>
    <row r="38" spans="2:18" ht="16.5" thickBot="1" x14ac:dyDescent="0.3">
      <c r="B38" s="240" t="s">
        <v>61</v>
      </c>
      <c r="C38" s="241"/>
      <c r="D38" s="241"/>
      <c r="E38" s="241"/>
      <c r="F38" s="241"/>
      <c r="G38" s="242"/>
      <c r="H38" s="239">
        <f>VLOOKUP(R9,'L XI RPL'!$B$9:$BI$43,60)</f>
        <v>1</v>
      </c>
      <c r="I38" s="239"/>
      <c r="J38" s="239"/>
      <c r="K38" s="239"/>
      <c r="L38" s="239"/>
      <c r="M38" s="239"/>
      <c r="O38" s="48" t="s">
        <v>141</v>
      </c>
      <c r="P38" s="49" t="s">
        <v>142</v>
      </c>
      <c r="Q38" s="49"/>
      <c r="R38" s="50" t="s">
        <v>138</v>
      </c>
    </row>
    <row r="39" spans="2:18" ht="15.75" x14ac:dyDescent="0.25">
      <c r="B39" s="264" t="s">
        <v>165</v>
      </c>
      <c r="C39" s="264"/>
      <c r="D39" s="264"/>
      <c r="E39" s="264"/>
      <c r="F39" s="264"/>
      <c r="G39" s="264"/>
      <c r="H39" s="264"/>
      <c r="I39" s="264"/>
      <c r="J39" s="264"/>
      <c r="K39" s="264"/>
      <c r="L39" s="264"/>
      <c r="M39" s="264"/>
      <c r="O39" s="121">
        <v>96.5</v>
      </c>
      <c r="P39" s="122">
        <v>100</v>
      </c>
      <c r="Q39" s="45" t="s">
        <v>6</v>
      </c>
      <c r="R39" s="51" t="s">
        <v>137</v>
      </c>
    </row>
    <row r="40" spans="2:18" ht="15" x14ac:dyDescent="0.25">
      <c r="B40" s="94" t="s">
        <v>27</v>
      </c>
      <c r="C40" s="267" t="s">
        <v>36</v>
      </c>
      <c r="D40" s="268"/>
      <c r="E40" s="269"/>
      <c r="F40" s="265" t="s">
        <v>172</v>
      </c>
      <c r="G40" s="265"/>
      <c r="H40" s="265"/>
      <c r="I40" s="265"/>
      <c r="J40" s="265"/>
      <c r="K40" s="265"/>
      <c r="L40" s="265"/>
      <c r="M40" s="265"/>
      <c r="O40" s="123">
        <v>93.5</v>
      </c>
      <c r="P40" s="110">
        <v>96.49</v>
      </c>
      <c r="Q40" s="47" t="s">
        <v>6</v>
      </c>
      <c r="R40" s="52" t="s">
        <v>136</v>
      </c>
    </row>
    <row r="41" spans="2:18" ht="15" x14ac:dyDescent="0.25">
      <c r="B41" s="7">
        <v>1</v>
      </c>
      <c r="C41" s="96" t="s">
        <v>166</v>
      </c>
      <c r="D41" s="95" t="s">
        <v>6</v>
      </c>
      <c r="E41" s="109">
        <f>VLOOKUP(R9,'BK &amp; EX &amp; PKL &amp; Press'!$B$9:$BO$66,26,0)</f>
        <v>0</v>
      </c>
      <c r="F41" s="266">
        <f>VLOOKUP(R9,'BK &amp; EX &amp; PKL &amp; Press'!$B$9:$BO$66,27,0)</f>
        <v>0</v>
      </c>
      <c r="G41" s="266"/>
      <c r="H41" s="266"/>
      <c r="I41" s="266"/>
      <c r="J41" s="266"/>
      <c r="K41" s="266"/>
      <c r="L41" s="266"/>
      <c r="M41" s="266"/>
      <c r="O41" s="123">
        <v>89.5</v>
      </c>
      <c r="P41" s="110">
        <v>93.49</v>
      </c>
      <c r="Q41" s="47" t="s">
        <v>6</v>
      </c>
      <c r="R41" s="52" t="s">
        <v>135</v>
      </c>
    </row>
    <row r="42" spans="2:18" ht="15" x14ac:dyDescent="0.25">
      <c r="B42" s="7">
        <v>2</v>
      </c>
      <c r="C42" s="96" t="s">
        <v>159</v>
      </c>
      <c r="D42" s="95" t="s">
        <v>6</v>
      </c>
      <c r="E42" s="109">
        <f>VLOOKUP(R9,'BK &amp; EX &amp; PKL &amp; Press'!$B$9:$BO$66,29,0)</f>
        <v>0</v>
      </c>
      <c r="F42" s="266">
        <f>VLOOKUP(R9,'BK &amp; EX &amp; PKL &amp; Press'!$B$9:$BO$66,30,0)</f>
        <v>0</v>
      </c>
      <c r="G42" s="266"/>
      <c r="H42" s="266"/>
      <c r="I42" s="266"/>
      <c r="J42" s="266"/>
      <c r="K42" s="266"/>
      <c r="L42" s="266"/>
      <c r="M42" s="266"/>
      <c r="O42" s="123">
        <v>85.5</v>
      </c>
      <c r="P42" s="110">
        <v>89.49</v>
      </c>
      <c r="Q42" s="47" t="s">
        <v>6</v>
      </c>
      <c r="R42" s="52" t="s">
        <v>134</v>
      </c>
    </row>
    <row r="43" spans="2:18" ht="15" x14ac:dyDescent="0.25">
      <c r="B43" s="7">
        <v>3</v>
      </c>
      <c r="C43" s="96" t="s">
        <v>167</v>
      </c>
      <c r="D43" s="95" t="s">
        <v>6</v>
      </c>
      <c r="E43" s="109">
        <f>VLOOKUP(R9,'BK &amp; EX &amp; PKL &amp; Press'!$B$9:$BO$66,32,0)</f>
        <v>0</v>
      </c>
      <c r="F43" s="266">
        <f>VLOOKUP(R9,'BK &amp; EX &amp; PKL &amp; Press'!$B$9:$BO$66,33,0)</f>
        <v>0</v>
      </c>
      <c r="G43" s="266"/>
      <c r="H43" s="266"/>
      <c r="I43" s="266"/>
      <c r="J43" s="266"/>
      <c r="K43" s="266"/>
      <c r="L43" s="266"/>
      <c r="M43" s="266"/>
      <c r="O43" s="123">
        <v>81.5</v>
      </c>
      <c r="P43" s="110">
        <v>85.49</v>
      </c>
      <c r="Q43" s="47" t="s">
        <v>6</v>
      </c>
      <c r="R43" s="52" t="s">
        <v>118</v>
      </c>
    </row>
    <row r="44" spans="2:18" ht="15" x14ac:dyDescent="0.25">
      <c r="B44" s="7">
        <v>4</v>
      </c>
      <c r="C44" s="96" t="s">
        <v>168</v>
      </c>
      <c r="D44" s="95" t="s">
        <v>6</v>
      </c>
      <c r="E44" s="109">
        <f>VLOOKUP(R9,'BK &amp; EX &amp; PKL &amp; Press'!$B$9:$BO$66,35,0)</f>
        <v>0</v>
      </c>
      <c r="F44" s="266">
        <f>VLOOKUP(R9,'BK &amp; EX &amp; PKL &amp; Press'!$B$9:$BO$66,36,0)</f>
        <v>0</v>
      </c>
      <c r="G44" s="266"/>
      <c r="H44" s="266"/>
      <c r="I44" s="266"/>
      <c r="J44" s="266"/>
      <c r="K44" s="266"/>
      <c r="L44" s="266"/>
      <c r="M44" s="266"/>
      <c r="O44" s="123">
        <v>77.5</v>
      </c>
      <c r="P44" s="110">
        <v>81.489999999999995</v>
      </c>
      <c r="Q44" s="47" t="s">
        <v>6</v>
      </c>
      <c r="R44" s="52" t="s">
        <v>133</v>
      </c>
    </row>
    <row r="45" spans="2:18" ht="15" x14ac:dyDescent="0.25">
      <c r="B45" s="7">
        <v>5</v>
      </c>
      <c r="C45" s="96" t="s">
        <v>169</v>
      </c>
      <c r="D45" s="95" t="s">
        <v>6</v>
      </c>
      <c r="E45" s="109">
        <f>VLOOKUP(R9,'BK &amp; EX &amp; PKL &amp; Press'!$B$9:$BO$66,38,0)</f>
        <v>0</v>
      </c>
      <c r="F45" s="266">
        <f>VLOOKUP(R9,'BK &amp; EX &amp; PKL &amp; Press'!$B$9:$BO$66,39,0)</f>
        <v>0</v>
      </c>
      <c r="G45" s="266"/>
      <c r="H45" s="266"/>
      <c r="I45" s="266"/>
      <c r="J45" s="266"/>
      <c r="K45" s="266"/>
      <c r="L45" s="266"/>
      <c r="M45" s="266"/>
      <c r="O45" s="123">
        <v>73.5</v>
      </c>
      <c r="P45" s="110">
        <v>77.489999999999995</v>
      </c>
      <c r="Q45" s="47" t="s">
        <v>6</v>
      </c>
      <c r="R45" s="52" t="s">
        <v>132</v>
      </c>
    </row>
    <row r="46" spans="2:18" ht="15" x14ac:dyDescent="0.25">
      <c r="B46" s="7">
        <v>6</v>
      </c>
      <c r="C46" s="96" t="s">
        <v>160</v>
      </c>
      <c r="D46" s="95" t="s">
        <v>6</v>
      </c>
      <c r="E46" s="109">
        <f>VLOOKUP(R9,'BK &amp; EX &amp; PKL &amp; Press'!$B$9:$BO$66,41,0)</f>
        <v>0</v>
      </c>
      <c r="F46" s="266">
        <f>VLOOKUP(R9,'BK &amp; EX &amp; PKL &amp; Press'!$B$9:$BO$66,42,0)</f>
        <v>0</v>
      </c>
      <c r="G46" s="266"/>
      <c r="H46" s="266"/>
      <c r="I46" s="266"/>
      <c r="J46" s="266"/>
      <c r="K46" s="266"/>
      <c r="L46" s="266"/>
      <c r="M46" s="266"/>
      <c r="O46" s="123">
        <v>69.5</v>
      </c>
      <c r="P46" s="110">
        <v>73.489999999999995</v>
      </c>
      <c r="Q46" s="47" t="s">
        <v>6</v>
      </c>
      <c r="R46" s="52" t="s">
        <v>131</v>
      </c>
    </row>
    <row r="47" spans="2:18" ht="15" x14ac:dyDescent="0.25">
      <c r="B47" s="7">
        <v>7</v>
      </c>
      <c r="C47" s="96" t="s">
        <v>170</v>
      </c>
      <c r="D47" s="95" t="s">
        <v>6</v>
      </c>
      <c r="E47" s="109" t="str">
        <f>VLOOKUP(R9,'BK &amp; EX &amp; PKL &amp; Press'!$B$9:$BO$66,44,0)</f>
        <v>A</v>
      </c>
      <c r="F47" s="266" t="str">
        <f>VLOOKUP(R9,'BK &amp; EX &amp; PKL &amp; Press'!$B$9:$BO$66,45,0)</f>
        <v>Ananda AFMALA INSAN QOIRUNISA Sangat baik dalam mengikuti kegiatan ekstrakurikuler Marching Band</v>
      </c>
      <c r="G47" s="266"/>
      <c r="H47" s="266"/>
      <c r="I47" s="266"/>
      <c r="J47" s="266"/>
      <c r="K47" s="266"/>
      <c r="L47" s="266"/>
      <c r="M47" s="266"/>
      <c r="O47" s="123">
        <v>64.5</v>
      </c>
      <c r="P47" s="110">
        <v>69.489999999999995</v>
      </c>
      <c r="Q47" s="47" t="s">
        <v>6</v>
      </c>
      <c r="R47" s="52" t="s">
        <v>130</v>
      </c>
    </row>
    <row r="48" spans="2:18" ht="15.75" thickBot="1" x14ac:dyDescent="0.3">
      <c r="B48" s="7">
        <v>8</v>
      </c>
      <c r="C48" s="96" t="s">
        <v>171</v>
      </c>
      <c r="D48" s="95" t="s">
        <v>6</v>
      </c>
      <c r="E48" s="109">
        <f>VLOOKUP(R9,'BK &amp; EX &amp; PKL &amp; Press'!$B$9:$BO$66,47,0)</f>
        <v>0</v>
      </c>
      <c r="F48" s="266">
        <f>VLOOKUP(R9,'BK &amp; EX &amp; PKL &amp; Press'!$B$9:$BO$66,48,0)</f>
        <v>0</v>
      </c>
      <c r="G48" s="266"/>
      <c r="H48" s="266"/>
      <c r="I48" s="266"/>
      <c r="J48" s="266"/>
      <c r="K48" s="266"/>
      <c r="L48" s="266"/>
      <c r="M48" s="266"/>
      <c r="O48" s="48">
        <v>60.5</v>
      </c>
      <c r="P48" s="111">
        <v>64.489999999999995</v>
      </c>
      <c r="Q48" s="49" t="s">
        <v>6</v>
      </c>
      <c r="R48" s="50" t="s">
        <v>129</v>
      </c>
    </row>
    <row r="49" spans="2:18" ht="15" x14ac:dyDescent="0.25">
      <c r="B49" s="243" t="s">
        <v>173</v>
      </c>
      <c r="C49" s="244"/>
      <c r="D49" s="244"/>
      <c r="E49" s="245"/>
      <c r="F49" s="254" t="s">
        <v>174</v>
      </c>
      <c r="G49" s="254"/>
      <c r="H49" s="254"/>
      <c r="I49" s="97" t="s">
        <v>6</v>
      </c>
      <c r="J49" s="99">
        <f>VLOOKUP(R9,'BK &amp; EX &amp; PKL &amp; Press'!$B$9:$BO$66,56,0)</f>
        <v>0</v>
      </c>
      <c r="K49" s="254" t="s">
        <v>177</v>
      </c>
      <c r="L49" s="254"/>
      <c r="M49" s="257"/>
      <c r="O49" s="103"/>
      <c r="P49" s="103"/>
      <c r="Q49" s="103"/>
      <c r="R49" s="103"/>
    </row>
    <row r="50" spans="2:18" ht="15" x14ac:dyDescent="0.25">
      <c r="B50" s="246"/>
      <c r="C50" s="247"/>
      <c r="D50" s="247"/>
      <c r="E50" s="248"/>
      <c r="F50" s="253" t="s">
        <v>175</v>
      </c>
      <c r="G50" s="253"/>
      <c r="H50" s="253"/>
      <c r="I50" s="6" t="s">
        <v>6</v>
      </c>
      <c r="J50" s="100">
        <f>VLOOKUP(R9,'BK &amp; EX &amp; PKL &amp; Press'!$B$9:$BO$66,57,0)</f>
        <v>1</v>
      </c>
      <c r="K50" s="253" t="s">
        <v>177</v>
      </c>
      <c r="L50" s="253"/>
      <c r="M50" s="256"/>
      <c r="O50" s="103"/>
      <c r="P50" s="103"/>
      <c r="Q50" s="103"/>
      <c r="R50" s="103"/>
    </row>
    <row r="51" spans="2:18" ht="15" x14ac:dyDescent="0.25">
      <c r="B51" s="249"/>
      <c r="C51" s="250"/>
      <c r="D51" s="250"/>
      <c r="E51" s="251"/>
      <c r="F51" s="252" t="s">
        <v>176</v>
      </c>
      <c r="G51" s="252"/>
      <c r="H51" s="252"/>
      <c r="I51" s="98" t="s">
        <v>6</v>
      </c>
      <c r="J51" s="101">
        <f>VLOOKUP(R9,'BK &amp; EX &amp; PKL &amp; Press'!$B$9:$BO$66,58,0)</f>
        <v>0</v>
      </c>
      <c r="K51" s="252" t="s">
        <v>177</v>
      </c>
      <c r="L51" s="252"/>
      <c r="M51" s="255"/>
      <c r="O51" s="103"/>
      <c r="P51" s="103"/>
      <c r="Q51" s="103"/>
      <c r="R51" s="103"/>
    </row>
    <row r="52" spans="2:18" ht="15.75" x14ac:dyDescent="0.25">
      <c r="B52" s="271" t="s">
        <v>178</v>
      </c>
      <c r="C52" s="272"/>
      <c r="D52" s="272"/>
      <c r="E52" s="272"/>
      <c r="F52" s="272"/>
      <c r="G52" s="272"/>
      <c r="H52" s="272"/>
      <c r="I52" s="272"/>
      <c r="J52" s="272"/>
      <c r="K52" s="272"/>
      <c r="L52" s="272"/>
      <c r="M52" s="273"/>
      <c r="O52" s="103"/>
      <c r="P52" s="103"/>
      <c r="Q52" s="103"/>
      <c r="R52" s="103"/>
    </row>
    <row r="53" spans="2:18" ht="15" x14ac:dyDescent="0.25">
      <c r="B53" s="274"/>
      <c r="C53" s="151"/>
      <c r="D53" s="151"/>
      <c r="E53" s="151"/>
      <c r="F53" s="151"/>
      <c r="G53" s="151"/>
      <c r="H53" s="151"/>
      <c r="I53" s="151"/>
      <c r="J53" s="151"/>
      <c r="K53" s="151"/>
      <c r="L53" s="151"/>
      <c r="M53" s="275"/>
      <c r="O53" s="103"/>
      <c r="P53" s="103"/>
      <c r="Q53" s="103"/>
      <c r="R53" s="103"/>
    </row>
    <row r="54" spans="2:18" ht="41.25" customHeight="1" x14ac:dyDescent="0.25">
      <c r="B54" s="276"/>
      <c r="C54" s="277"/>
      <c r="D54" s="277"/>
      <c r="E54" s="277"/>
      <c r="F54" s="277"/>
      <c r="G54" s="277"/>
      <c r="H54" s="277"/>
      <c r="I54" s="277"/>
      <c r="J54" s="277"/>
      <c r="K54" s="277"/>
      <c r="L54" s="277"/>
      <c r="M54" s="278"/>
      <c r="O54" s="103"/>
      <c r="P54" s="103"/>
      <c r="Q54" s="103"/>
      <c r="R54" s="103"/>
    </row>
    <row r="55" spans="2:18" ht="15" x14ac:dyDescent="0.25">
      <c r="B55" s="6"/>
      <c r="C55" s="6"/>
      <c r="D55" s="6"/>
      <c r="E55" s="6"/>
      <c r="F55" s="6"/>
      <c r="G55" s="6"/>
      <c r="H55" s="6"/>
      <c r="I55" s="6"/>
      <c r="J55" s="6"/>
      <c r="K55" s="6"/>
      <c r="L55" s="6"/>
      <c r="M55" s="6"/>
      <c r="O55" s="103"/>
      <c r="P55" s="103"/>
      <c r="Q55" s="103"/>
      <c r="R55" s="103"/>
    </row>
    <row r="56" spans="2:18" ht="15.75" x14ac:dyDescent="0.25">
      <c r="B56" s="1"/>
      <c r="C56" s="1"/>
      <c r="D56" s="1"/>
      <c r="E56" s="1"/>
      <c r="F56" s="1"/>
      <c r="G56" s="1"/>
      <c r="H56" s="1"/>
      <c r="I56" s="1"/>
      <c r="J56" s="129" t="str">
        <f>ID!G11</f>
        <v>31 MARET 2023</v>
      </c>
      <c r="K56" s="129"/>
      <c r="L56" s="129"/>
      <c r="M56" s="129"/>
      <c r="O56" s="103"/>
      <c r="P56" s="103"/>
      <c r="Q56" s="103"/>
      <c r="R56" s="103"/>
    </row>
    <row r="57" spans="2:18" ht="15.75" x14ac:dyDescent="0.25">
      <c r="B57" s="203" t="s">
        <v>180</v>
      </c>
      <c r="C57" s="203"/>
      <c r="D57" s="203"/>
      <c r="E57" s="1"/>
      <c r="F57" s="1" t="s">
        <v>67</v>
      </c>
      <c r="G57" s="1"/>
      <c r="H57" s="1"/>
      <c r="I57" s="1"/>
      <c r="J57" s="1"/>
      <c r="K57" s="1"/>
      <c r="L57" s="1"/>
      <c r="M57" s="1"/>
      <c r="O57" s="103"/>
      <c r="P57" s="103"/>
      <c r="Q57" s="103"/>
      <c r="R57" s="103"/>
    </row>
    <row r="58" spans="2:18" ht="15.75" x14ac:dyDescent="0.25">
      <c r="B58" s="1"/>
      <c r="C58" s="1"/>
      <c r="D58" s="1"/>
      <c r="E58" s="203" t="s">
        <v>179</v>
      </c>
      <c r="F58" s="203"/>
      <c r="G58" s="203"/>
      <c r="H58" s="203"/>
      <c r="I58" s="203"/>
      <c r="J58" s="203" t="s">
        <v>62</v>
      </c>
      <c r="K58" s="203"/>
      <c r="L58" s="203"/>
      <c r="M58" s="203"/>
      <c r="O58" s="103"/>
      <c r="P58" s="103"/>
      <c r="Q58" s="103"/>
      <c r="R58" s="103"/>
    </row>
    <row r="59" spans="2:18" ht="15.75" x14ac:dyDescent="0.25">
      <c r="B59" s="1"/>
      <c r="C59" s="1"/>
      <c r="D59" s="1"/>
      <c r="E59" s="1"/>
      <c r="F59" s="1"/>
      <c r="G59" s="1"/>
      <c r="H59" s="1"/>
      <c r="I59" s="1"/>
      <c r="J59" s="1"/>
      <c r="K59" s="1"/>
      <c r="L59" s="1"/>
      <c r="M59" s="1"/>
      <c r="O59" s="103"/>
      <c r="P59" s="103"/>
      <c r="Q59" s="103"/>
      <c r="R59" s="103"/>
    </row>
    <row r="60" spans="2:18" ht="15.75" x14ac:dyDescent="0.25">
      <c r="B60" s="1"/>
      <c r="C60" s="1"/>
      <c r="D60" s="1"/>
      <c r="E60" s="1"/>
      <c r="F60" s="1"/>
      <c r="G60" s="1"/>
      <c r="H60" s="1"/>
      <c r="I60" s="1"/>
      <c r="J60" s="1"/>
      <c r="K60" s="1"/>
      <c r="L60" s="1"/>
      <c r="M60" s="1"/>
      <c r="O60" s="103"/>
      <c r="P60" s="103"/>
      <c r="Q60" s="103"/>
      <c r="R60" s="103"/>
    </row>
    <row r="61" spans="2:18" ht="15.75" x14ac:dyDescent="0.25">
      <c r="B61" s="1"/>
      <c r="C61" s="1"/>
      <c r="D61" s="1"/>
      <c r="E61" s="1"/>
      <c r="F61" s="1"/>
      <c r="G61" s="1"/>
      <c r="H61" s="1"/>
      <c r="I61" s="1"/>
      <c r="J61" s="1"/>
      <c r="K61" s="1"/>
      <c r="L61" s="1"/>
      <c r="M61" s="1"/>
      <c r="O61" s="103"/>
      <c r="P61" s="103"/>
      <c r="Q61" s="103"/>
      <c r="R61" s="103"/>
    </row>
    <row r="62" spans="2:18" ht="15.75" x14ac:dyDescent="0.25">
      <c r="B62" s="270" t="s">
        <v>208</v>
      </c>
      <c r="C62" s="270"/>
      <c r="D62" s="270"/>
      <c r="E62" s="204" t="str">
        <f>ID!G6</f>
        <v>Sri Rahayu, S.Pd., SE.</v>
      </c>
      <c r="F62" s="204"/>
      <c r="G62" s="204"/>
      <c r="H62" s="204"/>
      <c r="I62" s="204"/>
      <c r="J62" s="204" t="str">
        <f>ID!G10</f>
        <v>SURADI S.Pd.</v>
      </c>
      <c r="K62" s="204"/>
      <c r="L62" s="204"/>
      <c r="M62" s="204"/>
      <c r="O62" s="103"/>
      <c r="P62" s="103"/>
      <c r="Q62" s="103"/>
      <c r="R62" s="103"/>
    </row>
    <row r="63" spans="2:18" ht="15.75" x14ac:dyDescent="0.25">
      <c r="B63" s="4"/>
      <c r="C63" s="4"/>
      <c r="D63" s="4"/>
      <c r="E63" s="4"/>
      <c r="F63" s="1"/>
      <c r="G63" s="1"/>
      <c r="H63" s="4"/>
      <c r="I63" s="4"/>
      <c r="J63" s="4"/>
      <c r="K63" s="4"/>
      <c r="L63" s="4"/>
      <c r="M63" s="4"/>
      <c r="O63" s="103"/>
      <c r="P63" s="103"/>
      <c r="Q63" s="103"/>
      <c r="R63" s="103"/>
    </row>
    <row r="64" spans="2:18" ht="15.75" x14ac:dyDescent="0.25">
      <c r="B64" s="4"/>
      <c r="C64" s="4"/>
      <c r="D64" s="4"/>
      <c r="E64" s="4"/>
      <c r="F64" s="1"/>
      <c r="G64" s="1"/>
      <c r="H64" s="4"/>
      <c r="I64" s="4"/>
      <c r="J64" s="4"/>
      <c r="K64" s="4"/>
      <c r="L64" s="4"/>
      <c r="M64" s="4"/>
      <c r="O64" s="103"/>
      <c r="P64" s="103"/>
      <c r="Q64" s="103"/>
      <c r="R64" s="103"/>
    </row>
    <row r="65" spans="19:19" s="12" customFormat="1" ht="7.5" customHeight="1" x14ac:dyDescent="0.25">
      <c r="S65"/>
    </row>
  </sheetData>
  <sheetProtection selectLockedCells="1"/>
  <mergeCells count="127">
    <mergeCell ref="B52:M52"/>
    <mergeCell ref="B53:M54"/>
    <mergeCell ref="J56:M56"/>
    <mergeCell ref="B57:D57"/>
    <mergeCell ref="E58:I58"/>
    <mergeCell ref="J58:M58"/>
    <mergeCell ref="B62:D62"/>
    <mergeCell ref="E62:I62"/>
    <mergeCell ref="J62:M62"/>
    <mergeCell ref="F42:M42"/>
    <mergeCell ref="F43:M43"/>
    <mergeCell ref="F44:M44"/>
    <mergeCell ref="F47:M47"/>
    <mergeCell ref="F48:M48"/>
    <mergeCell ref="B49:E51"/>
    <mergeCell ref="F49:H49"/>
    <mergeCell ref="K49:M49"/>
    <mergeCell ref="F50:H50"/>
    <mergeCell ref="K50:M50"/>
    <mergeCell ref="F51:H51"/>
    <mergeCell ref="K51:M51"/>
    <mergeCell ref="F45:M45"/>
    <mergeCell ref="F46:M46"/>
    <mergeCell ref="J34:K34"/>
    <mergeCell ref="J35:K35"/>
    <mergeCell ref="C32:E32"/>
    <mergeCell ref="F32:G32"/>
    <mergeCell ref="C35:E35"/>
    <mergeCell ref="F35:G35"/>
    <mergeCell ref="H35:I35"/>
    <mergeCell ref="C33:E33"/>
    <mergeCell ref="F33:G33"/>
    <mergeCell ref="H33:I33"/>
    <mergeCell ref="C34:E34"/>
    <mergeCell ref="F34:G34"/>
    <mergeCell ref="H34:I34"/>
    <mergeCell ref="B38:G38"/>
    <mergeCell ref="H38:M38"/>
    <mergeCell ref="B39:M39"/>
    <mergeCell ref="C40:E40"/>
    <mergeCell ref="F40:M40"/>
    <mergeCell ref="F41:M41"/>
    <mergeCell ref="V7:AC7"/>
    <mergeCell ref="V8:AC8"/>
    <mergeCell ref="P9:Q11"/>
    <mergeCell ref="R9:R11"/>
    <mergeCell ref="V9:AC9"/>
    <mergeCell ref="P12:Q14"/>
    <mergeCell ref="R12:R14"/>
    <mergeCell ref="E14:F14"/>
    <mergeCell ref="J14:M14"/>
    <mergeCell ref="D7:M7"/>
    <mergeCell ref="D8:M8"/>
    <mergeCell ref="D9:M9"/>
    <mergeCell ref="B10:M10"/>
    <mergeCell ref="B11:M11"/>
    <mergeCell ref="B12:M12"/>
    <mergeCell ref="B14:C14"/>
    <mergeCell ref="J15:M15"/>
    <mergeCell ref="J16:M16"/>
    <mergeCell ref="D2:M2"/>
    <mergeCell ref="D3:M3"/>
    <mergeCell ref="D4:M4"/>
    <mergeCell ref="D5:M5"/>
    <mergeCell ref="D6:M6"/>
    <mergeCell ref="V2:AC2"/>
    <mergeCell ref="V3:AC3"/>
    <mergeCell ref="V4:AC4"/>
    <mergeCell ref="V5:AC5"/>
    <mergeCell ref="V6:AC6"/>
    <mergeCell ref="O7:R8"/>
    <mergeCell ref="J21:K21"/>
    <mergeCell ref="J22:K22"/>
    <mergeCell ref="J23:K23"/>
    <mergeCell ref="J24:K24"/>
    <mergeCell ref="O24:R24"/>
    <mergeCell ref="B18:M18"/>
    <mergeCell ref="B26:M26"/>
    <mergeCell ref="B15:C15"/>
    <mergeCell ref="E15:F15"/>
    <mergeCell ref="B16:C16"/>
    <mergeCell ref="E16:F16"/>
    <mergeCell ref="C19:E19"/>
    <mergeCell ref="F19:G19"/>
    <mergeCell ref="H19:I19"/>
    <mergeCell ref="J19:K19"/>
    <mergeCell ref="C22:E22"/>
    <mergeCell ref="F22:G22"/>
    <mergeCell ref="H22:I22"/>
    <mergeCell ref="B20:M20"/>
    <mergeCell ref="F25:G25"/>
    <mergeCell ref="C23:E23"/>
    <mergeCell ref="F23:G23"/>
    <mergeCell ref="H23:I23"/>
    <mergeCell ref="C24:E24"/>
    <mergeCell ref="F24:G24"/>
    <mergeCell ref="H24:I24"/>
    <mergeCell ref="C21:E21"/>
    <mergeCell ref="F21:G21"/>
    <mergeCell ref="H21:I21"/>
    <mergeCell ref="C27:E27"/>
    <mergeCell ref="F27:G27"/>
    <mergeCell ref="H27:I27"/>
    <mergeCell ref="J27:K27"/>
    <mergeCell ref="H25:I25"/>
    <mergeCell ref="C25:E25"/>
    <mergeCell ref="O37:R37"/>
    <mergeCell ref="C28:E28"/>
    <mergeCell ref="F28:G28"/>
    <mergeCell ref="H28:I28"/>
    <mergeCell ref="C29:E29"/>
    <mergeCell ref="F29:G29"/>
    <mergeCell ref="H29:I29"/>
    <mergeCell ref="B31:M31"/>
    <mergeCell ref="J28:K28"/>
    <mergeCell ref="J29:K29"/>
    <mergeCell ref="B30:M30"/>
    <mergeCell ref="C36:E36"/>
    <mergeCell ref="F36:G36"/>
    <mergeCell ref="H36:I36"/>
    <mergeCell ref="J36:K36"/>
    <mergeCell ref="B37:G37"/>
    <mergeCell ref="H37:M37"/>
    <mergeCell ref="J25:K25"/>
    <mergeCell ref="H32:I32"/>
    <mergeCell ref="J32:K32"/>
    <mergeCell ref="J33:K33"/>
  </mergeCells>
  <printOptions horizontalCentered="1"/>
  <pageMargins left="0.31496062992126" right="0.31496062992126" top="0.49803149600000002" bottom="0.74803149606299202" header="0.31496062992126" footer="0.31496062992126"/>
  <pageSetup paperSize="10000" scale="8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Spinner 1">
              <controlPr defaultSize="0" autoPict="0">
                <anchor moveWithCells="1" sizeWithCells="1">
                  <from>
                    <xdr:col>14</xdr:col>
                    <xdr:colOff>28575</xdr:colOff>
                    <xdr:row>8</xdr:row>
                    <xdr:rowOff>0</xdr:rowOff>
                  </from>
                  <to>
                    <xdr:col>14</xdr:col>
                    <xdr:colOff>466725</xdr:colOff>
                    <xdr:row>14</xdr:row>
                    <xdr:rowOff>19050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32">
    <tabColor rgb="FF00B0F0"/>
  </sheetPr>
  <dimension ref="A1:AC45"/>
  <sheetViews>
    <sheetView zoomScale="70" zoomScaleNormal="70" workbookViewId="0">
      <selection activeCell="O31" sqref="O31"/>
    </sheetView>
  </sheetViews>
  <sheetFormatPr defaultColWidth="0" defaultRowHeight="0" customHeight="1" zeroHeight="1" x14ac:dyDescent="0.25"/>
  <cols>
    <col min="1" max="1" width="1.5703125" style="12" customWidth="1"/>
    <col min="2" max="2" width="4.7109375" customWidth="1"/>
    <col min="3" max="3" width="16.7109375" customWidth="1"/>
    <col min="4" max="4" width="1.140625" customWidth="1"/>
    <col min="5" max="5" width="22.42578125" customWidth="1"/>
    <col min="6" max="6" width="9.42578125" customWidth="1"/>
    <col min="7" max="7" width="2.140625" customWidth="1"/>
    <col min="8" max="8" width="17.140625" customWidth="1"/>
    <col min="9" max="9" width="2.28515625" customWidth="1"/>
    <col min="10" max="10" width="16.140625" customWidth="1"/>
    <col min="11" max="11" width="1.85546875" customWidth="1"/>
    <col min="12" max="12" width="4.85546875" customWidth="1"/>
    <col min="13" max="13" width="13.7109375" customWidth="1"/>
    <col min="14" max="14" width="1.7109375" customWidth="1"/>
    <col min="15" max="16" width="9.140625" customWidth="1"/>
    <col min="17" max="17" width="2.42578125" customWidth="1"/>
    <col min="18" max="18" width="16.7109375" customWidth="1"/>
    <col min="19" max="19" width="1" customWidth="1"/>
    <col min="20" max="20" width="1.7109375" style="12" customWidth="1"/>
    <col min="21" max="29" width="0" hidden="1" customWidth="1"/>
    <col min="30" max="16384" width="9.140625" hidden="1"/>
  </cols>
  <sheetData>
    <row r="1" spans="2:29" s="21" customFormat="1" ht="7.5" customHeight="1" x14ac:dyDescent="0.25"/>
    <row r="2" spans="2:29" ht="15.75" x14ac:dyDescent="0.25">
      <c r="C2" s="3"/>
      <c r="D2" s="204" t="s">
        <v>11</v>
      </c>
      <c r="E2" s="204"/>
      <c r="F2" s="204"/>
      <c r="G2" s="204"/>
      <c r="H2" s="204"/>
      <c r="I2" s="204"/>
      <c r="J2" s="204"/>
      <c r="K2" s="204"/>
      <c r="L2" s="204"/>
      <c r="M2" s="204"/>
      <c r="N2" s="20"/>
      <c r="O2" s="20"/>
      <c r="P2" s="20"/>
      <c r="Q2" s="20"/>
      <c r="R2" s="20"/>
      <c r="V2" s="204"/>
      <c r="W2" s="204"/>
      <c r="X2" s="204"/>
      <c r="Y2" s="204"/>
      <c r="Z2" s="204"/>
      <c r="AA2" s="204"/>
      <c r="AB2" s="204"/>
      <c r="AC2" s="204"/>
    </row>
    <row r="3" spans="2:29" ht="15.75" x14ac:dyDescent="0.25">
      <c r="C3" s="3"/>
      <c r="D3" s="204" t="s">
        <v>12</v>
      </c>
      <c r="E3" s="204"/>
      <c r="F3" s="204"/>
      <c r="G3" s="204"/>
      <c r="H3" s="204"/>
      <c r="I3" s="204"/>
      <c r="J3" s="204"/>
      <c r="K3" s="204"/>
      <c r="L3" s="204"/>
      <c r="M3" s="204"/>
      <c r="N3" s="20"/>
      <c r="O3" s="20"/>
      <c r="P3" s="20"/>
      <c r="Q3" s="20"/>
      <c r="R3" s="20"/>
      <c r="V3" s="204"/>
      <c r="W3" s="204"/>
      <c r="X3" s="204"/>
      <c r="Y3" s="204"/>
      <c r="Z3" s="204"/>
      <c r="AA3" s="204"/>
      <c r="AB3" s="204"/>
      <c r="AC3" s="204"/>
    </row>
    <row r="4" spans="2:29" ht="15.75" x14ac:dyDescent="0.25">
      <c r="C4" s="1"/>
      <c r="D4" s="203" t="s">
        <v>13</v>
      </c>
      <c r="E4" s="203"/>
      <c r="F4" s="203"/>
      <c r="G4" s="203"/>
      <c r="H4" s="203"/>
      <c r="I4" s="203"/>
      <c r="J4" s="203"/>
      <c r="K4" s="203"/>
      <c r="L4" s="203"/>
      <c r="M4" s="203"/>
      <c r="N4" s="20"/>
      <c r="O4" s="20"/>
      <c r="P4" s="20"/>
      <c r="Q4" s="20"/>
      <c r="R4" s="20"/>
      <c r="V4" s="203"/>
      <c r="W4" s="203"/>
      <c r="X4" s="203"/>
      <c r="Y4" s="203"/>
      <c r="Z4" s="203"/>
      <c r="AA4" s="203"/>
      <c r="AB4" s="203"/>
      <c r="AC4" s="203"/>
    </row>
    <row r="5" spans="2:29" ht="15.75" x14ac:dyDescent="0.25">
      <c r="C5" s="1"/>
      <c r="D5" s="203" t="s">
        <v>14</v>
      </c>
      <c r="E5" s="203"/>
      <c r="F5" s="203"/>
      <c r="G5" s="203"/>
      <c r="H5" s="203"/>
      <c r="I5" s="203"/>
      <c r="J5" s="203"/>
      <c r="K5" s="203"/>
      <c r="L5" s="203"/>
      <c r="M5" s="203"/>
      <c r="N5" s="20"/>
      <c r="O5" s="20"/>
      <c r="P5" s="20"/>
      <c r="Q5" s="20"/>
      <c r="R5" s="20"/>
      <c r="V5" s="203"/>
      <c r="W5" s="203"/>
      <c r="X5" s="203"/>
      <c r="Y5" s="203"/>
      <c r="Z5" s="203"/>
      <c r="AA5" s="203"/>
      <c r="AB5" s="203"/>
      <c r="AC5" s="203"/>
    </row>
    <row r="6" spans="2:29" ht="16.5" thickBot="1" x14ac:dyDescent="0.3">
      <c r="C6" s="3"/>
      <c r="D6" s="204" t="s">
        <v>1</v>
      </c>
      <c r="E6" s="204"/>
      <c r="F6" s="204"/>
      <c r="G6" s="204"/>
      <c r="H6" s="204"/>
      <c r="I6" s="204"/>
      <c r="J6" s="204"/>
      <c r="K6" s="204"/>
      <c r="L6" s="204"/>
      <c r="M6" s="204"/>
      <c r="N6" s="20"/>
      <c r="O6" s="20"/>
      <c r="P6" s="20"/>
      <c r="Q6" s="20"/>
      <c r="R6" s="20"/>
      <c r="V6" s="204"/>
      <c r="W6" s="204"/>
      <c r="X6" s="204"/>
      <c r="Y6" s="204"/>
      <c r="Z6" s="204"/>
      <c r="AA6" s="204"/>
      <c r="AB6" s="204"/>
      <c r="AC6" s="204"/>
    </row>
    <row r="7" spans="2:29" ht="15.75" x14ac:dyDescent="0.25">
      <c r="C7" s="1"/>
      <c r="D7" s="203" t="s">
        <v>15</v>
      </c>
      <c r="E7" s="203"/>
      <c r="F7" s="203"/>
      <c r="G7" s="203"/>
      <c r="H7" s="203"/>
      <c r="I7" s="203"/>
      <c r="J7" s="203"/>
      <c r="K7" s="203"/>
      <c r="L7" s="203"/>
      <c r="M7" s="203"/>
      <c r="N7" s="20"/>
      <c r="O7" s="233" t="s">
        <v>69</v>
      </c>
      <c r="P7" s="234"/>
      <c r="Q7" s="234"/>
      <c r="R7" s="235"/>
      <c r="S7" s="19"/>
      <c r="V7" s="203"/>
      <c r="W7" s="203"/>
      <c r="X7" s="203"/>
      <c r="Y7" s="203"/>
      <c r="Z7" s="203"/>
      <c r="AA7" s="203"/>
      <c r="AB7" s="203"/>
      <c r="AC7" s="203"/>
    </row>
    <row r="8" spans="2:29" ht="15.75" x14ac:dyDescent="0.25">
      <c r="C8" s="1"/>
      <c r="D8" s="203" t="s">
        <v>16</v>
      </c>
      <c r="E8" s="203"/>
      <c r="F8" s="203"/>
      <c r="G8" s="203"/>
      <c r="H8" s="203"/>
      <c r="I8" s="203"/>
      <c r="J8" s="203"/>
      <c r="K8" s="203"/>
      <c r="L8" s="203"/>
      <c r="M8" s="203"/>
      <c r="N8" s="20"/>
      <c r="O8" s="236"/>
      <c r="P8" s="237"/>
      <c r="Q8" s="237"/>
      <c r="R8" s="238"/>
      <c r="V8" s="203"/>
      <c r="W8" s="203"/>
      <c r="X8" s="203"/>
      <c r="Y8" s="203"/>
      <c r="Z8" s="203"/>
      <c r="AA8" s="203"/>
      <c r="AB8" s="203"/>
      <c r="AC8" s="203"/>
    </row>
    <row r="9" spans="2:29" ht="16.5" thickBot="1" x14ac:dyDescent="0.3">
      <c r="C9" s="2"/>
      <c r="D9" s="230" t="s">
        <v>17</v>
      </c>
      <c r="E9" s="230"/>
      <c r="F9" s="230"/>
      <c r="G9" s="230"/>
      <c r="H9" s="230"/>
      <c r="I9" s="230"/>
      <c r="J9" s="230"/>
      <c r="K9" s="230"/>
      <c r="L9" s="230"/>
      <c r="M9" s="230"/>
      <c r="N9" s="20"/>
      <c r="O9" s="35"/>
      <c r="P9" s="227" t="s">
        <v>70</v>
      </c>
      <c r="Q9" s="227"/>
      <c r="R9" s="228">
        <v>1</v>
      </c>
      <c r="V9" s="230"/>
      <c r="W9" s="230"/>
      <c r="X9" s="230"/>
      <c r="Y9" s="230"/>
      <c r="Z9" s="230"/>
      <c r="AA9" s="230"/>
      <c r="AB9" s="230"/>
      <c r="AC9" s="230"/>
    </row>
    <row r="10" spans="2:29" ht="5.25" customHeight="1" thickTop="1" x14ac:dyDescent="0.25">
      <c r="B10" s="231"/>
      <c r="C10" s="232"/>
      <c r="D10" s="232"/>
      <c r="E10" s="232"/>
      <c r="F10" s="232"/>
      <c r="G10" s="232"/>
      <c r="H10" s="232"/>
      <c r="I10" s="232"/>
      <c r="J10" s="232"/>
      <c r="K10" s="232"/>
      <c r="L10" s="232"/>
      <c r="M10" s="232"/>
      <c r="N10" s="20"/>
      <c r="O10" s="35"/>
      <c r="P10" s="227"/>
      <c r="Q10" s="227"/>
      <c r="R10" s="228"/>
    </row>
    <row r="11" spans="2:29" ht="15.75" x14ac:dyDescent="0.25">
      <c r="B11" s="226" t="str">
        <f>HOME!G6</f>
        <v>HASIL PENILAIAN TENGAH SEMESTER GENAP</v>
      </c>
      <c r="C11" s="226"/>
      <c r="D11" s="226"/>
      <c r="E11" s="226"/>
      <c r="F11" s="226"/>
      <c r="G11" s="226"/>
      <c r="H11" s="226"/>
      <c r="I11" s="226"/>
      <c r="J11" s="226"/>
      <c r="K11" s="226"/>
      <c r="L11" s="226"/>
      <c r="M11" s="226"/>
      <c r="N11" s="20"/>
      <c r="O11" s="35"/>
      <c r="P11" s="227"/>
      <c r="Q11" s="227"/>
      <c r="R11" s="228"/>
    </row>
    <row r="12" spans="2:29" ht="15.75" x14ac:dyDescent="0.25">
      <c r="B12" s="226" t="str">
        <f>"TAHUN PELAJARAN " &amp; HOME!G7</f>
        <v>TAHUN PELAJARAN 2022/2023</v>
      </c>
      <c r="C12" s="226"/>
      <c r="D12" s="226"/>
      <c r="E12" s="226"/>
      <c r="F12" s="226"/>
      <c r="G12" s="226"/>
      <c r="H12" s="226"/>
      <c r="I12" s="226"/>
      <c r="J12" s="226"/>
      <c r="K12" s="226"/>
      <c r="L12" s="226"/>
      <c r="M12" s="226"/>
      <c r="N12" s="20"/>
      <c r="O12" s="35"/>
      <c r="P12" s="227" t="s">
        <v>71</v>
      </c>
      <c r="Q12" s="227"/>
      <c r="R12" s="228">
        <f>COUNTA(NOMINATIF!C6:C40)</f>
        <v>20</v>
      </c>
    </row>
    <row r="13" spans="2:29" ht="8.25" customHeight="1" x14ac:dyDescent="0.25">
      <c r="B13" s="16"/>
      <c r="C13" s="4"/>
      <c r="D13" s="4"/>
      <c r="E13" s="4"/>
      <c r="F13" s="4"/>
      <c r="G13" s="4"/>
      <c r="H13" s="4"/>
      <c r="I13" s="4"/>
      <c r="J13" s="4"/>
      <c r="K13" s="4"/>
      <c r="L13" s="4"/>
      <c r="M13" s="4"/>
      <c r="N13" s="20"/>
      <c r="O13" s="35"/>
      <c r="P13" s="227"/>
      <c r="Q13" s="227"/>
      <c r="R13" s="228"/>
    </row>
    <row r="14" spans="2:29" ht="15.75" x14ac:dyDescent="0.25">
      <c r="B14" s="224" t="s">
        <v>18</v>
      </c>
      <c r="C14" s="224"/>
      <c r="D14" s="1" t="s">
        <v>6</v>
      </c>
      <c r="E14" s="229" t="str">
        <f>VLOOKUP(R9,'L X AKL'!$B$9:$BI$43,2,)</f>
        <v>AFMALA INSAN QOIRUNISA</v>
      </c>
      <c r="F14" s="229"/>
      <c r="G14" s="18"/>
      <c r="H14" s="1" t="s">
        <v>63</v>
      </c>
      <c r="I14" t="s">
        <v>6</v>
      </c>
      <c r="J14" s="225" t="str">
        <f>HOME!G9</f>
        <v>Teknik Komputer dan Informatika</v>
      </c>
      <c r="K14" s="225"/>
      <c r="L14" s="225"/>
      <c r="M14" s="225"/>
      <c r="N14" s="20"/>
      <c r="O14" s="35"/>
      <c r="P14" s="227"/>
      <c r="Q14" s="227"/>
      <c r="R14" s="228"/>
    </row>
    <row r="15" spans="2:29" ht="15.75" x14ac:dyDescent="0.25">
      <c r="B15" s="224" t="s">
        <v>19</v>
      </c>
      <c r="C15" s="224"/>
      <c r="D15" s="1" t="s">
        <v>6</v>
      </c>
      <c r="E15" s="224" t="str">
        <f>VLOOKUP(R9,'L X AKL'!$B$9:$BI$43,3,)&amp;"/"&amp;VLOOKUP(R9,'L X AKL'!$B$9:$BI$43,4,)</f>
        <v>4020/0059023845</v>
      </c>
      <c r="F15" s="224"/>
      <c r="G15" s="17"/>
      <c r="H15" s="1" t="s">
        <v>10</v>
      </c>
      <c r="I15" t="s">
        <v>6</v>
      </c>
      <c r="J15" s="225" t="str">
        <f>ID!G7</f>
        <v>Akuntansi dan Keuangan Lembaga</v>
      </c>
      <c r="K15" s="225"/>
      <c r="L15" s="225"/>
      <c r="M15" s="225"/>
      <c r="N15" s="20"/>
      <c r="O15" s="35"/>
      <c r="P15" s="20"/>
      <c r="Q15" s="20"/>
      <c r="R15" s="36"/>
    </row>
    <row r="16" spans="2:29" ht="15.75" x14ac:dyDescent="0.25">
      <c r="B16" s="224" t="s">
        <v>9</v>
      </c>
      <c r="C16" s="224"/>
      <c r="D16" s="1" t="s">
        <v>6</v>
      </c>
      <c r="E16" s="224" t="str">
        <f>ID!G8</f>
        <v>XII AKL 1</v>
      </c>
      <c r="F16" s="224"/>
      <c r="G16" s="17"/>
      <c r="H16" s="1" t="s">
        <v>20</v>
      </c>
      <c r="I16" t="s">
        <v>6</v>
      </c>
      <c r="J16" s="225" t="str">
        <f>ID!G9</f>
        <v>4/GENAP</v>
      </c>
      <c r="K16" s="225"/>
      <c r="L16" s="225"/>
      <c r="M16" s="225"/>
      <c r="N16" s="20"/>
      <c r="O16" s="35"/>
      <c r="P16" s="20"/>
      <c r="Q16" s="20"/>
      <c r="R16" s="36"/>
    </row>
    <row r="17" spans="2:19" ht="15" x14ac:dyDescent="0.25">
      <c r="N17" s="20"/>
      <c r="O17" s="35"/>
      <c r="P17" s="20"/>
      <c r="Q17" s="20"/>
      <c r="R17" s="36"/>
    </row>
    <row r="18" spans="2:19" ht="39" customHeight="1" x14ac:dyDescent="0.25">
      <c r="B18" s="279" t="s">
        <v>182</v>
      </c>
      <c r="C18" s="280"/>
      <c r="D18" s="280"/>
      <c r="E18" s="280"/>
      <c r="F18" s="280"/>
      <c r="G18" s="280"/>
      <c r="H18" s="280"/>
      <c r="I18" s="280"/>
      <c r="J18" s="280"/>
      <c r="K18" s="280"/>
      <c r="L18" s="280"/>
      <c r="M18" s="281"/>
      <c r="N18" s="20"/>
      <c r="O18" s="35"/>
      <c r="P18" s="20"/>
      <c r="Q18" s="20"/>
      <c r="R18" s="36"/>
    </row>
    <row r="19" spans="2:19" s="12" customFormat="1" ht="37.5" customHeight="1" x14ac:dyDescent="0.25">
      <c r="B19" s="93" t="s">
        <v>27</v>
      </c>
      <c r="C19" s="190" t="s">
        <v>183</v>
      </c>
      <c r="D19" s="190"/>
      <c r="E19" s="190"/>
      <c r="F19" s="213" t="s">
        <v>184</v>
      </c>
      <c r="G19" s="214"/>
      <c r="H19" s="214"/>
      <c r="I19" s="215"/>
      <c r="J19" s="282" t="s">
        <v>185</v>
      </c>
      <c r="K19" s="283"/>
      <c r="L19" s="282" t="s">
        <v>186</v>
      </c>
      <c r="M19" s="283"/>
      <c r="N19" s="20"/>
      <c r="O19" s="35"/>
      <c r="P19" s="20"/>
      <c r="Q19" s="20"/>
      <c r="R19" s="36"/>
      <c r="S19"/>
    </row>
    <row r="20" spans="2:19" s="12" customFormat="1" ht="48.75" customHeight="1" thickBot="1" x14ac:dyDescent="0.3">
      <c r="B20" s="11">
        <v>1</v>
      </c>
      <c r="C20" s="284">
        <f>VLOOKUP(R9,'BK &amp; EX &amp; PKL &amp; Press'!$B$9:$BO$66,51,0)</f>
        <v>0</v>
      </c>
      <c r="D20" s="284"/>
      <c r="E20" s="284"/>
      <c r="F20" s="287">
        <f>VLOOKUP(R9,'BK &amp; EX &amp; PKL &amp; Press'!$B$9:$BO$66,52,0)</f>
        <v>0</v>
      </c>
      <c r="G20" s="288"/>
      <c r="H20" s="288"/>
      <c r="I20" s="289"/>
      <c r="J20" s="285">
        <f>VLOOKUP(R9,'BK &amp; EX &amp; PKL &amp; Press'!$B$9:$BO$66,53,0)</f>
        <v>0</v>
      </c>
      <c r="K20" s="286"/>
      <c r="L20" s="310">
        <f>VLOOKUP(R9,'BK &amp; EX &amp; PKL &amp; Press'!$B$9:$BO$66,54,0)</f>
        <v>0</v>
      </c>
      <c r="M20" s="311"/>
      <c r="N20" s="20"/>
      <c r="O20" s="37"/>
      <c r="P20" s="38"/>
      <c r="Q20" s="38"/>
      <c r="R20" s="39"/>
      <c r="S20"/>
    </row>
    <row r="21" spans="2:19" s="12" customFormat="1" ht="48.75" customHeight="1" x14ac:dyDescent="0.25">
      <c r="B21" s="11">
        <v>2</v>
      </c>
      <c r="C21" s="290"/>
      <c r="D21" s="291"/>
      <c r="E21" s="292"/>
      <c r="F21" s="296"/>
      <c r="G21" s="297"/>
      <c r="H21" s="297"/>
      <c r="I21" s="298"/>
      <c r="J21" s="285"/>
      <c r="K21" s="286"/>
      <c r="L21" s="308"/>
      <c r="M21" s="309"/>
      <c r="N21" s="20"/>
      <c r="O21" s="20"/>
      <c r="P21" s="20"/>
      <c r="Q21" s="20"/>
      <c r="R21" s="20"/>
      <c r="S21"/>
    </row>
    <row r="22" spans="2:19" s="12" customFormat="1" ht="48.75" customHeight="1" x14ac:dyDescent="0.25">
      <c r="B22" s="11">
        <v>3</v>
      </c>
      <c r="C22" s="293"/>
      <c r="D22" s="294"/>
      <c r="E22" s="295"/>
      <c r="F22" s="296"/>
      <c r="G22" s="297"/>
      <c r="H22" s="297"/>
      <c r="I22" s="298"/>
      <c r="J22" s="285"/>
      <c r="K22" s="286"/>
      <c r="L22" s="308"/>
      <c r="M22" s="309"/>
      <c r="N22"/>
      <c r="O22" s="105"/>
      <c r="P22" s="105"/>
      <c r="Q22" s="105"/>
      <c r="R22" s="105"/>
      <c r="S22"/>
    </row>
    <row r="23" spans="2:19" s="12" customFormat="1" ht="36.75" customHeight="1" x14ac:dyDescent="0.25">
      <c r="B23" s="302" t="s">
        <v>187</v>
      </c>
      <c r="C23" s="302"/>
      <c r="D23" s="302"/>
      <c r="E23" s="302"/>
      <c r="F23" s="302"/>
      <c r="G23" s="302"/>
      <c r="H23" s="302"/>
      <c r="I23" s="302"/>
      <c r="J23" s="302"/>
      <c r="K23" s="302"/>
      <c r="L23" s="302"/>
      <c r="M23" s="302"/>
      <c r="N23"/>
      <c r="O23" s="104"/>
      <c r="P23" s="104"/>
      <c r="Q23" s="102"/>
      <c r="R23" s="102"/>
      <c r="S23"/>
    </row>
    <row r="24" spans="2:19" s="12" customFormat="1" ht="20.25" customHeight="1" x14ac:dyDescent="0.25">
      <c r="B24" s="13" t="s">
        <v>27</v>
      </c>
      <c r="C24" s="303" t="s">
        <v>188</v>
      </c>
      <c r="D24" s="303"/>
      <c r="E24" s="303"/>
      <c r="F24" s="209" t="s">
        <v>172</v>
      </c>
      <c r="G24" s="304"/>
      <c r="H24" s="304"/>
      <c r="I24" s="304"/>
      <c r="J24" s="304"/>
      <c r="K24" s="304"/>
      <c r="L24" s="304"/>
      <c r="M24" s="210"/>
      <c r="N24"/>
      <c r="O24" s="104"/>
      <c r="P24" s="104"/>
      <c r="Q24" s="102"/>
      <c r="R24" s="102"/>
      <c r="S24"/>
    </row>
    <row r="25" spans="2:19" s="12" customFormat="1" ht="50.25" customHeight="1" x14ac:dyDescent="0.25">
      <c r="B25" s="13">
        <v>1</v>
      </c>
      <c r="C25" s="187" t="s">
        <v>190</v>
      </c>
      <c r="D25" s="187"/>
      <c r="E25" s="187"/>
      <c r="F25" s="299" t="str">
        <f>VLOOKUP(R9,'BK &amp; EX &amp; PKL &amp; Press'!$B$9:$Y$66,8,0)</f>
        <v>Ananda AFMALA INSAN QOIRUNISA  menunjukkan ketekunan di dalam mengerjakan pekerjaan, baik di sekolah maupun di rumah.</v>
      </c>
      <c r="G25" s="300"/>
      <c r="H25" s="300"/>
      <c r="I25" s="300"/>
      <c r="J25" s="300"/>
      <c r="K25" s="300"/>
      <c r="L25" s="300"/>
      <c r="M25" s="301"/>
      <c r="N25"/>
      <c r="O25" s="104"/>
      <c r="P25" s="104"/>
      <c r="Q25" s="102"/>
      <c r="R25" s="102"/>
      <c r="S25"/>
    </row>
    <row r="26" spans="2:19" s="12" customFormat="1" ht="50.25" customHeight="1" x14ac:dyDescent="0.25">
      <c r="B26" s="13">
        <v>2</v>
      </c>
      <c r="C26" s="187" t="s">
        <v>149</v>
      </c>
      <c r="D26" s="187"/>
      <c r="E26" s="187"/>
      <c r="F26" s="299" t="str">
        <f>VLOOKUP(R9,'BK &amp; EX &amp; PKL &amp; Press'!$B$9:$Y$66,12,0)</f>
        <v>Ananda AFMALA INSAN QOIRUNISA  menunjukkan ketekunan di dalam mengerjakan pekerjaan, baik di sekolah maupun di  rumah.</v>
      </c>
      <c r="G26" s="300"/>
      <c r="H26" s="300"/>
      <c r="I26" s="300"/>
      <c r="J26" s="300"/>
      <c r="K26" s="300"/>
      <c r="L26" s="300"/>
      <c r="M26" s="301"/>
      <c r="N26"/>
      <c r="O26" s="104"/>
      <c r="P26" s="104"/>
      <c r="Q26" s="102"/>
      <c r="R26" s="102"/>
      <c r="S26"/>
    </row>
    <row r="27" spans="2:19" s="12" customFormat="1" ht="50.25" customHeight="1" x14ac:dyDescent="0.25">
      <c r="B27" s="13">
        <v>3</v>
      </c>
      <c r="C27" s="187" t="s">
        <v>150</v>
      </c>
      <c r="D27" s="187"/>
      <c r="E27" s="187"/>
      <c r="F27" s="299" t="str">
        <f>VLOOKUP(R9,'BK &amp; EX &amp; PKL &amp; Press'!$B$9:$Y$66,16,0)</f>
        <v>Ananda AFMALA INSAN QOIRUNISA  menunjukkan ketekunan di dalam mengerjakan pekerjaan, baik di sekolah maupun di rumah.</v>
      </c>
      <c r="G27" s="300"/>
      <c r="H27" s="300"/>
      <c r="I27" s="300"/>
      <c r="J27" s="300"/>
      <c r="K27" s="300"/>
      <c r="L27" s="300"/>
      <c r="M27" s="301"/>
      <c r="N27"/>
      <c r="O27" s="104"/>
      <c r="P27" s="104"/>
      <c r="Q27" s="102"/>
      <c r="R27" s="102"/>
      <c r="S27"/>
    </row>
    <row r="28" spans="2:19" ht="50.25" customHeight="1" x14ac:dyDescent="0.25">
      <c r="B28" s="13">
        <v>4</v>
      </c>
      <c r="C28" s="187" t="s">
        <v>151</v>
      </c>
      <c r="D28" s="187"/>
      <c r="E28" s="187"/>
      <c r="F28" s="299" t="str">
        <f>VLOOKUP(R9,'BK &amp; EX &amp; PKL &amp; Press'!$B$9:$Y$66,20,0)</f>
        <v>Ananda AFMALA INSAN QOIRUNISA  menunjukkan ketekunan di dalam mengerjakan pekerjaan, baik di sekolah maupun di rumah.</v>
      </c>
      <c r="G28" s="300"/>
      <c r="H28" s="300"/>
      <c r="I28" s="300"/>
      <c r="J28" s="300"/>
      <c r="K28" s="300"/>
      <c r="L28" s="300"/>
      <c r="M28" s="301"/>
      <c r="O28" s="104"/>
      <c r="P28" s="104"/>
      <c r="Q28" s="102"/>
      <c r="R28" s="102"/>
    </row>
    <row r="29" spans="2:19" ht="50.25" customHeight="1" x14ac:dyDescent="0.25">
      <c r="B29" s="13">
        <v>5</v>
      </c>
      <c r="C29" s="183" t="s">
        <v>152</v>
      </c>
      <c r="D29" s="183"/>
      <c r="E29" s="183"/>
      <c r="F29" s="299" t="str">
        <f>VLOOKUP(R9,'BK &amp; EX &amp; PKL &amp; Press'!$B$9:$Y$43,24,0)</f>
        <v>Ananda AFMALA INSAN QOIRUNISA  menunjukkan ketekunan di dalam mengerjakan pekerjaan, baik di sekolah maupun di rumah.</v>
      </c>
      <c r="G29" s="300"/>
      <c r="H29" s="300"/>
      <c r="I29" s="300"/>
      <c r="J29" s="300"/>
      <c r="K29" s="300"/>
      <c r="L29" s="300"/>
      <c r="M29" s="301"/>
      <c r="O29" s="104"/>
      <c r="P29" s="104"/>
      <c r="Q29" s="102"/>
      <c r="R29" s="102"/>
    </row>
    <row r="30" spans="2:19" ht="22.5" customHeight="1" x14ac:dyDescent="0.25">
      <c r="B30" s="305" t="s">
        <v>191</v>
      </c>
      <c r="C30" s="306"/>
      <c r="D30" s="306"/>
      <c r="E30" s="306"/>
      <c r="F30" s="306"/>
      <c r="G30" s="306"/>
      <c r="H30" s="306"/>
      <c r="I30" s="306"/>
      <c r="J30" s="306"/>
      <c r="K30" s="306"/>
      <c r="L30" s="306"/>
      <c r="M30" s="307"/>
      <c r="O30" s="102"/>
      <c r="P30" s="102"/>
      <c r="Q30" s="102"/>
      <c r="R30" s="102"/>
    </row>
    <row r="31" spans="2:19" ht="30" customHeight="1" x14ac:dyDescent="0.25">
      <c r="B31" s="312"/>
      <c r="C31" s="313"/>
      <c r="D31" s="313"/>
      <c r="E31" s="313"/>
      <c r="F31" s="313"/>
      <c r="G31" s="313"/>
      <c r="H31" s="313"/>
      <c r="I31" s="313"/>
      <c r="J31" s="313"/>
      <c r="K31" s="313"/>
      <c r="L31" s="313"/>
      <c r="M31" s="314"/>
      <c r="O31" s="103"/>
      <c r="P31" s="103"/>
      <c r="Q31" s="102"/>
      <c r="R31" s="102"/>
    </row>
    <row r="32" spans="2:19" ht="30" customHeight="1" x14ac:dyDescent="0.25">
      <c r="B32" s="315"/>
      <c r="C32" s="316"/>
      <c r="D32" s="316"/>
      <c r="E32" s="316"/>
      <c r="F32" s="316"/>
      <c r="G32" s="316"/>
      <c r="H32" s="316"/>
      <c r="I32" s="316"/>
      <c r="J32" s="316"/>
      <c r="K32" s="316"/>
      <c r="L32" s="316"/>
      <c r="M32" s="317"/>
      <c r="O32" s="103"/>
      <c r="P32" s="103"/>
      <c r="Q32" s="102"/>
      <c r="R32" s="102"/>
    </row>
    <row r="33" spans="2:13" ht="21.75" customHeight="1" x14ac:dyDescent="0.25">
      <c r="B33" s="243" t="s">
        <v>192</v>
      </c>
      <c r="C33" s="244"/>
      <c r="D33" s="244"/>
      <c r="E33" s="244"/>
      <c r="F33" s="244"/>
      <c r="G33" s="244"/>
      <c r="H33" s="244"/>
      <c r="I33" s="244"/>
      <c r="J33" s="244"/>
      <c r="K33" s="244"/>
      <c r="L33" s="244"/>
      <c r="M33" s="245"/>
    </row>
    <row r="34" spans="2:13" ht="15" x14ac:dyDescent="0.25">
      <c r="B34" s="274"/>
      <c r="C34" s="151"/>
      <c r="D34" s="151"/>
      <c r="E34" s="151"/>
      <c r="F34" s="151"/>
      <c r="G34" s="151"/>
      <c r="H34" s="151"/>
      <c r="I34" s="151"/>
      <c r="J34" s="151"/>
      <c r="K34" s="151"/>
      <c r="L34" s="151"/>
      <c r="M34" s="275"/>
    </row>
    <row r="35" spans="2:13" ht="51" customHeight="1" x14ac:dyDescent="0.25">
      <c r="B35" s="276"/>
      <c r="C35" s="277"/>
      <c r="D35" s="277"/>
      <c r="E35" s="277"/>
      <c r="F35" s="277"/>
      <c r="G35" s="277"/>
      <c r="H35" s="277"/>
      <c r="I35" s="277"/>
      <c r="J35" s="277"/>
      <c r="K35" s="277"/>
      <c r="L35" s="277"/>
      <c r="M35" s="278"/>
    </row>
    <row r="36" spans="2:13" ht="15" x14ac:dyDescent="0.25">
      <c r="B36" s="6"/>
      <c r="C36" s="6"/>
      <c r="D36" s="6"/>
      <c r="E36" s="6"/>
      <c r="F36" s="6"/>
      <c r="G36" s="6"/>
      <c r="H36" s="6"/>
      <c r="I36" s="6"/>
      <c r="J36" s="6"/>
      <c r="K36" s="6"/>
      <c r="L36" s="6"/>
      <c r="M36" s="6"/>
    </row>
    <row r="37" spans="2:13" ht="15.75" x14ac:dyDescent="0.25">
      <c r="B37" s="1"/>
      <c r="C37" s="1"/>
      <c r="D37" s="1"/>
      <c r="E37" s="1"/>
      <c r="F37" s="1"/>
      <c r="G37" s="1"/>
      <c r="H37" s="1"/>
      <c r="I37" s="1"/>
      <c r="J37" s="129" t="str">
        <f>ID!G11</f>
        <v>31 MARET 2023</v>
      </c>
      <c r="K37" s="129"/>
      <c r="L37" s="129"/>
      <c r="M37" s="129"/>
    </row>
    <row r="38" spans="2:13" ht="15.75" x14ac:dyDescent="0.25">
      <c r="B38" s="203" t="s">
        <v>180</v>
      </c>
      <c r="C38" s="203"/>
      <c r="D38" s="203"/>
      <c r="E38" s="1"/>
      <c r="F38" s="1" t="s">
        <v>67</v>
      </c>
      <c r="G38" s="1"/>
      <c r="H38" s="1"/>
      <c r="I38" s="1"/>
      <c r="J38" s="1"/>
      <c r="K38" s="1"/>
      <c r="L38" s="1"/>
      <c r="M38" s="1"/>
    </row>
    <row r="39" spans="2:13" ht="15.75" x14ac:dyDescent="0.25">
      <c r="B39" s="1"/>
      <c r="C39" s="1"/>
      <c r="D39" s="1"/>
      <c r="E39" s="203" t="s">
        <v>179</v>
      </c>
      <c r="F39" s="203"/>
      <c r="G39" s="203"/>
      <c r="H39" s="203"/>
      <c r="I39" s="203"/>
      <c r="J39" s="203" t="s">
        <v>62</v>
      </c>
      <c r="K39" s="203"/>
      <c r="L39" s="203"/>
      <c r="M39" s="203"/>
    </row>
    <row r="40" spans="2:13" ht="15.75" x14ac:dyDescent="0.25">
      <c r="B40" s="1"/>
      <c r="C40" s="1"/>
      <c r="D40" s="1"/>
      <c r="E40" s="1"/>
      <c r="F40" s="1"/>
      <c r="G40" s="1"/>
      <c r="H40" s="1"/>
      <c r="I40" s="1"/>
      <c r="J40" s="1"/>
      <c r="K40" s="1"/>
      <c r="L40" s="1"/>
      <c r="M40" s="1"/>
    </row>
    <row r="41" spans="2:13" ht="15.75" x14ac:dyDescent="0.25">
      <c r="B41" s="1"/>
      <c r="C41" s="1"/>
      <c r="D41" s="1"/>
      <c r="E41" s="1"/>
      <c r="F41" s="1"/>
      <c r="G41" s="1"/>
      <c r="H41" s="1"/>
      <c r="I41" s="1"/>
      <c r="J41" s="1"/>
      <c r="K41" s="1"/>
      <c r="L41" s="1"/>
      <c r="M41" s="1"/>
    </row>
    <row r="42" spans="2:13" ht="15.75" x14ac:dyDescent="0.25">
      <c r="B42" s="1"/>
      <c r="C42" s="1"/>
      <c r="D42" s="1"/>
      <c r="E42" s="1"/>
      <c r="F42" s="1"/>
      <c r="G42" s="1"/>
      <c r="H42" s="1"/>
      <c r="I42" s="1"/>
      <c r="J42" s="1"/>
      <c r="K42" s="1"/>
      <c r="L42" s="1"/>
      <c r="M42" s="1"/>
    </row>
    <row r="43" spans="2:13" ht="15.75" x14ac:dyDescent="0.25">
      <c r="B43" s="270" t="s">
        <v>181</v>
      </c>
      <c r="C43" s="270"/>
      <c r="D43" s="270"/>
      <c r="E43" s="204" t="str">
        <f>ID!G6</f>
        <v>Sri Rahayu, S.Pd., SE.</v>
      </c>
      <c r="F43" s="204"/>
      <c r="G43" s="204"/>
      <c r="H43" s="204"/>
      <c r="I43" s="204"/>
      <c r="J43" s="204" t="str">
        <f>ID!G10</f>
        <v>SURADI S.Pd.</v>
      </c>
      <c r="K43" s="204"/>
      <c r="L43" s="204"/>
      <c r="M43" s="204"/>
    </row>
    <row r="44" spans="2:13" ht="15.75" x14ac:dyDescent="0.25">
      <c r="B44" s="4"/>
      <c r="C44" s="4"/>
      <c r="D44" s="4"/>
      <c r="E44" s="4"/>
      <c r="F44" s="1"/>
      <c r="G44" s="1"/>
      <c r="H44" s="4"/>
      <c r="I44" s="4"/>
      <c r="J44" s="4"/>
      <c r="K44" s="4"/>
      <c r="L44" s="4"/>
      <c r="M44" s="4"/>
    </row>
    <row r="45" spans="2:13" s="21" customFormat="1" ht="7.5" customHeight="1" x14ac:dyDescent="0.25"/>
  </sheetData>
  <sheetProtection selectLockedCells="1"/>
  <mergeCells count="74">
    <mergeCell ref="D2:M2"/>
    <mergeCell ref="V2:AC2"/>
    <mergeCell ref="D3:M3"/>
    <mergeCell ref="V3:AC3"/>
    <mergeCell ref="D4:M4"/>
    <mergeCell ref="V4:AC4"/>
    <mergeCell ref="D5:M5"/>
    <mergeCell ref="V5:AC5"/>
    <mergeCell ref="D6:M6"/>
    <mergeCell ref="V6:AC6"/>
    <mergeCell ref="D7:M7"/>
    <mergeCell ref="O7:R8"/>
    <mergeCell ref="V7:AC7"/>
    <mergeCell ref="D8:M8"/>
    <mergeCell ref="V8:AC8"/>
    <mergeCell ref="D9:M9"/>
    <mergeCell ref="P9:Q11"/>
    <mergeCell ref="R9:R11"/>
    <mergeCell ref="V9:AC9"/>
    <mergeCell ref="B10:M10"/>
    <mergeCell ref="B11:M11"/>
    <mergeCell ref="B12:M12"/>
    <mergeCell ref="P12:Q14"/>
    <mergeCell ref="R12:R14"/>
    <mergeCell ref="B14:C14"/>
    <mergeCell ref="E14:F14"/>
    <mergeCell ref="J14:M14"/>
    <mergeCell ref="C20:E20"/>
    <mergeCell ref="F20:I20"/>
    <mergeCell ref="J20:K20"/>
    <mergeCell ref="L20:M20"/>
    <mergeCell ref="B15:C15"/>
    <mergeCell ref="E15:F15"/>
    <mergeCell ref="J15:M15"/>
    <mergeCell ref="B16:C16"/>
    <mergeCell ref="E16:F16"/>
    <mergeCell ref="J16:M16"/>
    <mergeCell ref="B18:M18"/>
    <mergeCell ref="C19:E19"/>
    <mergeCell ref="F19:I19"/>
    <mergeCell ref="J19:K19"/>
    <mergeCell ref="L19:M19"/>
    <mergeCell ref="C26:E26"/>
    <mergeCell ref="F26:M26"/>
    <mergeCell ref="C21:E21"/>
    <mergeCell ref="F21:I21"/>
    <mergeCell ref="J21:K21"/>
    <mergeCell ref="L21:M21"/>
    <mergeCell ref="C22:E22"/>
    <mergeCell ref="F22:I22"/>
    <mergeCell ref="J22:K22"/>
    <mergeCell ref="L22:M22"/>
    <mergeCell ref="B23:M23"/>
    <mergeCell ref="C24:E24"/>
    <mergeCell ref="F24:M24"/>
    <mergeCell ref="C25:E25"/>
    <mergeCell ref="F25:M25"/>
    <mergeCell ref="B38:D38"/>
    <mergeCell ref="C27:E27"/>
    <mergeCell ref="F27:M27"/>
    <mergeCell ref="C28:E28"/>
    <mergeCell ref="F28:M28"/>
    <mergeCell ref="C29:E29"/>
    <mergeCell ref="F29:M29"/>
    <mergeCell ref="B30:M30"/>
    <mergeCell ref="B31:M32"/>
    <mergeCell ref="B33:M33"/>
    <mergeCell ref="B34:M35"/>
    <mergeCell ref="J37:M37"/>
    <mergeCell ref="E39:I39"/>
    <mergeCell ref="J39:M39"/>
    <mergeCell ref="B43:D43"/>
    <mergeCell ref="E43:I43"/>
    <mergeCell ref="J43:M43"/>
  </mergeCells>
  <pageMargins left="0.31496062992125984" right="0.31496062992125984" top="0.35433070866141736" bottom="0.35433070866141736" header="0.31496062992125984" footer="0.31496062992125984"/>
  <pageSetup paperSize="10000" scale="90"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82945" r:id="rId4" name="Spinner 1">
              <controlPr defaultSize="0" autoPict="0">
                <anchor moveWithCells="1" sizeWithCells="1">
                  <from>
                    <xdr:col>14</xdr:col>
                    <xdr:colOff>28575</xdr:colOff>
                    <xdr:row>8</xdr:row>
                    <xdr:rowOff>0</xdr:rowOff>
                  </from>
                  <to>
                    <xdr:col>14</xdr:col>
                    <xdr:colOff>466725</xdr:colOff>
                    <xdr:row>14</xdr:row>
                    <xdr:rowOff>19050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4">
    <tabColor theme="5" tint="0.39997558519241921"/>
  </sheetPr>
  <dimension ref="A1:L26"/>
  <sheetViews>
    <sheetView workbookViewId="0">
      <selection activeCell="G17" sqref="G17"/>
    </sheetView>
  </sheetViews>
  <sheetFormatPr defaultColWidth="0" defaultRowHeight="15.75" customHeight="1" zeroHeight="1" x14ac:dyDescent="0.25"/>
  <cols>
    <col min="1" max="1" width="1.5703125" style="74" customWidth="1"/>
    <col min="2" max="2" width="0.85546875" style="54" customWidth="1"/>
    <col min="3" max="3" width="4.85546875" style="54" customWidth="1"/>
    <col min="4" max="5" width="9.140625" style="54" customWidth="1"/>
    <col min="6" max="6" width="37.5703125" style="54" customWidth="1"/>
    <col min="7" max="7" width="14.5703125" style="54" customWidth="1"/>
    <col min="8" max="8" width="1" style="54" customWidth="1"/>
    <col min="9" max="9" width="1.42578125" style="74" customWidth="1"/>
    <col min="10" max="12" width="0" style="54" hidden="1" customWidth="1"/>
    <col min="13" max="16384" width="9.140625" style="54" hidden="1"/>
  </cols>
  <sheetData>
    <row r="1" spans="3:9" s="74" customFormat="1" ht="8.25" customHeight="1" x14ac:dyDescent="0.25"/>
    <row r="2" spans="3:9" ht="68.25" customHeight="1" thickBot="1" x14ac:dyDescent="0.3">
      <c r="C2" s="129"/>
      <c r="D2" s="129"/>
      <c r="E2" s="129"/>
      <c r="F2" s="129"/>
      <c r="G2" s="129"/>
    </row>
    <row r="3" spans="3:9" ht="15.75" customHeight="1" thickBot="1" x14ac:dyDescent="0.35">
      <c r="C3" s="184" t="s">
        <v>72</v>
      </c>
      <c r="D3" s="185"/>
      <c r="E3" s="185"/>
      <c r="F3" s="185"/>
      <c r="G3" s="186"/>
    </row>
    <row r="4" spans="3:9" ht="6" customHeight="1" x14ac:dyDescent="0.25"/>
    <row r="5" spans="3:9" x14ac:dyDescent="0.25">
      <c r="C5" s="15" t="s">
        <v>32</v>
      </c>
      <c r="D5" s="190" t="s">
        <v>33</v>
      </c>
      <c r="E5" s="190"/>
      <c r="F5" s="190"/>
      <c r="G5" s="15" t="s">
        <v>34</v>
      </c>
    </row>
    <row r="6" spans="3:9" x14ac:dyDescent="0.25">
      <c r="C6" s="188" t="s">
        <v>37</v>
      </c>
      <c r="D6" s="188"/>
      <c r="E6" s="188"/>
      <c r="F6" s="188"/>
      <c r="G6" s="188"/>
    </row>
    <row r="7" spans="3:9" x14ac:dyDescent="0.25">
      <c r="C7" s="11">
        <v>1</v>
      </c>
      <c r="D7" s="189" t="s">
        <v>38</v>
      </c>
      <c r="E7" s="189"/>
      <c r="F7" s="189"/>
      <c r="G7" s="76">
        <v>60</v>
      </c>
      <c r="I7" s="75"/>
    </row>
    <row r="8" spans="3:9" x14ac:dyDescent="0.25">
      <c r="C8" s="11">
        <v>2</v>
      </c>
      <c r="D8" s="189" t="s">
        <v>39</v>
      </c>
      <c r="E8" s="189"/>
      <c r="F8" s="189"/>
      <c r="G8" s="76">
        <v>60</v>
      </c>
    </row>
    <row r="9" spans="3:9" x14ac:dyDescent="0.25">
      <c r="C9" s="11">
        <v>3</v>
      </c>
      <c r="D9" s="189" t="s">
        <v>40</v>
      </c>
      <c r="E9" s="189"/>
      <c r="F9" s="189"/>
      <c r="G9" s="76">
        <v>60</v>
      </c>
    </row>
    <row r="10" spans="3:9" x14ac:dyDescent="0.25">
      <c r="C10" s="11">
        <v>4</v>
      </c>
      <c r="D10" s="187" t="s">
        <v>41</v>
      </c>
      <c r="E10" s="187"/>
      <c r="F10" s="187"/>
      <c r="G10" s="76">
        <v>60</v>
      </c>
    </row>
    <row r="11" spans="3:9" x14ac:dyDescent="0.25">
      <c r="C11" s="11">
        <v>5</v>
      </c>
      <c r="D11" s="187" t="s">
        <v>43</v>
      </c>
      <c r="E11" s="187"/>
      <c r="F11" s="187"/>
      <c r="G11" s="76">
        <v>60</v>
      </c>
    </row>
    <row r="12" spans="3:9" x14ac:dyDescent="0.25">
      <c r="C12" s="188" t="s">
        <v>44</v>
      </c>
      <c r="D12" s="188"/>
      <c r="E12" s="188"/>
      <c r="F12" s="188"/>
      <c r="G12" s="188"/>
    </row>
    <row r="13" spans="3:9" x14ac:dyDescent="0.25">
      <c r="C13" s="13">
        <v>1</v>
      </c>
      <c r="D13" s="187" t="s">
        <v>47</v>
      </c>
      <c r="E13" s="187"/>
      <c r="F13" s="187"/>
      <c r="G13" s="76">
        <v>60</v>
      </c>
    </row>
    <row r="14" spans="3:9" x14ac:dyDescent="0.25">
      <c r="C14" s="13">
        <v>2</v>
      </c>
      <c r="D14" s="187" t="s">
        <v>48</v>
      </c>
      <c r="E14" s="187"/>
      <c r="F14" s="187"/>
      <c r="G14" s="76">
        <v>60</v>
      </c>
    </row>
    <row r="15" spans="3:9" x14ac:dyDescent="0.25">
      <c r="C15" s="188" t="s">
        <v>49</v>
      </c>
      <c r="D15" s="188"/>
      <c r="E15" s="188"/>
      <c r="F15" s="188"/>
      <c r="G15" s="188"/>
    </row>
    <row r="16" spans="3:9" x14ac:dyDescent="0.25">
      <c r="C16" s="188" t="s">
        <v>78</v>
      </c>
      <c r="D16" s="188"/>
      <c r="E16" s="188"/>
      <c r="F16" s="188"/>
      <c r="G16" s="188"/>
    </row>
    <row r="17" spans="3:7" x14ac:dyDescent="0.25">
      <c r="C17" s="13">
        <v>1</v>
      </c>
      <c r="D17" s="187" t="s">
        <v>79</v>
      </c>
      <c r="E17" s="187"/>
      <c r="F17" s="187"/>
      <c r="G17" s="76">
        <v>70</v>
      </c>
    </row>
    <row r="18" spans="3:7" x14ac:dyDescent="0.25">
      <c r="C18" s="13">
        <v>2</v>
      </c>
      <c r="D18" s="183" t="s">
        <v>80</v>
      </c>
      <c r="E18" s="183"/>
      <c r="F18" s="183"/>
      <c r="G18" s="76">
        <v>70</v>
      </c>
    </row>
    <row r="19" spans="3:7" x14ac:dyDescent="0.25">
      <c r="C19" s="13">
        <v>3</v>
      </c>
      <c r="D19" s="183" t="s">
        <v>65</v>
      </c>
      <c r="E19" s="183"/>
      <c r="F19" s="183"/>
      <c r="G19" s="76">
        <v>70</v>
      </c>
    </row>
    <row r="20" spans="3:7" x14ac:dyDescent="0.25">
      <c r="C20" s="13">
        <v>4</v>
      </c>
      <c r="D20" s="187" t="s">
        <v>81</v>
      </c>
      <c r="E20" s="187"/>
      <c r="F20" s="187"/>
      <c r="G20" s="76">
        <v>70</v>
      </c>
    </row>
    <row r="21" spans="3:7" x14ac:dyDescent="0.25">
      <c r="C21" s="13">
        <v>5</v>
      </c>
      <c r="D21" s="183" t="s">
        <v>82</v>
      </c>
      <c r="E21" s="183"/>
      <c r="F21" s="183"/>
      <c r="G21" s="76">
        <v>70</v>
      </c>
    </row>
    <row r="22" spans="3:7" x14ac:dyDescent="0.25">
      <c r="C22" s="13">
        <v>6</v>
      </c>
      <c r="D22" s="183" t="s">
        <v>83</v>
      </c>
      <c r="E22" s="183"/>
      <c r="F22" s="183"/>
      <c r="G22" s="76">
        <v>70</v>
      </c>
    </row>
    <row r="23" spans="3:7" x14ac:dyDescent="0.25"/>
    <row r="24" spans="3:7" x14ac:dyDescent="0.25"/>
    <row r="25" spans="3:7" s="74" customFormat="1" ht="9.75" customHeight="1" x14ac:dyDescent="0.25"/>
    <row r="26" spans="3:7" hidden="1" x14ac:dyDescent="0.25"/>
  </sheetData>
  <sheetProtection selectLockedCells="1"/>
  <mergeCells count="20">
    <mergeCell ref="D9:F9"/>
    <mergeCell ref="D10:F10"/>
    <mergeCell ref="D11:F11"/>
    <mergeCell ref="C12:G12"/>
    <mergeCell ref="C2:G2"/>
    <mergeCell ref="C3:G3"/>
    <mergeCell ref="D5:F5"/>
    <mergeCell ref="C6:G6"/>
    <mergeCell ref="D7:F7"/>
    <mergeCell ref="D8:F8"/>
    <mergeCell ref="D22:F22"/>
    <mergeCell ref="D13:F13"/>
    <mergeCell ref="C15:G15"/>
    <mergeCell ref="D17:F17"/>
    <mergeCell ref="D18:F18"/>
    <mergeCell ref="D19:F19"/>
    <mergeCell ref="D20:F20"/>
    <mergeCell ref="D14:F14"/>
    <mergeCell ref="C16:G16"/>
    <mergeCell ref="D21:F21"/>
  </mergeCells>
  <pageMargins left="0.7" right="0.7" top="0.75" bottom="0.75" header="0.3" footer="0.3"/>
  <pageSetup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8">
    <tabColor theme="4" tint="-0.249977111117893"/>
  </sheetPr>
  <dimension ref="A1:BJ46"/>
  <sheetViews>
    <sheetView zoomScale="55" zoomScaleNormal="55" workbookViewId="0">
      <selection activeCell="F10" sqref="F10"/>
    </sheetView>
  </sheetViews>
  <sheetFormatPr defaultColWidth="0" defaultRowHeight="15.75" customHeight="1" zeroHeight="1" x14ac:dyDescent="0.25"/>
  <cols>
    <col min="1" max="1" width="1.42578125" style="54" customWidth="1"/>
    <col min="2" max="2" width="6.42578125" style="54" customWidth="1"/>
    <col min="3" max="3" width="27.28515625" style="54" customWidth="1"/>
    <col min="4" max="4" width="5.5703125" style="54" bestFit="1" customWidth="1"/>
    <col min="5" max="5" width="13.85546875" style="54" bestFit="1" customWidth="1"/>
    <col min="6" max="44" width="4.7109375" style="55" customWidth="1"/>
    <col min="45" max="47" width="4.7109375" style="55" hidden="1" customWidth="1"/>
    <col min="48" max="59" width="4.7109375" style="55" hidden="1"/>
    <col min="60" max="61" width="9.28515625" style="54" bestFit="1" customWidth="1"/>
    <col min="62" max="62" width="9.140625" style="54" customWidth="1"/>
    <col min="63" max="16384" width="9.140625" style="54" hidden="1"/>
  </cols>
  <sheetData>
    <row r="1" spans="2:61" ht="7.5" customHeight="1" x14ac:dyDescent="0.25"/>
    <row r="2" spans="2:61" ht="78.75" customHeight="1" thickBot="1" x14ac:dyDescent="0.3"/>
    <row r="3" spans="2:61" ht="24" thickBot="1" x14ac:dyDescent="0.4">
      <c r="B3" s="197" t="s">
        <v>95</v>
      </c>
      <c r="C3" s="198"/>
      <c r="D3" s="198"/>
      <c r="E3" s="198"/>
      <c r="F3" s="198"/>
      <c r="G3" s="198"/>
      <c r="H3" s="198"/>
      <c r="I3" s="198"/>
      <c r="J3" s="198"/>
      <c r="K3" s="198"/>
      <c r="L3" s="198"/>
      <c r="M3" s="198"/>
      <c r="N3" s="198"/>
      <c r="O3" s="198"/>
      <c r="P3" s="198"/>
      <c r="Q3" s="198"/>
      <c r="R3" s="198"/>
      <c r="S3" s="198"/>
      <c r="T3" s="198"/>
      <c r="U3" s="198"/>
      <c r="V3" s="198"/>
      <c r="W3" s="198"/>
      <c r="X3" s="198"/>
      <c r="Y3" s="198"/>
      <c r="Z3" s="198"/>
      <c r="AA3" s="198"/>
      <c r="AB3" s="198"/>
      <c r="AC3" s="198"/>
      <c r="AD3" s="198"/>
      <c r="AE3" s="198"/>
      <c r="AF3" s="198"/>
      <c r="AG3" s="198"/>
      <c r="AH3" s="198"/>
      <c r="AI3" s="198"/>
      <c r="AJ3" s="198"/>
      <c r="AK3" s="198"/>
      <c r="AL3" s="198"/>
      <c r="AM3" s="198"/>
      <c r="AN3" s="198"/>
      <c r="AO3" s="198"/>
      <c r="AP3" s="198"/>
      <c r="AQ3" s="198"/>
      <c r="AR3" s="198"/>
      <c r="AS3" s="198"/>
      <c r="AT3" s="198"/>
      <c r="AU3" s="198"/>
      <c r="AV3" s="198"/>
      <c r="AW3" s="198"/>
      <c r="AX3" s="198"/>
      <c r="AY3" s="198"/>
      <c r="AZ3" s="198"/>
      <c r="BA3" s="198"/>
      <c r="BB3" s="198"/>
      <c r="BC3" s="198"/>
      <c r="BD3" s="198"/>
      <c r="BE3" s="198"/>
      <c r="BF3" s="198"/>
      <c r="BG3" s="198"/>
      <c r="BH3" s="198"/>
      <c r="BI3" s="199"/>
    </row>
    <row r="4" spans="2:61" ht="6" customHeight="1" x14ac:dyDescent="0.25"/>
    <row r="5" spans="2:61" x14ac:dyDescent="0.25">
      <c r="B5" s="165" t="s">
        <v>27</v>
      </c>
      <c r="C5" s="165" t="s">
        <v>88</v>
      </c>
      <c r="D5" s="165" t="s">
        <v>29</v>
      </c>
      <c r="E5" s="165" t="s">
        <v>30</v>
      </c>
      <c r="F5" s="56" t="s">
        <v>89</v>
      </c>
      <c r="G5" s="57"/>
      <c r="H5" s="57"/>
      <c r="I5" s="57"/>
      <c r="J5" s="57"/>
      <c r="K5" s="57"/>
      <c r="L5" s="57"/>
      <c r="M5" s="57"/>
      <c r="N5" s="57"/>
      <c r="O5" s="57"/>
      <c r="P5" s="57"/>
      <c r="Q5" s="57"/>
      <c r="R5" s="57"/>
      <c r="S5" s="57"/>
      <c r="T5" s="57"/>
      <c r="U5" s="57"/>
      <c r="V5" s="57"/>
      <c r="W5" s="57"/>
      <c r="X5" s="57"/>
      <c r="Y5" s="57"/>
      <c r="Z5" s="57"/>
      <c r="AA5" s="57"/>
      <c r="AB5" s="57"/>
      <c r="AC5" s="57"/>
      <c r="AD5" s="57"/>
      <c r="AE5" s="57"/>
      <c r="AF5" s="57"/>
      <c r="AG5" s="57"/>
      <c r="AH5" s="57"/>
      <c r="AI5" s="57"/>
      <c r="AJ5" s="57"/>
      <c r="AK5" s="57"/>
      <c r="AL5" s="57"/>
      <c r="AM5" s="57"/>
      <c r="AN5" s="57"/>
      <c r="AO5" s="57"/>
      <c r="AP5" s="57"/>
      <c r="AQ5" s="57"/>
      <c r="AR5" s="57"/>
      <c r="AS5" s="57"/>
      <c r="AT5" s="57"/>
      <c r="AU5" s="57"/>
      <c r="AV5" s="57"/>
      <c r="AW5" s="57"/>
      <c r="AX5" s="57"/>
      <c r="AY5" s="57"/>
      <c r="AZ5" s="57"/>
      <c r="BA5" s="57"/>
      <c r="BB5" s="57"/>
      <c r="BC5" s="57"/>
      <c r="BD5" s="57"/>
      <c r="BE5" s="57"/>
      <c r="BF5" s="57"/>
      <c r="BG5" s="58"/>
      <c r="BH5" s="168" t="s">
        <v>93</v>
      </c>
      <c r="BI5" s="170" t="s">
        <v>94</v>
      </c>
    </row>
    <row r="6" spans="2:61" ht="98.25" customHeight="1" x14ac:dyDescent="0.25">
      <c r="B6" s="166"/>
      <c r="C6" s="166"/>
      <c r="D6" s="166"/>
      <c r="E6" s="166"/>
      <c r="F6" s="194" t="s">
        <v>90</v>
      </c>
      <c r="G6" s="195"/>
      <c r="H6" s="196"/>
      <c r="I6" s="194" t="s">
        <v>92</v>
      </c>
      <c r="J6" s="195"/>
      <c r="K6" s="196"/>
      <c r="L6" s="191" t="s">
        <v>99</v>
      </c>
      <c r="M6" s="192"/>
      <c r="N6" s="193"/>
      <c r="O6" s="194" t="s">
        <v>91</v>
      </c>
      <c r="P6" s="195"/>
      <c r="Q6" s="196"/>
      <c r="R6" s="200" t="s">
        <v>101</v>
      </c>
      <c r="S6" s="201"/>
      <c r="T6" s="202"/>
      <c r="U6" s="191" t="s">
        <v>104</v>
      </c>
      <c r="V6" s="192"/>
      <c r="W6" s="193"/>
      <c r="X6" s="194" t="s">
        <v>105</v>
      </c>
      <c r="Y6" s="195"/>
      <c r="Z6" s="196"/>
      <c r="AA6" s="191" t="s">
        <v>119</v>
      </c>
      <c r="AB6" s="192"/>
      <c r="AC6" s="193"/>
      <c r="AD6" s="194" t="s">
        <v>120</v>
      </c>
      <c r="AE6" s="195"/>
      <c r="AF6" s="196"/>
      <c r="AG6" s="194" t="s">
        <v>121</v>
      </c>
      <c r="AH6" s="195"/>
      <c r="AI6" s="196"/>
      <c r="AJ6" s="194" t="s">
        <v>122</v>
      </c>
      <c r="AK6" s="195"/>
      <c r="AL6" s="196"/>
      <c r="AM6" s="194" t="s">
        <v>123</v>
      </c>
      <c r="AN6" s="195"/>
      <c r="AO6" s="196"/>
      <c r="AP6" s="200" t="s">
        <v>124</v>
      </c>
      <c r="AQ6" s="201"/>
      <c r="AR6" s="202"/>
      <c r="AS6" s="200" t="s">
        <v>124</v>
      </c>
      <c r="AT6" s="201"/>
      <c r="AU6" s="202"/>
      <c r="AV6" s="194" t="s">
        <v>116</v>
      </c>
      <c r="AW6" s="195"/>
      <c r="AX6" s="196"/>
      <c r="AY6" s="191" t="s">
        <v>117</v>
      </c>
      <c r="AZ6" s="192"/>
      <c r="BA6" s="193"/>
      <c r="BB6" s="191" t="s">
        <v>111</v>
      </c>
      <c r="BC6" s="192"/>
      <c r="BD6" s="193"/>
      <c r="BE6" s="191" t="s">
        <v>112</v>
      </c>
      <c r="BF6" s="192"/>
      <c r="BG6" s="193"/>
      <c r="BH6" s="169"/>
      <c r="BI6" s="171"/>
    </row>
    <row r="7" spans="2:61" ht="24" customHeight="1" x14ac:dyDescent="0.25">
      <c r="B7" s="167"/>
      <c r="C7" s="167"/>
      <c r="D7" s="167"/>
      <c r="E7" s="167"/>
      <c r="F7" s="59" t="s">
        <v>96</v>
      </c>
      <c r="G7" s="59" t="s">
        <v>97</v>
      </c>
      <c r="H7" s="59" t="s">
        <v>98</v>
      </c>
      <c r="I7" s="59" t="s">
        <v>96</v>
      </c>
      <c r="J7" s="59" t="s">
        <v>97</v>
      </c>
      <c r="K7" s="59" t="s">
        <v>98</v>
      </c>
      <c r="L7" s="59" t="s">
        <v>96</v>
      </c>
      <c r="M7" s="59" t="s">
        <v>97</v>
      </c>
      <c r="N7" s="59" t="s">
        <v>98</v>
      </c>
      <c r="O7" s="59" t="s">
        <v>96</v>
      </c>
      <c r="P7" s="59" t="s">
        <v>97</v>
      </c>
      <c r="Q7" s="59" t="s">
        <v>98</v>
      </c>
      <c r="R7" s="59" t="s">
        <v>96</v>
      </c>
      <c r="S7" s="59" t="s">
        <v>97</v>
      </c>
      <c r="T7" s="59" t="s">
        <v>98</v>
      </c>
      <c r="U7" s="59" t="s">
        <v>96</v>
      </c>
      <c r="V7" s="59" t="s">
        <v>97</v>
      </c>
      <c r="W7" s="59" t="s">
        <v>98</v>
      </c>
      <c r="X7" s="59" t="s">
        <v>96</v>
      </c>
      <c r="Y7" s="59" t="s">
        <v>97</v>
      </c>
      <c r="Z7" s="59" t="s">
        <v>98</v>
      </c>
      <c r="AA7" s="59" t="s">
        <v>96</v>
      </c>
      <c r="AB7" s="59" t="s">
        <v>97</v>
      </c>
      <c r="AC7" s="59" t="s">
        <v>98</v>
      </c>
      <c r="AD7" s="59" t="s">
        <v>96</v>
      </c>
      <c r="AE7" s="59" t="s">
        <v>97</v>
      </c>
      <c r="AF7" s="59" t="s">
        <v>98</v>
      </c>
      <c r="AG7" s="59" t="s">
        <v>96</v>
      </c>
      <c r="AH7" s="59" t="s">
        <v>97</v>
      </c>
      <c r="AI7" s="59" t="s">
        <v>98</v>
      </c>
      <c r="AJ7" s="59" t="s">
        <v>96</v>
      </c>
      <c r="AK7" s="59" t="s">
        <v>97</v>
      </c>
      <c r="AL7" s="59" t="s">
        <v>98</v>
      </c>
      <c r="AM7" s="59" t="s">
        <v>96</v>
      </c>
      <c r="AN7" s="59" t="s">
        <v>97</v>
      </c>
      <c r="AO7" s="59" t="s">
        <v>98</v>
      </c>
      <c r="AP7" s="59" t="s">
        <v>96</v>
      </c>
      <c r="AQ7" s="59" t="s">
        <v>97</v>
      </c>
      <c r="AR7" s="59" t="s">
        <v>98</v>
      </c>
      <c r="AS7" s="59" t="s">
        <v>96</v>
      </c>
      <c r="AT7" s="59" t="s">
        <v>97</v>
      </c>
      <c r="AU7" s="59" t="s">
        <v>98</v>
      </c>
      <c r="AV7" s="59" t="s">
        <v>96</v>
      </c>
      <c r="AW7" s="59" t="s">
        <v>97</v>
      </c>
      <c r="AX7" s="59" t="s">
        <v>98</v>
      </c>
      <c r="AY7" s="59" t="s">
        <v>96</v>
      </c>
      <c r="AZ7" s="59" t="s">
        <v>97</v>
      </c>
      <c r="BA7" s="59" t="s">
        <v>98</v>
      </c>
      <c r="BB7" s="59" t="s">
        <v>96</v>
      </c>
      <c r="BC7" s="59" t="s">
        <v>97</v>
      </c>
      <c r="BD7" s="59" t="s">
        <v>98</v>
      </c>
      <c r="BE7" s="59" t="s">
        <v>96</v>
      </c>
      <c r="BF7" s="59" t="s">
        <v>97</v>
      </c>
      <c r="BG7" s="59" t="s">
        <v>98</v>
      </c>
      <c r="BH7" s="60"/>
      <c r="BI7" s="61"/>
    </row>
    <row r="8" spans="2:61" x14ac:dyDescent="0.25">
      <c r="B8" s="62">
        <v>1</v>
      </c>
      <c r="C8" s="62">
        <v>2</v>
      </c>
      <c r="D8" s="62">
        <v>3</v>
      </c>
      <c r="E8" s="62">
        <v>4</v>
      </c>
      <c r="F8" s="62">
        <v>5</v>
      </c>
      <c r="G8" s="62">
        <v>6</v>
      </c>
      <c r="H8" s="62">
        <v>7</v>
      </c>
      <c r="I8" s="62">
        <v>8</v>
      </c>
      <c r="J8" s="62">
        <v>9</v>
      </c>
      <c r="K8" s="62">
        <v>10</v>
      </c>
      <c r="L8" s="62">
        <v>11</v>
      </c>
      <c r="M8" s="62">
        <v>12</v>
      </c>
      <c r="N8" s="62">
        <v>13</v>
      </c>
      <c r="O8" s="62">
        <v>14</v>
      </c>
      <c r="P8" s="62">
        <v>15</v>
      </c>
      <c r="Q8" s="62">
        <v>16</v>
      </c>
      <c r="R8" s="62">
        <v>17</v>
      </c>
      <c r="S8" s="62">
        <v>18</v>
      </c>
      <c r="T8" s="62">
        <v>19</v>
      </c>
      <c r="U8" s="62">
        <v>20</v>
      </c>
      <c r="V8" s="62">
        <v>21</v>
      </c>
      <c r="W8" s="62">
        <v>22</v>
      </c>
      <c r="X8" s="62">
        <v>23</v>
      </c>
      <c r="Y8" s="62">
        <v>24</v>
      </c>
      <c r="Z8" s="62">
        <v>25</v>
      </c>
      <c r="AA8" s="62">
        <v>26</v>
      </c>
      <c r="AB8" s="62">
        <v>27</v>
      </c>
      <c r="AC8" s="62">
        <v>28</v>
      </c>
      <c r="AD8" s="62">
        <v>29</v>
      </c>
      <c r="AE8" s="62">
        <v>30</v>
      </c>
      <c r="AF8" s="62">
        <v>31</v>
      </c>
      <c r="AG8" s="62">
        <v>32</v>
      </c>
      <c r="AH8" s="62">
        <v>33</v>
      </c>
      <c r="AI8" s="62">
        <v>34</v>
      </c>
      <c r="AJ8" s="62">
        <v>35</v>
      </c>
      <c r="AK8" s="62">
        <v>36</v>
      </c>
      <c r="AL8" s="62">
        <v>37</v>
      </c>
      <c r="AM8" s="62">
        <v>38</v>
      </c>
      <c r="AN8" s="62">
        <v>39</v>
      </c>
      <c r="AO8" s="62">
        <v>40</v>
      </c>
      <c r="AP8" s="62">
        <v>41</v>
      </c>
      <c r="AQ8" s="62">
        <v>42</v>
      </c>
      <c r="AR8" s="62">
        <v>43</v>
      </c>
      <c r="AS8" s="62">
        <v>44</v>
      </c>
      <c r="AT8" s="62">
        <v>45</v>
      </c>
      <c r="AU8" s="62">
        <v>46</v>
      </c>
      <c r="AV8" s="62">
        <v>47</v>
      </c>
      <c r="AW8" s="62">
        <v>48</v>
      </c>
      <c r="AX8" s="62">
        <v>49</v>
      </c>
      <c r="AY8" s="62">
        <v>50</v>
      </c>
      <c r="AZ8" s="62">
        <v>51</v>
      </c>
      <c r="BA8" s="62">
        <v>52</v>
      </c>
      <c r="BB8" s="62">
        <v>53</v>
      </c>
      <c r="BC8" s="62">
        <v>54</v>
      </c>
      <c r="BD8" s="62">
        <v>55</v>
      </c>
      <c r="BE8" s="62">
        <v>56</v>
      </c>
      <c r="BF8" s="62">
        <v>57</v>
      </c>
      <c r="BG8" s="62">
        <v>58</v>
      </c>
      <c r="BH8" s="62">
        <v>59</v>
      </c>
      <c r="BI8" s="62">
        <v>60</v>
      </c>
    </row>
    <row r="9" spans="2:61" x14ac:dyDescent="0.25">
      <c r="B9" s="63">
        <v>1</v>
      </c>
      <c r="C9" s="64" t="str">
        <f>NOMINATIF!C6</f>
        <v>AFMALA INSAN QOIRUNISA</v>
      </c>
      <c r="D9" s="65">
        <f>NOMINATIF!D6</f>
        <v>4020</v>
      </c>
      <c r="E9" s="65" t="str">
        <f>NOMINATIF!E6</f>
        <v>0059023845</v>
      </c>
      <c r="F9" s="53">
        <v>90</v>
      </c>
      <c r="G9" s="53"/>
      <c r="H9" s="53"/>
      <c r="I9" s="53">
        <v>95</v>
      </c>
      <c r="J9" s="53"/>
      <c r="K9" s="53"/>
      <c r="L9" s="53">
        <v>95</v>
      </c>
      <c r="M9" s="53"/>
      <c r="N9" s="53"/>
      <c r="O9" s="53">
        <f>IFERROR(VLOOKUP(C9,$BS$8:$BT$39,2,0),0)</f>
        <v>0</v>
      </c>
      <c r="P9" s="53"/>
      <c r="Q9" s="53"/>
      <c r="R9" s="53">
        <f>IFERROR(VLOOKUP(C9,$BU$8:$BV$101,2,0),0)</f>
        <v>0</v>
      </c>
      <c r="S9" s="53"/>
      <c r="T9" s="53"/>
      <c r="U9" s="53">
        <f>IFERROR(VLOOKUP(C9,$BW$8:$BX$101,2,0),0)</f>
        <v>0</v>
      </c>
      <c r="V9" s="53"/>
      <c r="W9" s="53"/>
      <c r="X9" s="53">
        <f>IFERROR(VLOOKUP(C9,$BY$8:$BZ$101,2,0),0)</f>
        <v>0</v>
      </c>
      <c r="Y9" s="53"/>
      <c r="Z9" s="53"/>
      <c r="AA9" s="53">
        <f>IFERROR(VLOOKUP(C9,$CA$8:$CB$39,2,0),0)</f>
        <v>0</v>
      </c>
      <c r="AB9" s="53"/>
      <c r="AC9" s="53"/>
      <c r="AD9" s="53">
        <f>IFERROR(VLOOKUP(C9,$CC$8:$CD$101,2,0),0)</f>
        <v>0</v>
      </c>
      <c r="AE9" s="53"/>
      <c r="AF9" s="53"/>
      <c r="AG9" s="53">
        <f>IFERROR(VLOOKUP(C9,$CE$8:$CF$101,2,0),0)</f>
        <v>0</v>
      </c>
      <c r="AH9" s="53"/>
      <c r="AI9" s="53"/>
      <c r="AJ9" s="53">
        <f>IFERROR(VLOOKUP(C9,$CG$8:$CH$101,2,0),0)</f>
        <v>0</v>
      </c>
      <c r="AK9" s="53"/>
      <c r="AL9" s="53"/>
      <c r="AM9" s="53">
        <f>IFERROR(VLOOKUP(C9,$CI$8:$CJ$39,2,0),0)</f>
        <v>0</v>
      </c>
      <c r="AN9" s="53"/>
      <c r="AO9" s="53"/>
      <c r="AP9" s="53">
        <f>IFERROR(VLOOKUP(C9,$CK$8:$CL$101,2,0),0)</f>
        <v>0</v>
      </c>
      <c r="AQ9" s="53"/>
      <c r="AR9" s="53"/>
      <c r="AS9" s="66">
        <f>IFERROR(VLOOKUP(C9,$CM$8:$CN$101,2,0),0)</f>
        <v>0</v>
      </c>
      <c r="AT9" s="66"/>
      <c r="AU9" s="66"/>
      <c r="AV9" s="66">
        <f>IFERROR(VLOOKUP(C9,$CO$8:$CP$101,2,0),0)</f>
        <v>0</v>
      </c>
      <c r="AW9" s="66"/>
      <c r="AX9" s="66"/>
      <c r="AY9" s="66">
        <f>IFERROR(VLOOKUP(C9,$CQ$8:$CR$101,2,0),0)</f>
        <v>0</v>
      </c>
      <c r="AZ9" s="66"/>
      <c r="BA9" s="66"/>
      <c r="BB9" s="66">
        <f>IFERROR(VLOOKUP(C9,$CS$8:$CT$101,2,0),0)</f>
        <v>0</v>
      </c>
      <c r="BC9" s="66"/>
      <c r="BD9" s="66"/>
      <c r="BE9" s="66">
        <f>IFERROR(VLOOKUP(C9,$CU$8:$CV$101,2,0),0)</f>
        <v>0</v>
      </c>
      <c r="BF9" s="66"/>
      <c r="BG9" s="66"/>
      <c r="BH9" s="67">
        <f>SUM(F9:BE9)</f>
        <v>280</v>
      </c>
      <c r="BI9" s="68">
        <f>RANK(BH9,$BH$9:$BH$43)</f>
        <v>1</v>
      </c>
    </row>
    <row r="10" spans="2:61" x14ac:dyDescent="0.25">
      <c r="B10" s="63">
        <v>2</v>
      </c>
      <c r="C10" s="64" t="str">
        <f>NOMINATIF!C7</f>
        <v>Bella Febriyan</v>
      </c>
      <c r="D10" s="65">
        <f>NOMINATIF!D7</f>
        <v>4044</v>
      </c>
      <c r="E10" s="65" t="str">
        <f>NOMINATIF!E7</f>
        <v>0063121607</v>
      </c>
      <c r="F10" s="53">
        <v>95</v>
      </c>
      <c r="G10" s="53"/>
      <c r="H10" s="53"/>
      <c r="I10" s="53">
        <f t="shared" ref="I10:I43" si="0">IFERROR(VLOOKUP(C10,$BO$8:$BP$101,2,0),0)</f>
        <v>0</v>
      </c>
      <c r="J10" s="53"/>
      <c r="K10" s="53"/>
      <c r="L10" s="53">
        <v>86</v>
      </c>
      <c r="M10" s="53"/>
      <c r="N10" s="53"/>
      <c r="O10" s="53">
        <f t="shared" ref="O10:O43" si="1">IFERROR(VLOOKUP(C10,$BS$8:$BT$39,2,0),0)</f>
        <v>0</v>
      </c>
      <c r="P10" s="53"/>
      <c r="Q10" s="53"/>
      <c r="R10" s="53">
        <f t="shared" ref="R10:R43" si="2">IFERROR(VLOOKUP(C10,$BU$8:$BV$101,2,0),0)</f>
        <v>0</v>
      </c>
      <c r="S10" s="53"/>
      <c r="T10" s="53"/>
      <c r="U10" s="53">
        <f t="shared" ref="U10:U43" si="3">IFERROR(VLOOKUP(C10,$BW$8:$BX$101,2,0),0)</f>
        <v>0</v>
      </c>
      <c r="V10" s="53"/>
      <c r="W10" s="53"/>
      <c r="X10" s="53">
        <f t="shared" ref="X10:X43" si="4">IFERROR(VLOOKUP(C10,$BY$8:$BZ$101,2,0),0)</f>
        <v>0</v>
      </c>
      <c r="Y10" s="53"/>
      <c r="Z10" s="53"/>
      <c r="AA10" s="53">
        <f t="shared" ref="AA10:AA43" si="5">IFERROR(VLOOKUP(C10,$CA$8:$CB$39,2,0),0)</f>
        <v>0</v>
      </c>
      <c r="AB10" s="53"/>
      <c r="AC10" s="53"/>
      <c r="AD10" s="53">
        <f t="shared" ref="AD10:AD43" si="6">IFERROR(VLOOKUP(C10,$CC$8:$CD$101,2,0),0)</f>
        <v>0</v>
      </c>
      <c r="AE10" s="53"/>
      <c r="AF10" s="53"/>
      <c r="AG10" s="53">
        <f t="shared" ref="AG10:AG43" si="7">IFERROR(VLOOKUP(C10,$CE$8:$CF$101,2,0),0)</f>
        <v>0</v>
      </c>
      <c r="AH10" s="53"/>
      <c r="AI10" s="53"/>
      <c r="AJ10" s="53">
        <f t="shared" ref="AJ10:AJ43" si="8">IFERROR(VLOOKUP(C10,$CG$8:$CH$101,2,0),0)</f>
        <v>0</v>
      </c>
      <c r="AK10" s="53"/>
      <c r="AL10" s="53"/>
      <c r="AM10" s="53">
        <f t="shared" ref="AM10:AM43" si="9">IFERROR(VLOOKUP(C10,$CI$8:$CJ$39,2,0),0)</f>
        <v>0</v>
      </c>
      <c r="AN10" s="53"/>
      <c r="AO10" s="53"/>
      <c r="AP10" s="53">
        <f t="shared" ref="AP10:AP43" si="10">IFERROR(VLOOKUP(C10,$CK$8:$CL$101,2,0),0)</f>
        <v>0</v>
      </c>
      <c r="AQ10" s="53"/>
      <c r="AR10" s="53"/>
      <c r="AS10" s="66">
        <f t="shared" ref="AS10:AS43" si="11">IFERROR(VLOOKUP(C10,$CM$8:$CN$101,2,0),0)</f>
        <v>0</v>
      </c>
      <c r="AT10" s="66"/>
      <c r="AU10" s="66"/>
      <c r="AV10" s="66">
        <f t="shared" ref="AV10:AV43" si="12">IFERROR(VLOOKUP(C10,$CO$8:$CP$101,2,0),0)</f>
        <v>0</v>
      </c>
      <c r="AW10" s="66"/>
      <c r="AX10" s="66"/>
      <c r="AY10" s="66">
        <f t="shared" ref="AY10:AY43" si="13">IFERROR(VLOOKUP(C10,$CQ$8:$CR$101,2,0),0)</f>
        <v>0</v>
      </c>
      <c r="AZ10" s="66"/>
      <c r="BA10" s="66"/>
      <c r="BB10" s="66">
        <f t="shared" ref="BB10:BB43" si="14">IFERROR(VLOOKUP(C10,$CS$8:$CT$101,2,0),0)</f>
        <v>0</v>
      </c>
      <c r="BC10" s="66"/>
      <c r="BD10" s="66"/>
      <c r="BE10" s="66">
        <f t="shared" ref="BE10:BE43" si="15">IFERROR(VLOOKUP(C10,$CU$8:$CV$101,2,0),0)</f>
        <v>0</v>
      </c>
      <c r="BF10" s="66"/>
      <c r="BG10" s="66"/>
      <c r="BH10" s="67">
        <f t="shared" ref="BH10:BH43" si="16">SUM(F10:BE10)</f>
        <v>181</v>
      </c>
      <c r="BI10" s="68">
        <f t="shared" ref="BI10:BI43" si="17">RANK(BH10,$BH$9:$BH$43)</f>
        <v>2</v>
      </c>
    </row>
    <row r="11" spans="2:61" x14ac:dyDescent="0.25">
      <c r="B11" s="63">
        <v>3</v>
      </c>
      <c r="C11" s="64" t="str">
        <f>NOMINATIF!C8</f>
        <v>CHINTIA WIDYA PUTRI</v>
      </c>
      <c r="D11" s="65">
        <f>NOMINATIF!D8</f>
        <v>4024</v>
      </c>
      <c r="E11" s="65" t="str">
        <f>NOMINATIF!E8</f>
        <v>0064862293</v>
      </c>
      <c r="F11" s="53">
        <f t="shared" ref="F11:F43" si="18">IFERROR(VLOOKUP(C11,$BM$8:$BN$101,2,0),0)</f>
        <v>0</v>
      </c>
      <c r="G11" s="53"/>
      <c r="H11" s="53"/>
      <c r="I11" s="53">
        <f t="shared" si="0"/>
        <v>0</v>
      </c>
      <c r="J11" s="53"/>
      <c r="K11" s="53"/>
      <c r="L11" s="53">
        <v>54</v>
      </c>
      <c r="M11" s="53"/>
      <c r="N11" s="53"/>
      <c r="O11" s="53">
        <f t="shared" si="1"/>
        <v>0</v>
      </c>
      <c r="P11" s="53"/>
      <c r="Q11" s="53"/>
      <c r="R11" s="53">
        <f t="shared" si="2"/>
        <v>0</v>
      </c>
      <c r="S11" s="53"/>
      <c r="T11" s="53"/>
      <c r="U11" s="53">
        <f t="shared" si="3"/>
        <v>0</v>
      </c>
      <c r="V11" s="53"/>
      <c r="W11" s="53"/>
      <c r="X11" s="53">
        <f t="shared" si="4"/>
        <v>0</v>
      </c>
      <c r="Y11" s="53"/>
      <c r="Z11" s="53"/>
      <c r="AA11" s="53">
        <f t="shared" si="5"/>
        <v>0</v>
      </c>
      <c r="AB11" s="53"/>
      <c r="AC11" s="53"/>
      <c r="AD11" s="53">
        <f t="shared" si="6"/>
        <v>0</v>
      </c>
      <c r="AE11" s="53"/>
      <c r="AF11" s="53"/>
      <c r="AG11" s="53">
        <f t="shared" si="7"/>
        <v>0</v>
      </c>
      <c r="AH11" s="53"/>
      <c r="AI11" s="53"/>
      <c r="AJ11" s="53">
        <f t="shared" si="8"/>
        <v>0</v>
      </c>
      <c r="AK11" s="53"/>
      <c r="AL11" s="53"/>
      <c r="AM11" s="53">
        <f t="shared" si="9"/>
        <v>0</v>
      </c>
      <c r="AN11" s="53"/>
      <c r="AO11" s="53"/>
      <c r="AP11" s="53">
        <f t="shared" si="10"/>
        <v>0</v>
      </c>
      <c r="AQ11" s="53"/>
      <c r="AR11" s="53"/>
      <c r="AS11" s="66">
        <f t="shared" si="11"/>
        <v>0</v>
      </c>
      <c r="AT11" s="66"/>
      <c r="AU11" s="66"/>
      <c r="AV11" s="66">
        <f t="shared" si="12"/>
        <v>0</v>
      </c>
      <c r="AW11" s="66"/>
      <c r="AX11" s="66"/>
      <c r="AY11" s="66">
        <f t="shared" si="13"/>
        <v>0</v>
      </c>
      <c r="AZ11" s="66"/>
      <c r="BA11" s="66"/>
      <c r="BB11" s="66">
        <f t="shared" si="14"/>
        <v>0</v>
      </c>
      <c r="BC11" s="66"/>
      <c r="BD11" s="66"/>
      <c r="BE11" s="66">
        <f t="shared" si="15"/>
        <v>0</v>
      </c>
      <c r="BF11" s="66"/>
      <c r="BG11" s="66"/>
      <c r="BH11" s="67">
        <f t="shared" si="16"/>
        <v>54</v>
      </c>
      <c r="BI11" s="68">
        <f t="shared" si="17"/>
        <v>23</v>
      </c>
    </row>
    <row r="12" spans="2:61" x14ac:dyDescent="0.25">
      <c r="B12" s="63">
        <v>4</v>
      </c>
      <c r="C12" s="64" t="str">
        <f>NOMINATIF!C9</f>
        <v>DAVINA AZAHRA</v>
      </c>
      <c r="D12" s="65">
        <f>NOMINATIF!D9</f>
        <v>4048</v>
      </c>
      <c r="E12" s="65" t="str">
        <f>NOMINATIF!E9</f>
        <v>0063299654</v>
      </c>
      <c r="F12" s="53">
        <f t="shared" si="18"/>
        <v>0</v>
      </c>
      <c r="G12" s="53"/>
      <c r="H12" s="53"/>
      <c r="I12" s="53">
        <f t="shared" si="0"/>
        <v>0</v>
      </c>
      <c r="J12" s="53"/>
      <c r="K12" s="53"/>
      <c r="L12" s="53">
        <v>52</v>
      </c>
      <c r="M12" s="53"/>
      <c r="N12" s="53"/>
      <c r="O12" s="53">
        <f t="shared" si="1"/>
        <v>0</v>
      </c>
      <c r="P12" s="53"/>
      <c r="Q12" s="53"/>
      <c r="R12" s="53">
        <f t="shared" si="2"/>
        <v>0</v>
      </c>
      <c r="S12" s="53"/>
      <c r="T12" s="53"/>
      <c r="U12" s="53">
        <f t="shared" si="3"/>
        <v>0</v>
      </c>
      <c r="V12" s="53"/>
      <c r="W12" s="53"/>
      <c r="X12" s="53">
        <f t="shared" si="4"/>
        <v>0</v>
      </c>
      <c r="Y12" s="53"/>
      <c r="Z12" s="53"/>
      <c r="AA12" s="53">
        <f t="shared" si="5"/>
        <v>0</v>
      </c>
      <c r="AB12" s="53"/>
      <c r="AC12" s="53"/>
      <c r="AD12" s="53">
        <f t="shared" si="6"/>
        <v>0</v>
      </c>
      <c r="AE12" s="53"/>
      <c r="AF12" s="53"/>
      <c r="AG12" s="53">
        <f t="shared" si="7"/>
        <v>0</v>
      </c>
      <c r="AH12" s="53"/>
      <c r="AI12" s="53"/>
      <c r="AJ12" s="53">
        <f t="shared" si="8"/>
        <v>0</v>
      </c>
      <c r="AK12" s="53"/>
      <c r="AL12" s="53"/>
      <c r="AM12" s="53">
        <f t="shared" si="9"/>
        <v>0</v>
      </c>
      <c r="AN12" s="53"/>
      <c r="AO12" s="53"/>
      <c r="AP12" s="53">
        <f t="shared" si="10"/>
        <v>0</v>
      </c>
      <c r="AQ12" s="53"/>
      <c r="AR12" s="53"/>
      <c r="AS12" s="66">
        <f t="shared" si="11"/>
        <v>0</v>
      </c>
      <c r="AT12" s="66"/>
      <c r="AU12" s="66"/>
      <c r="AV12" s="66">
        <f t="shared" si="12"/>
        <v>0</v>
      </c>
      <c r="AW12" s="66"/>
      <c r="AX12" s="66"/>
      <c r="AY12" s="66">
        <f t="shared" si="13"/>
        <v>0</v>
      </c>
      <c r="AZ12" s="66"/>
      <c r="BA12" s="66"/>
      <c r="BB12" s="66">
        <f t="shared" si="14"/>
        <v>0</v>
      </c>
      <c r="BC12" s="66"/>
      <c r="BD12" s="66"/>
      <c r="BE12" s="66">
        <f t="shared" si="15"/>
        <v>0</v>
      </c>
      <c r="BF12" s="66"/>
      <c r="BG12" s="66"/>
      <c r="BH12" s="67">
        <f t="shared" si="16"/>
        <v>52</v>
      </c>
      <c r="BI12" s="68">
        <f t="shared" si="17"/>
        <v>26</v>
      </c>
    </row>
    <row r="13" spans="2:61" x14ac:dyDescent="0.25">
      <c r="B13" s="63">
        <v>5</v>
      </c>
      <c r="C13" s="64" t="str">
        <f>NOMINATIF!C10</f>
        <v>DELIA TRI ASTUTI</v>
      </c>
      <c r="D13" s="65">
        <f>NOMINATIF!D10</f>
        <v>4049</v>
      </c>
      <c r="E13" s="65" t="str">
        <f>NOMINATIF!E10</f>
        <v>0051684703</v>
      </c>
      <c r="F13" s="53">
        <v>0</v>
      </c>
      <c r="G13" s="53"/>
      <c r="H13" s="53"/>
      <c r="I13" s="53">
        <f t="shared" si="0"/>
        <v>0</v>
      </c>
      <c r="J13" s="53"/>
      <c r="K13" s="53"/>
      <c r="L13" s="53">
        <v>61</v>
      </c>
      <c r="M13" s="53"/>
      <c r="N13" s="53"/>
      <c r="O13" s="53">
        <f t="shared" si="1"/>
        <v>0</v>
      </c>
      <c r="P13" s="53"/>
      <c r="Q13" s="53"/>
      <c r="R13" s="53">
        <f t="shared" si="2"/>
        <v>0</v>
      </c>
      <c r="S13" s="53"/>
      <c r="T13" s="53"/>
      <c r="U13" s="53">
        <f t="shared" si="3"/>
        <v>0</v>
      </c>
      <c r="V13" s="53"/>
      <c r="W13" s="53"/>
      <c r="X13" s="53">
        <f t="shared" si="4"/>
        <v>0</v>
      </c>
      <c r="Y13" s="53"/>
      <c r="Z13" s="53"/>
      <c r="AA13" s="53">
        <f t="shared" si="5"/>
        <v>0</v>
      </c>
      <c r="AB13" s="53"/>
      <c r="AC13" s="53"/>
      <c r="AD13" s="53">
        <f t="shared" si="6"/>
        <v>0</v>
      </c>
      <c r="AE13" s="53"/>
      <c r="AF13" s="53"/>
      <c r="AG13" s="53">
        <f t="shared" si="7"/>
        <v>0</v>
      </c>
      <c r="AH13" s="53"/>
      <c r="AI13" s="53"/>
      <c r="AJ13" s="53">
        <f t="shared" si="8"/>
        <v>0</v>
      </c>
      <c r="AK13" s="53"/>
      <c r="AL13" s="53"/>
      <c r="AM13" s="53">
        <f t="shared" si="9"/>
        <v>0</v>
      </c>
      <c r="AN13" s="53"/>
      <c r="AO13" s="53"/>
      <c r="AP13" s="53">
        <f t="shared" si="10"/>
        <v>0</v>
      </c>
      <c r="AQ13" s="53"/>
      <c r="AR13" s="53"/>
      <c r="AS13" s="66">
        <f t="shared" si="11"/>
        <v>0</v>
      </c>
      <c r="AT13" s="66"/>
      <c r="AU13" s="66"/>
      <c r="AV13" s="66">
        <f t="shared" si="12"/>
        <v>0</v>
      </c>
      <c r="AW13" s="66"/>
      <c r="AX13" s="66"/>
      <c r="AY13" s="66">
        <f t="shared" si="13"/>
        <v>0</v>
      </c>
      <c r="AZ13" s="66"/>
      <c r="BA13" s="66"/>
      <c r="BB13" s="66">
        <f t="shared" si="14"/>
        <v>0</v>
      </c>
      <c r="BC13" s="66"/>
      <c r="BD13" s="66"/>
      <c r="BE13" s="66">
        <f t="shared" si="15"/>
        <v>0</v>
      </c>
      <c r="BF13" s="66"/>
      <c r="BG13" s="66"/>
      <c r="BH13" s="67">
        <f t="shared" si="16"/>
        <v>61</v>
      </c>
      <c r="BI13" s="68">
        <f t="shared" si="17"/>
        <v>16</v>
      </c>
    </row>
    <row r="14" spans="2:61" x14ac:dyDescent="0.25">
      <c r="B14" s="63">
        <v>6</v>
      </c>
      <c r="C14" s="64" t="str">
        <f>NOMINATIF!C11</f>
        <v>ELVA AYU SAPUTRI</v>
      </c>
      <c r="D14" s="65">
        <f>NOMINATIF!D11</f>
        <v>4027</v>
      </c>
      <c r="E14" s="65" t="str">
        <f>NOMINATIF!E11</f>
        <v>0067175983</v>
      </c>
      <c r="F14" s="53">
        <f t="shared" si="18"/>
        <v>0</v>
      </c>
      <c r="G14" s="53"/>
      <c r="H14" s="53"/>
      <c r="I14" s="53">
        <f t="shared" si="0"/>
        <v>0</v>
      </c>
      <c r="J14" s="53"/>
      <c r="K14" s="53"/>
      <c r="L14" s="53">
        <v>58</v>
      </c>
      <c r="M14" s="53"/>
      <c r="N14" s="53"/>
      <c r="O14" s="53">
        <f t="shared" si="1"/>
        <v>0</v>
      </c>
      <c r="P14" s="53"/>
      <c r="Q14" s="53"/>
      <c r="R14" s="53">
        <f t="shared" si="2"/>
        <v>0</v>
      </c>
      <c r="S14" s="53"/>
      <c r="T14" s="53"/>
      <c r="U14" s="53">
        <f t="shared" si="3"/>
        <v>0</v>
      </c>
      <c r="V14" s="53"/>
      <c r="W14" s="53"/>
      <c r="X14" s="53">
        <f t="shared" si="4"/>
        <v>0</v>
      </c>
      <c r="Y14" s="53"/>
      <c r="Z14" s="53"/>
      <c r="AA14" s="53">
        <f t="shared" si="5"/>
        <v>0</v>
      </c>
      <c r="AB14" s="53"/>
      <c r="AC14" s="53"/>
      <c r="AD14" s="53">
        <f t="shared" si="6"/>
        <v>0</v>
      </c>
      <c r="AE14" s="53"/>
      <c r="AF14" s="53"/>
      <c r="AG14" s="53">
        <f t="shared" si="7"/>
        <v>0</v>
      </c>
      <c r="AH14" s="53"/>
      <c r="AI14" s="53"/>
      <c r="AJ14" s="53">
        <f t="shared" si="8"/>
        <v>0</v>
      </c>
      <c r="AK14" s="53"/>
      <c r="AL14" s="53"/>
      <c r="AM14" s="53">
        <f t="shared" si="9"/>
        <v>0</v>
      </c>
      <c r="AN14" s="53"/>
      <c r="AO14" s="53"/>
      <c r="AP14" s="53">
        <f t="shared" si="10"/>
        <v>0</v>
      </c>
      <c r="AQ14" s="53"/>
      <c r="AR14" s="53"/>
      <c r="AS14" s="66">
        <f t="shared" si="11"/>
        <v>0</v>
      </c>
      <c r="AT14" s="66"/>
      <c r="AU14" s="66"/>
      <c r="AV14" s="66">
        <f t="shared" si="12"/>
        <v>0</v>
      </c>
      <c r="AW14" s="66"/>
      <c r="AX14" s="66"/>
      <c r="AY14" s="66">
        <f t="shared" si="13"/>
        <v>0</v>
      </c>
      <c r="AZ14" s="66"/>
      <c r="BA14" s="66"/>
      <c r="BB14" s="66">
        <f t="shared" si="14"/>
        <v>0</v>
      </c>
      <c r="BC14" s="66"/>
      <c r="BD14" s="66"/>
      <c r="BE14" s="66">
        <f t="shared" si="15"/>
        <v>0</v>
      </c>
      <c r="BF14" s="66"/>
      <c r="BG14" s="66"/>
      <c r="BH14" s="67">
        <f t="shared" si="16"/>
        <v>58</v>
      </c>
      <c r="BI14" s="68">
        <f t="shared" si="17"/>
        <v>19</v>
      </c>
    </row>
    <row r="15" spans="2:61" x14ac:dyDescent="0.25">
      <c r="B15" s="63">
        <v>7</v>
      </c>
      <c r="C15" s="64" t="str">
        <f>NOMINATIF!C12</f>
        <v>Irlyn May Ardhiyana</v>
      </c>
      <c r="D15" s="65">
        <f>NOMINATIF!D12</f>
        <v>4030</v>
      </c>
      <c r="E15" s="65" t="str">
        <f>NOMINATIF!E12</f>
        <v>0068161646</v>
      </c>
      <c r="F15" s="53">
        <f t="shared" si="18"/>
        <v>0</v>
      </c>
      <c r="G15" s="53"/>
      <c r="H15" s="53"/>
      <c r="I15" s="53">
        <f t="shared" si="0"/>
        <v>0</v>
      </c>
      <c r="J15" s="53"/>
      <c r="K15" s="53"/>
      <c r="L15" s="53">
        <v>58</v>
      </c>
      <c r="M15" s="53"/>
      <c r="N15" s="53"/>
      <c r="O15" s="53">
        <f t="shared" si="1"/>
        <v>0</v>
      </c>
      <c r="P15" s="53"/>
      <c r="Q15" s="53"/>
      <c r="R15" s="53">
        <f t="shared" si="2"/>
        <v>0</v>
      </c>
      <c r="S15" s="53"/>
      <c r="T15" s="53"/>
      <c r="U15" s="53">
        <f t="shared" si="3"/>
        <v>0</v>
      </c>
      <c r="V15" s="53"/>
      <c r="W15" s="53"/>
      <c r="X15" s="53">
        <f t="shared" si="4"/>
        <v>0</v>
      </c>
      <c r="Y15" s="53"/>
      <c r="Z15" s="53"/>
      <c r="AA15" s="53">
        <f t="shared" si="5"/>
        <v>0</v>
      </c>
      <c r="AB15" s="53"/>
      <c r="AC15" s="53"/>
      <c r="AD15" s="53">
        <f t="shared" si="6"/>
        <v>0</v>
      </c>
      <c r="AE15" s="53"/>
      <c r="AF15" s="53"/>
      <c r="AG15" s="53">
        <f t="shared" si="7"/>
        <v>0</v>
      </c>
      <c r="AH15" s="53"/>
      <c r="AI15" s="53"/>
      <c r="AJ15" s="53">
        <f t="shared" si="8"/>
        <v>0</v>
      </c>
      <c r="AK15" s="53"/>
      <c r="AL15" s="53"/>
      <c r="AM15" s="53">
        <f t="shared" si="9"/>
        <v>0</v>
      </c>
      <c r="AN15" s="53"/>
      <c r="AO15" s="53"/>
      <c r="AP15" s="53">
        <f t="shared" si="10"/>
        <v>0</v>
      </c>
      <c r="AQ15" s="53"/>
      <c r="AR15" s="53"/>
      <c r="AS15" s="66">
        <f t="shared" si="11"/>
        <v>0</v>
      </c>
      <c r="AT15" s="66"/>
      <c r="AU15" s="66"/>
      <c r="AV15" s="66">
        <f t="shared" si="12"/>
        <v>0</v>
      </c>
      <c r="AW15" s="66"/>
      <c r="AX15" s="66"/>
      <c r="AY15" s="66">
        <f t="shared" si="13"/>
        <v>0</v>
      </c>
      <c r="AZ15" s="66"/>
      <c r="BA15" s="66"/>
      <c r="BB15" s="66">
        <f t="shared" si="14"/>
        <v>0</v>
      </c>
      <c r="BC15" s="66"/>
      <c r="BD15" s="66"/>
      <c r="BE15" s="66">
        <f t="shared" si="15"/>
        <v>0</v>
      </c>
      <c r="BF15" s="66"/>
      <c r="BG15" s="66"/>
      <c r="BH15" s="67">
        <f t="shared" si="16"/>
        <v>58</v>
      </c>
      <c r="BI15" s="68">
        <f t="shared" si="17"/>
        <v>19</v>
      </c>
    </row>
    <row r="16" spans="2:61" x14ac:dyDescent="0.25">
      <c r="B16" s="63">
        <v>8</v>
      </c>
      <c r="C16" s="64" t="str">
        <f>NOMINATIF!C13</f>
        <v>Milla Safira</v>
      </c>
      <c r="D16" s="65">
        <f>NOMINATIF!D13</f>
        <v>4053</v>
      </c>
      <c r="E16" s="65" t="str">
        <f>NOMINATIF!E13</f>
        <v>0057801643</v>
      </c>
      <c r="F16" s="53">
        <f t="shared" si="18"/>
        <v>0</v>
      </c>
      <c r="G16" s="53"/>
      <c r="H16" s="53"/>
      <c r="I16" s="53">
        <f t="shared" si="0"/>
        <v>0</v>
      </c>
      <c r="J16" s="53"/>
      <c r="K16" s="53"/>
      <c r="L16" s="53">
        <v>74</v>
      </c>
      <c r="M16" s="53"/>
      <c r="N16" s="53"/>
      <c r="O16" s="53">
        <f t="shared" si="1"/>
        <v>0</v>
      </c>
      <c r="P16" s="53"/>
      <c r="Q16" s="53"/>
      <c r="R16" s="53">
        <f t="shared" si="2"/>
        <v>0</v>
      </c>
      <c r="S16" s="53"/>
      <c r="T16" s="53"/>
      <c r="U16" s="53">
        <f t="shared" si="3"/>
        <v>0</v>
      </c>
      <c r="V16" s="53"/>
      <c r="W16" s="53"/>
      <c r="X16" s="53">
        <f t="shared" si="4"/>
        <v>0</v>
      </c>
      <c r="Y16" s="53"/>
      <c r="Z16" s="53"/>
      <c r="AA16" s="53">
        <f t="shared" si="5"/>
        <v>0</v>
      </c>
      <c r="AB16" s="53"/>
      <c r="AC16" s="53"/>
      <c r="AD16" s="53">
        <f t="shared" si="6"/>
        <v>0</v>
      </c>
      <c r="AE16" s="53"/>
      <c r="AF16" s="53"/>
      <c r="AG16" s="53">
        <f t="shared" si="7"/>
        <v>0</v>
      </c>
      <c r="AH16" s="53"/>
      <c r="AI16" s="53"/>
      <c r="AJ16" s="53">
        <f t="shared" si="8"/>
        <v>0</v>
      </c>
      <c r="AK16" s="53"/>
      <c r="AL16" s="53"/>
      <c r="AM16" s="53">
        <f t="shared" si="9"/>
        <v>0</v>
      </c>
      <c r="AN16" s="53"/>
      <c r="AO16" s="53"/>
      <c r="AP16" s="53">
        <f t="shared" si="10"/>
        <v>0</v>
      </c>
      <c r="AQ16" s="53"/>
      <c r="AR16" s="53"/>
      <c r="AS16" s="66">
        <f t="shared" si="11"/>
        <v>0</v>
      </c>
      <c r="AT16" s="66"/>
      <c r="AU16" s="66"/>
      <c r="AV16" s="66">
        <f t="shared" si="12"/>
        <v>0</v>
      </c>
      <c r="AW16" s="66"/>
      <c r="AX16" s="66"/>
      <c r="AY16" s="66">
        <f t="shared" si="13"/>
        <v>0</v>
      </c>
      <c r="AZ16" s="66"/>
      <c r="BA16" s="66"/>
      <c r="BB16" s="66">
        <f t="shared" si="14"/>
        <v>0</v>
      </c>
      <c r="BC16" s="66"/>
      <c r="BD16" s="66"/>
      <c r="BE16" s="66">
        <f t="shared" si="15"/>
        <v>0</v>
      </c>
      <c r="BF16" s="66"/>
      <c r="BG16" s="66"/>
      <c r="BH16" s="67">
        <f t="shared" si="16"/>
        <v>74</v>
      </c>
      <c r="BI16" s="68">
        <f t="shared" si="17"/>
        <v>9</v>
      </c>
    </row>
    <row r="17" spans="2:61" x14ac:dyDescent="0.25">
      <c r="B17" s="63">
        <v>9</v>
      </c>
      <c r="C17" s="64" t="str">
        <f>NOMINATIF!C14</f>
        <v>NATASYA EVI ARIFAH</v>
      </c>
      <c r="D17" s="65">
        <f>NOMINATIF!D14</f>
        <v>4033</v>
      </c>
      <c r="E17" s="65" t="str">
        <f>NOMINATIF!E14</f>
        <v>0066680260</v>
      </c>
      <c r="F17" s="53">
        <f t="shared" si="18"/>
        <v>0</v>
      </c>
      <c r="G17" s="53"/>
      <c r="H17" s="53"/>
      <c r="I17" s="53">
        <f t="shared" si="0"/>
        <v>0</v>
      </c>
      <c r="J17" s="53"/>
      <c r="K17" s="53"/>
      <c r="L17" s="53">
        <v>58</v>
      </c>
      <c r="M17" s="53"/>
      <c r="N17" s="53"/>
      <c r="O17" s="53">
        <f t="shared" si="1"/>
        <v>0</v>
      </c>
      <c r="P17" s="53"/>
      <c r="Q17" s="53"/>
      <c r="R17" s="53">
        <f t="shared" si="2"/>
        <v>0</v>
      </c>
      <c r="S17" s="53"/>
      <c r="T17" s="53"/>
      <c r="U17" s="53">
        <f t="shared" si="3"/>
        <v>0</v>
      </c>
      <c r="V17" s="53"/>
      <c r="W17" s="53"/>
      <c r="X17" s="53">
        <f t="shared" si="4"/>
        <v>0</v>
      </c>
      <c r="Y17" s="53"/>
      <c r="Z17" s="53"/>
      <c r="AA17" s="53">
        <f t="shared" si="5"/>
        <v>0</v>
      </c>
      <c r="AB17" s="53"/>
      <c r="AC17" s="53"/>
      <c r="AD17" s="53">
        <f t="shared" si="6"/>
        <v>0</v>
      </c>
      <c r="AE17" s="53"/>
      <c r="AF17" s="53"/>
      <c r="AG17" s="53">
        <f t="shared" si="7"/>
        <v>0</v>
      </c>
      <c r="AH17" s="53"/>
      <c r="AI17" s="53"/>
      <c r="AJ17" s="53">
        <f t="shared" si="8"/>
        <v>0</v>
      </c>
      <c r="AK17" s="53"/>
      <c r="AL17" s="53"/>
      <c r="AM17" s="53">
        <f t="shared" si="9"/>
        <v>0</v>
      </c>
      <c r="AN17" s="53"/>
      <c r="AO17" s="53"/>
      <c r="AP17" s="53">
        <f t="shared" si="10"/>
        <v>0</v>
      </c>
      <c r="AQ17" s="53"/>
      <c r="AR17" s="53"/>
      <c r="AS17" s="66">
        <f t="shared" si="11"/>
        <v>0</v>
      </c>
      <c r="AT17" s="66"/>
      <c r="AU17" s="66"/>
      <c r="AV17" s="66">
        <f t="shared" si="12"/>
        <v>0</v>
      </c>
      <c r="AW17" s="66"/>
      <c r="AX17" s="66"/>
      <c r="AY17" s="66">
        <f t="shared" si="13"/>
        <v>0</v>
      </c>
      <c r="AZ17" s="66"/>
      <c r="BA17" s="66"/>
      <c r="BB17" s="66">
        <f t="shared" si="14"/>
        <v>0</v>
      </c>
      <c r="BC17" s="66"/>
      <c r="BD17" s="66"/>
      <c r="BE17" s="66">
        <f t="shared" si="15"/>
        <v>0</v>
      </c>
      <c r="BF17" s="66"/>
      <c r="BG17" s="66"/>
      <c r="BH17" s="67">
        <f t="shared" si="16"/>
        <v>58</v>
      </c>
      <c r="BI17" s="68">
        <f t="shared" si="17"/>
        <v>19</v>
      </c>
    </row>
    <row r="18" spans="2:61" x14ac:dyDescent="0.25">
      <c r="B18" s="63">
        <v>10</v>
      </c>
      <c r="C18" s="64" t="str">
        <f>NOMINATIF!C15</f>
        <v>Nensyih Widyawati Maharani</v>
      </c>
      <c r="D18" s="65">
        <f>NOMINATIF!D15</f>
        <v>4054</v>
      </c>
      <c r="E18" s="65" t="str">
        <f>NOMINATIF!E15</f>
        <v>0064476649</v>
      </c>
      <c r="F18" s="53">
        <f t="shared" si="18"/>
        <v>0</v>
      </c>
      <c r="G18" s="53"/>
      <c r="H18" s="53"/>
      <c r="I18" s="53">
        <f t="shared" si="0"/>
        <v>0</v>
      </c>
      <c r="J18" s="53"/>
      <c r="K18" s="53"/>
      <c r="L18" s="53">
        <v>60</v>
      </c>
      <c r="M18" s="53"/>
      <c r="N18" s="53"/>
      <c r="O18" s="53">
        <f t="shared" si="1"/>
        <v>0</v>
      </c>
      <c r="P18" s="53"/>
      <c r="Q18" s="53"/>
      <c r="R18" s="53">
        <f t="shared" si="2"/>
        <v>0</v>
      </c>
      <c r="S18" s="53"/>
      <c r="T18" s="53"/>
      <c r="U18" s="53">
        <f t="shared" si="3"/>
        <v>0</v>
      </c>
      <c r="V18" s="53"/>
      <c r="W18" s="53"/>
      <c r="X18" s="53">
        <f t="shared" si="4"/>
        <v>0</v>
      </c>
      <c r="Y18" s="53"/>
      <c r="Z18" s="53"/>
      <c r="AA18" s="53">
        <f t="shared" si="5"/>
        <v>0</v>
      </c>
      <c r="AB18" s="53"/>
      <c r="AC18" s="53"/>
      <c r="AD18" s="53">
        <f t="shared" si="6"/>
        <v>0</v>
      </c>
      <c r="AE18" s="53"/>
      <c r="AF18" s="53"/>
      <c r="AG18" s="53">
        <f t="shared" si="7"/>
        <v>0</v>
      </c>
      <c r="AH18" s="53"/>
      <c r="AI18" s="53"/>
      <c r="AJ18" s="53">
        <f t="shared" si="8"/>
        <v>0</v>
      </c>
      <c r="AK18" s="53"/>
      <c r="AL18" s="53"/>
      <c r="AM18" s="53">
        <f t="shared" si="9"/>
        <v>0</v>
      </c>
      <c r="AN18" s="53"/>
      <c r="AO18" s="53"/>
      <c r="AP18" s="53">
        <f t="shared" si="10"/>
        <v>0</v>
      </c>
      <c r="AQ18" s="53"/>
      <c r="AR18" s="53"/>
      <c r="AS18" s="66">
        <f t="shared" si="11"/>
        <v>0</v>
      </c>
      <c r="AT18" s="66"/>
      <c r="AU18" s="66"/>
      <c r="AV18" s="66">
        <f t="shared" si="12"/>
        <v>0</v>
      </c>
      <c r="AW18" s="66"/>
      <c r="AX18" s="66"/>
      <c r="AY18" s="66">
        <f t="shared" si="13"/>
        <v>0</v>
      </c>
      <c r="AZ18" s="66"/>
      <c r="BA18" s="66"/>
      <c r="BB18" s="66">
        <f t="shared" si="14"/>
        <v>0</v>
      </c>
      <c r="BC18" s="66"/>
      <c r="BD18" s="66"/>
      <c r="BE18" s="66">
        <f t="shared" si="15"/>
        <v>0</v>
      </c>
      <c r="BF18" s="66"/>
      <c r="BG18" s="66"/>
      <c r="BH18" s="67">
        <f t="shared" si="16"/>
        <v>60</v>
      </c>
      <c r="BI18" s="68">
        <f t="shared" si="17"/>
        <v>18</v>
      </c>
    </row>
    <row r="19" spans="2:61" x14ac:dyDescent="0.25">
      <c r="B19" s="63">
        <v>11</v>
      </c>
      <c r="C19" s="64" t="str">
        <f>NOMINATIF!C16</f>
        <v>Olifah Hiasianjeng Prehatin</v>
      </c>
      <c r="D19" s="65">
        <f>NOMINATIF!D16</f>
        <v>4056</v>
      </c>
      <c r="E19" s="65" t="str">
        <f>NOMINATIF!E16</f>
        <v>0056102322</v>
      </c>
      <c r="F19" s="53">
        <f t="shared" si="18"/>
        <v>0</v>
      </c>
      <c r="G19" s="53"/>
      <c r="H19" s="53"/>
      <c r="I19" s="53">
        <f t="shared" si="0"/>
        <v>0</v>
      </c>
      <c r="J19" s="53"/>
      <c r="K19" s="53"/>
      <c r="L19" s="53">
        <v>67</v>
      </c>
      <c r="M19" s="53"/>
      <c r="N19" s="53"/>
      <c r="O19" s="53">
        <f t="shared" si="1"/>
        <v>0</v>
      </c>
      <c r="P19" s="53"/>
      <c r="Q19" s="53"/>
      <c r="R19" s="53">
        <f t="shared" si="2"/>
        <v>0</v>
      </c>
      <c r="S19" s="53"/>
      <c r="T19" s="53"/>
      <c r="U19" s="53">
        <f t="shared" si="3"/>
        <v>0</v>
      </c>
      <c r="V19" s="53"/>
      <c r="W19" s="53"/>
      <c r="X19" s="53">
        <f t="shared" si="4"/>
        <v>0</v>
      </c>
      <c r="Y19" s="53"/>
      <c r="Z19" s="53"/>
      <c r="AA19" s="53">
        <f t="shared" si="5"/>
        <v>0</v>
      </c>
      <c r="AB19" s="53"/>
      <c r="AC19" s="53"/>
      <c r="AD19" s="53">
        <f t="shared" si="6"/>
        <v>0</v>
      </c>
      <c r="AE19" s="53"/>
      <c r="AF19" s="53"/>
      <c r="AG19" s="53">
        <f t="shared" si="7"/>
        <v>0</v>
      </c>
      <c r="AH19" s="53"/>
      <c r="AI19" s="53"/>
      <c r="AJ19" s="53">
        <f t="shared" si="8"/>
        <v>0</v>
      </c>
      <c r="AK19" s="53"/>
      <c r="AL19" s="53"/>
      <c r="AM19" s="53">
        <f t="shared" si="9"/>
        <v>0</v>
      </c>
      <c r="AN19" s="53"/>
      <c r="AO19" s="53"/>
      <c r="AP19" s="53">
        <f t="shared" si="10"/>
        <v>0</v>
      </c>
      <c r="AQ19" s="53"/>
      <c r="AR19" s="53"/>
      <c r="AS19" s="66">
        <f t="shared" si="11"/>
        <v>0</v>
      </c>
      <c r="AT19" s="66"/>
      <c r="AU19" s="66"/>
      <c r="AV19" s="66">
        <f t="shared" si="12"/>
        <v>0</v>
      </c>
      <c r="AW19" s="66"/>
      <c r="AX19" s="66"/>
      <c r="AY19" s="66">
        <f t="shared" si="13"/>
        <v>0</v>
      </c>
      <c r="AZ19" s="66"/>
      <c r="BA19" s="66"/>
      <c r="BB19" s="66">
        <f t="shared" si="14"/>
        <v>0</v>
      </c>
      <c r="BC19" s="66"/>
      <c r="BD19" s="66"/>
      <c r="BE19" s="66">
        <f t="shared" si="15"/>
        <v>0</v>
      </c>
      <c r="BF19" s="66"/>
      <c r="BG19" s="66"/>
      <c r="BH19" s="67">
        <f t="shared" si="16"/>
        <v>67</v>
      </c>
      <c r="BI19" s="68">
        <f t="shared" si="17"/>
        <v>12</v>
      </c>
    </row>
    <row r="20" spans="2:61" x14ac:dyDescent="0.25">
      <c r="B20" s="63">
        <v>12</v>
      </c>
      <c r="C20" s="64" t="str">
        <f>NOMINATIF!C17</f>
        <v>Putri Wijayanti</v>
      </c>
      <c r="D20" s="65">
        <f>NOMINATIF!D17</f>
        <v>4057</v>
      </c>
      <c r="E20" s="65" t="str">
        <f>NOMINATIF!E17</f>
        <v>0065546535</v>
      </c>
      <c r="F20" s="53">
        <f t="shared" si="18"/>
        <v>0</v>
      </c>
      <c r="G20" s="53"/>
      <c r="H20" s="53"/>
      <c r="I20" s="53">
        <f t="shared" si="0"/>
        <v>0</v>
      </c>
      <c r="J20" s="53"/>
      <c r="K20" s="53"/>
      <c r="L20" s="53">
        <v>84</v>
      </c>
      <c r="M20" s="53"/>
      <c r="N20" s="53"/>
      <c r="O20" s="53">
        <f t="shared" si="1"/>
        <v>0</v>
      </c>
      <c r="P20" s="53"/>
      <c r="Q20" s="53"/>
      <c r="R20" s="53">
        <f t="shared" si="2"/>
        <v>0</v>
      </c>
      <c r="S20" s="53"/>
      <c r="T20" s="53"/>
      <c r="U20" s="53">
        <f t="shared" si="3"/>
        <v>0</v>
      </c>
      <c r="V20" s="53"/>
      <c r="W20" s="53"/>
      <c r="X20" s="53">
        <f t="shared" si="4"/>
        <v>0</v>
      </c>
      <c r="Y20" s="53"/>
      <c r="Z20" s="53"/>
      <c r="AA20" s="53">
        <f t="shared" si="5"/>
        <v>0</v>
      </c>
      <c r="AB20" s="53"/>
      <c r="AC20" s="53"/>
      <c r="AD20" s="53">
        <f t="shared" si="6"/>
        <v>0</v>
      </c>
      <c r="AE20" s="53"/>
      <c r="AF20" s="53"/>
      <c r="AG20" s="53">
        <f t="shared" si="7"/>
        <v>0</v>
      </c>
      <c r="AH20" s="53"/>
      <c r="AI20" s="53"/>
      <c r="AJ20" s="53">
        <f t="shared" si="8"/>
        <v>0</v>
      </c>
      <c r="AK20" s="53"/>
      <c r="AL20" s="53"/>
      <c r="AM20" s="53">
        <f t="shared" si="9"/>
        <v>0</v>
      </c>
      <c r="AN20" s="53"/>
      <c r="AO20" s="53"/>
      <c r="AP20" s="53">
        <f t="shared" si="10"/>
        <v>0</v>
      </c>
      <c r="AQ20" s="53"/>
      <c r="AR20" s="53"/>
      <c r="AS20" s="66">
        <f t="shared" si="11"/>
        <v>0</v>
      </c>
      <c r="AT20" s="66"/>
      <c r="AU20" s="66"/>
      <c r="AV20" s="66">
        <f t="shared" si="12"/>
        <v>0</v>
      </c>
      <c r="AW20" s="66"/>
      <c r="AX20" s="66"/>
      <c r="AY20" s="66">
        <f t="shared" si="13"/>
        <v>0</v>
      </c>
      <c r="AZ20" s="66"/>
      <c r="BA20" s="66"/>
      <c r="BB20" s="66">
        <f t="shared" si="14"/>
        <v>0</v>
      </c>
      <c r="BC20" s="66"/>
      <c r="BD20" s="66"/>
      <c r="BE20" s="66">
        <f t="shared" si="15"/>
        <v>0</v>
      </c>
      <c r="BF20" s="66"/>
      <c r="BG20" s="66"/>
      <c r="BH20" s="67">
        <f t="shared" si="16"/>
        <v>84</v>
      </c>
      <c r="BI20" s="68">
        <f t="shared" si="17"/>
        <v>6</v>
      </c>
    </row>
    <row r="21" spans="2:61" x14ac:dyDescent="0.25">
      <c r="B21" s="63">
        <v>13</v>
      </c>
      <c r="C21" s="64" t="str">
        <f>NOMINATIF!C18</f>
        <v>Rafli Ramadani</v>
      </c>
      <c r="D21" s="65">
        <f>NOMINATIF!D18</f>
        <v>4058</v>
      </c>
      <c r="E21" s="65" t="str">
        <f>NOMINATIF!E18</f>
        <v>0055462823</v>
      </c>
      <c r="F21" s="53">
        <f t="shared" ref="F21:I21" si="19">IFERROR(VLOOKUP(#REF!,$BQ$8:$BR$101,2,0),0)</f>
        <v>0</v>
      </c>
      <c r="G21" s="53"/>
      <c r="H21" s="53"/>
      <c r="I21" s="53">
        <f t="shared" si="19"/>
        <v>0</v>
      </c>
      <c r="J21" s="53"/>
      <c r="K21" s="53"/>
      <c r="L21" s="53">
        <v>58</v>
      </c>
      <c r="M21" s="53"/>
      <c r="N21" s="53"/>
      <c r="O21" s="53">
        <f t="shared" si="1"/>
        <v>0</v>
      </c>
      <c r="P21" s="53"/>
      <c r="Q21" s="53"/>
      <c r="R21" s="53">
        <f t="shared" si="2"/>
        <v>0</v>
      </c>
      <c r="S21" s="53"/>
      <c r="T21" s="53"/>
      <c r="U21" s="53">
        <f t="shared" si="3"/>
        <v>0</v>
      </c>
      <c r="V21" s="53"/>
      <c r="W21" s="53"/>
      <c r="X21" s="53">
        <f t="shared" si="4"/>
        <v>0</v>
      </c>
      <c r="Y21" s="53"/>
      <c r="Z21" s="53"/>
      <c r="AA21" s="53">
        <f t="shared" si="5"/>
        <v>0</v>
      </c>
      <c r="AB21" s="53"/>
      <c r="AC21" s="53"/>
      <c r="AD21" s="53">
        <f t="shared" si="6"/>
        <v>0</v>
      </c>
      <c r="AE21" s="53"/>
      <c r="AF21" s="53"/>
      <c r="AG21" s="53">
        <f t="shared" si="7"/>
        <v>0</v>
      </c>
      <c r="AH21" s="53"/>
      <c r="AI21" s="53"/>
      <c r="AJ21" s="53">
        <f t="shared" si="8"/>
        <v>0</v>
      </c>
      <c r="AK21" s="53"/>
      <c r="AL21" s="53"/>
      <c r="AM21" s="53">
        <f t="shared" si="9"/>
        <v>0</v>
      </c>
      <c r="AN21" s="53"/>
      <c r="AO21" s="53"/>
      <c r="AP21" s="53">
        <f t="shared" si="10"/>
        <v>0</v>
      </c>
      <c r="AQ21" s="53"/>
      <c r="AR21" s="53"/>
      <c r="AS21" s="66">
        <f t="shared" si="11"/>
        <v>0</v>
      </c>
      <c r="AT21" s="66"/>
      <c r="AU21" s="66"/>
      <c r="AV21" s="66">
        <f t="shared" si="12"/>
        <v>0</v>
      </c>
      <c r="AW21" s="66"/>
      <c r="AX21" s="66"/>
      <c r="AY21" s="66">
        <f t="shared" si="13"/>
        <v>0</v>
      </c>
      <c r="AZ21" s="66"/>
      <c r="BA21" s="66"/>
      <c r="BB21" s="66">
        <f t="shared" si="14"/>
        <v>0</v>
      </c>
      <c r="BC21" s="66"/>
      <c r="BD21" s="66"/>
      <c r="BE21" s="66">
        <f t="shared" si="15"/>
        <v>0</v>
      </c>
      <c r="BF21" s="66"/>
      <c r="BG21" s="66"/>
      <c r="BH21" s="67">
        <f t="shared" si="16"/>
        <v>58</v>
      </c>
      <c r="BI21" s="68">
        <f t="shared" si="17"/>
        <v>19</v>
      </c>
    </row>
    <row r="22" spans="2:61" x14ac:dyDescent="0.25">
      <c r="B22" s="63">
        <v>14</v>
      </c>
      <c r="C22" s="64" t="str">
        <f>NOMINATIF!C19</f>
        <v>Rheiva Elfa Rossidah</v>
      </c>
      <c r="D22" s="65">
        <f>NOMINATIF!D19</f>
        <v>4036</v>
      </c>
      <c r="E22" s="65" t="str">
        <f>NOMINATIF!E19</f>
        <v>0072838616</v>
      </c>
      <c r="F22" s="53">
        <f t="shared" si="18"/>
        <v>0</v>
      </c>
      <c r="G22" s="53"/>
      <c r="H22" s="53"/>
      <c r="I22" s="53">
        <f t="shared" si="0"/>
        <v>0</v>
      </c>
      <c r="J22" s="53"/>
      <c r="K22" s="53"/>
      <c r="L22" s="53">
        <v>61</v>
      </c>
      <c r="M22" s="53"/>
      <c r="N22" s="53"/>
      <c r="O22" s="53">
        <f t="shared" si="1"/>
        <v>0</v>
      </c>
      <c r="P22" s="53"/>
      <c r="Q22" s="53"/>
      <c r="R22" s="53">
        <f t="shared" si="2"/>
        <v>0</v>
      </c>
      <c r="S22" s="53"/>
      <c r="T22" s="53"/>
      <c r="U22" s="53">
        <f t="shared" si="3"/>
        <v>0</v>
      </c>
      <c r="V22" s="53"/>
      <c r="W22" s="53"/>
      <c r="X22" s="53">
        <f t="shared" si="4"/>
        <v>0</v>
      </c>
      <c r="Y22" s="53"/>
      <c r="Z22" s="53"/>
      <c r="AA22" s="53">
        <f t="shared" si="5"/>
        <v>0</v>
      </c>
      <c r="AB22" s="53"/>
      <c r="AC22" s="53"/>
      <c r="AD22" s="53">
        <f t="shared" si="6"/>
        <v>0</v>
      </c>
      <c r="AE22" s="53"/>
      <c r="AF22" s="53"/>
      <c r="AG22" s="53">
        <f t="shared" si="7"/>
        <v>0</v>
      </c>
      <c r="AH22" s="53"/>
      <c r="AI22" s="53"/>
      <c r="AJ22" s="53">
        <f t="shared" si="8"/>
        <v>0</v>
      </c>
      <c r="AK22" s="53"/>
      <c r="AL22" s="53"/>
      <c r="AM22" s="53">
        <f t="shared" si="9"/>
        <v>0</v>
      </c>
      <c r="AN22" s="53"/>
      <c r="AO22" s="53"/>
      <c r="AP22" s="53">
        <f t="shared" si="10"/>
        <v>0</v>
      </c>
      <c r="AQ22" s="53"/>
      <c r="AR22" s="53"/>
      <c r="AS22" s="66">
        <f t="shared" si="11"/>
        <v>0</v>
      </c>
      <c r="AT22" s="66"/>
      <c r="AU22" s="66"/>
      <c r="AV22" s="66">
        <f t="shared" si="12"/>
        <v>0</v>
      </c>
      <c r="AW22" s="66"/>
      <c r="AX22" s="66"/>
      <c r="AY22" s="66">
        <f t="shared" si="13"/>
        <v>0</v>
      </c>
      <c r="AZ22" s="66"/>
      <c r="BA22" s="66"/>
      <c r="BB22" s="66">
        <f t="shared" si="14"/>
        <v>0</v>
      </c>
      <c r="BC22" s="66"/>
      <c r="BD22" s="66"/>
      <c r="BE22" s="66">
        <f t="shared" si="15"/>
        <v>0</v>
      </c>
      <c r="BF22" s="66"/>
      <c r="BG22" s="66"/>
      <c r="BH22" s="67">
        <f t="shared" si="16"/>
        <v>61</v>
      </c>
      <c r="BI22" s="68">
        <f t="shared" si="17"/>
        <v>16</v>
      </c>
    </row>
    <row r="23" spans="2:61" x14ac:dyDescent="0.25">
      <c r="B23" s="63">
        <v>15</v>
      </c>
      <c r="C23" s="64" t="str">
        <f>NOMINATIF!C20</f>
        <v>Selvia Indah Fitriani</v>
      </c>
      <c r="D23" s="65">
        <f>NOMINATIF!D20</f>
        <v>4037</v>
      </c>
      <c r="E23" s="65" t="str">
        <f>NOMINATIF!E20</f>
        <v>0052393386</v>
      </c>
      <c r="F23" s="53">
        <f t="shared" si="18"/>
        <v>0</v>
      </c>
      <c r="G23" s="53"/>
      <c r="H23" s="53"/>
      <c r="I23" s="53">
        <f t="shared" si="0"/>
        <v>0</v>
      </c>
      <c r="J23" s="53"/>
      <c r="K23" s="53"/>
      <c r="L23" s="53">
        <v>76</v>
      </c>
      <c r="M23" s="53"/>
      <c r="N23" s="53"/>
      <c r="O23" s="53">
        <f t="shared" si="1"/>
        <v>0</v>
      </c>
      <c r="P23" s="53"/>
      <c r="Q23" s="53"/>
      <c r="R23" s="53">
        <f t="shared" si="2"/>
        <v>0</v>
      </c>
      <c r="S23" s="53"/>
      <c r="T23" s="53"/>
      <c r="U23" s="53">
        <f t="shared" si="3"/>
        <v>0</v>
      </c>
      <c r="V23" s="53"/>
      <c r="W23" s="53"/>
      <c r="X23" s="53">
        <f t="shared" si="4"/>
        <v>0</v>
      </c>
      <c r="Y23" s="53"/>
      <c r="Z23" s="53"/>
      <c r="AA23" s="53">
        <f t="shared" si="5"/>
        <v>0</v>
      </c>
      <c r="AB23" s="53"/>
      <c r="AC23" s="53"/>
      <c r="AD23" s="53">
        <f t="shared" si="6"/>
        <v>0</v>
      </c>
      <c r="AE23" s="53"/>
      <c r="AF23" s="53"/>
      <c r="AG23" s="53">
        <f t="shared" si="7"/>
        <v>0</v>
      </c>
      <c r="AH23" s="53"/>
      <c r="AI23" s="53"/>
      <c r="AJ23" s="53">
        <f t="shared" si="8"/>
        <v>0</v>
      </c>
      <c r="AK23" s="53"/>
      <c r="AL23" s="53"/>
      <c r="AM23" s="53">
        <f t="shared" si="9"/>
        <v>0</v>
      </c>
      <c r="AN23" s="53"/>
      <c r="AO23" s="53"/>
      <c r="AP23" s="53">
        <f t="shared" si="10"/>
        <v>0</v>
      </c>
      <c r="AQ23" s="53"/>
      <c r="AR23" s="53"/>
      <c r="AS23" s="66">
        <f t="shared" si="11"/>
        <v>0</v>
      </c>
      <c r="AT23" s="66"/>
      <c r="AU23" s="66"/>
      <c r="AV23" s="66">
        <f t="shared" si="12"/>
        <v>0</v>
      </c>
      <c r="AW23" s="66"/>
      <c r="AX23" s="66"/>
      <c r="AY23" s="66">
        <f t="shared" si="13"/>
        <v>0</v>
      </c>
      <c r="AZ23" s="66"/>
      <c r="BA23" s="66"/>
      <c r="BB23" s="66">
        <f t="shared" si="14"/>
        <v>0</v>
      </c>
      <c r="BC23" s="66"/>
      <c r="BD23" s="66"/>
      <c r="BE23" s="66">
        <f t="shared" si="15"/>
        <v>0</v>
      </c>
      <c r="BF23" s="66"/>
      <c r="BG23" s="66"/>
      <c r="BH23" s="67">
        <f t="shared" si="16"/>
        <v>76</v>
      </c>
      <c r="BI23" s="68">
        <f t="shared" si="17"/>
        <v>8</v>
      </c>
    </row>
    <row r="24" spans="2:61" x14ac:dyDescent="0.25">
      <c r="B24" s="63">
        <v>16</v>
      </c>
      <c r="C24" s="64" t="str">
        <f>NOMINATIF!C21</f>
        <v>TIA APRILIA</v>
      </c>
      <c r="D24" s="65">
        <f>NOMINATIF!D21</f>
        <v>4038</v>
      </c>
      <c r="E24" s="65" t="str">
        <f>NOMINATIF!E21</f>
        <v>0066060316</v>
      </c>
      <c r="F24" s="53">
        <f t="shared" si="18"/>
        <v>0</v>
      </c>
      <c r="G24" s="53"/>
      <c r="H24" s="53"/>
      <c r="I24" s="53">
        <f t="shared" si="0"/>
        <v>0</v>
      </c>
      <c r="J24" s="53"/>
      <c r="K24" s="53"/>
      <c r="L24" s="53">
        <v>72</v>
      </c>
      <c r="M24" s="53"/>
      <c r="N24" s="53"/>
      <c r="O24" s="53">
        <f t="shared" si="1"/>
        <v>0</v>
      </c>
      <c r="P24" s="53"/>
      <c r="Q24" s="53"/>
      <c r="R24" s="53">
        <f t="shared" si="2"/>
        <v>0</v>
      </c>
      <c r="S24" s="53"/>
      <c r="T24" s="53"/>
      <c r="U24" s="53">
        <f t="shared" si="3"/>
        <v>0</v>
      </c>
      <c r="V24" s="53"/>
      <c r="W24" s="53"/>
      <c r="X24" s="53">
        <f t="shared" si="4"/>
        <v>0</v>
      </c>
      <c r="Y24" s="53"/>
      <c r="Z24" s="53"/>
      <c r="AA24" s="53">
        <f t="shared" si="5"/>
        <v>0</v>
      </c>
      <c r="AB24" s="53"/>
      <c r="AC24" s="53"/>
      <c r="AD24" s="53">
        <f t="shared" si="6"/>
        <v>0</v>
      </c>
      <c r="AE24" s="53"/>
      <c r="AF24" s="53"/>
      <c r="AG24" s="53">
        <f t="shared" si="7"/>
        <v>0</v>
      </c>
      <c r="AH24" s="53"/>
      <c r="AI24" s="53"/>
      <c r="AJ24" s="53">
        <f t="shared" si="8"/>
        <v>0</v>
      </c>
      <c r="AK24" s="53"/>
      <c r="AL24" s="53"/>
      <c r="AM24" s="53">
        <f t="shared" si="9"/>
        <v>0</v>
      </c>
      <c r="AN24" s="53"/>
      <c r="AO24" s="53"/>
      <c r="AP24" s="53">
        <f t="shared" si="10"/>
        <v>0</v>
      </c>
      <c r="AQ24" s="53"/>
      <c r="AR24" s="53"/>
      <c r="AS24" s="66">
        <f t="shared" si="11"/>
        <v>0</v>
      </c>
      <c r="AT24" s="66"/>
      <c r="AU24" s="66"/>
      <c r="AV24" s="66">
        <f t="shared" si="12"/>
        <v>0</v>
      </c>
      <c r="AW24" s="66"/>
      <c r="AX24" s="66"/>
      <c r="AY24" s="66">
        <f t="shared" si="13"/>
        <v>0</v>
      </c>
      <c r="AZ24" s="66"/>
      <c r="BA24" s="66"/>
      <c r="BB24" s="66">
        <f t="shared" si="14"/>
        <v>0</v>
      </c>
      <c r="BC24" s="66"/>
      <c r="BD24" s="66"/>
      <c r="BE24" s="66">
        <f t="shared" si="15"/>
        <v>0</v>
      </c>
      <c r="BF24" s="66"/>
      <c r="BG24" s="66"/>
      <c r="BH24" s="67">
        <f t="shared" si="16"/>
        <v>72</v>
      </c>
      <c r="BI24" s="68">
        <f t="shared" si="17"/>
        <v>10</v>
      </c>
    </row>
    <row r="25" spans="2:61" x14ac:dyDescent="0.25">
      <c r="B25" s="63">
        <v>17</v>
      </c>
      <c r="C25" s="64" t="str">
        <f>NOMINATIF!C22</f>
        <v>Tri Yulianti</v>
      </c>
      <c r="D25" s="65">
        <f>NOMINATIF!D22</f>
        <v>4060</v>
      </c>
      <c r="E25" s="65" t="str">
        <f>NOMINATIF!E22</f>
        <v>0068674216</v>
      </c>
      <c r="F25" s="53">
        <f t="shared" si="18"/>
        <v>0</v>
      </c>
      <c r="G25" s="53"/>
      <c r="H25" s="53"/>
      <c r="I25" s="53">
        <f t="shared" si="0"/>
        <v>0</v>
      </c>
      <c r="J25" s="53"/>
      <c r="K25" s="53"/>
      <c r="L25" s="53">
        <v>88</v>
      </c>
      <c r="M25" s="53"/>
      <c r="N25" s="53"/>
      <c r="O25" s="53">
        <f t="shared" si="1"/>
        <v>0</v>
      </c>
      <c r="P25" s="53"/>
      <c r="Q25" s="53"/>
      <c r="R25" s="53">
        <f t="shared" si="2"/>
        <v>0</v>
      </c>
      <c r="S25" s="53"/>
      <c r="T25" s="53"/>
      <c r="U25" s="53">
        <f t="shared" si="3"/>
        <v>0</v>
      </c>
      <c r="V25" s="53"/>
      <c r="W25" s="53"/>
      <c r="X25" s="53">
        <f t="shared" si="4"/>
        <v>0</v>
      </c>
      <c r="Y25" s="53"/>
      <c r="Z25" s="53"/>
      <c r="AA25" s="53">
        <f t="shared" si="5"/>
        <v>0</v>
      </c>
      <c r="AB25" s="53"/>
      <c r="AC25" s="53"/>
      <c r="AD25" s="53">
        <f t="shared" si="6"/>
        <v>0</v>
      </c>
      <c r="AE25" s="53"/>
      <c r="AF25" s="53"/>
      <c r="AG25" s="53">
        <f t="shared" si="7"/>
        <v>0</v>
      </c>
      <c r="AH25" s="53"/>
      <c r="AI25" s="53"/>
      <c r="AJ25" s="53">
        <f t="shared" si="8"/>
        <v>0</v>
      </c>
      <c r="AK25" s="53"/>
      <c r="AL25" s="53"/>
      <c r="AM25" s="53">
        <f t="shared" si="9"/>
        <v>0</v>
      </c>
      <c r="AN25" s="53"/>
      <c r="AO25" s="53"/>
      <c r="AP25" s="53">
        <f t="shared" si="10"/>
        <v>0</v>
      </c>
      <c r="AQ25" s="53"/>
      <c r="AR25" s="53"/>
      <c r="AS25" s="66">
        <f t="shared" si="11"/>
        <v>0</v>
      </c>
      <c r="AT25" s="66"/>
      <c r="AU25" s="66"/>
      <c r="AV25" s="66">
        <f t="shared" si="12"/>
        <v>0</v>
      </c>
      <c r="AW25" s="66"/>
      <c r="AX25" s="66"/>
      <c r="AY25" s="66">
        <f t="shared" si="13"/>
        <v>0</v>
      </c>
      <c r="AZ25" s="66"/>
      <c r="BA25" s="66"/>
      <c r="BB25" s="66">
        <f t="shared" si="14"/>
        <v>0</v>
      </c>
      <c r="BC25" s="66"/>
      <c r="BD25" s="66"/>
      <c r="BE25" s="66">
        <f t="shared" si="15"/>
        <v>0</v>
      </c>
      <c r="BF25" s="66"/>
      <c r="BG25" s="66"/>
      <c r="BH25" s="67">
        <f t="shared" si="16"/>
        <v>88</v>
      </c>
      <c r="BI25" s="68">
        <f t="shared" si="17"/>
        <v>4</v>
      </c>
    </row>
    <row r="26" spans="2:61" x14ac:dyDescent="0.25">
      <c r="B26" s="63">
        <v>18</v>
      </c>
      <c r="C26" s="64" t="str">
        <f>NOMINATIF!C23</f>
        <v>Triya Wulandari</v>
      </c>
      <c r="D26" s="65">
        <f>NOMINATIF!D23</f>
        <v>4039</v>
      </c>
      <c r="E26" s="65" t="str">
        <f>NOMINATIF!E23</f>
        <v>0051300903</v>
      </c>
      <c r="F26" s="53">
        <f t="shared" si="18"/>
        <v>0</v>
      </c>
      <c r="G26" s="53"/>
      <c r="H26" s="53"/>
      <c r="I26" s="53">
        <f t="shared" si="0"/>
        <v>0</v>
      </c>
      <c r="J26" s="53"/>
      <c r="K26" s="53"/>
      <c r="L26" s="53">
        <v>54</v>
      </c>
      <c r="M26" s="53"/>
      <c r="N26" s="53"/>
      <c r="O26" s="53">
        <f t="shared" si="1"/>
        <v>0</v>
      </c>
      <c r="P26" s="53"/>
      <c r="Q26" s="53"/>
      <c r="R26" s="53">
        <f t="shared" si="2"/>
        <v>0</v>
      </c>
      <c r="S26" s="53"/>
      <c r="T26" s="53"/>
      <c r="U26" s="53">
        <f t="shared" si="3"/>
        <v>0</v>
      </c>
      <c r="V26" s="53"/>
      <c r="W26" s="53"/>
      <c r="X26" s="53">
        <f t="shared" si="4"/>
        <v>0</v>
      </c>
      <c r="Y26" s="53"/>
      <c r="Z26" s="53"/>
      <c r="AA26" s="53">
        <f t="shared" si="5"/>
        <v>0</v>
      </c>
      <c r="AB26" s="53"/>
      <c r="AC26" s="53"/>
      <c r="AD26" s="53">
        <f t="shared" si="6"/>
        <v>0</v>
      </c>
      <c r="AE26" s="53"/>
      <c r="AF26" s="53"/>
      <c r="AG26" s="53">
        <f t="shared" si="7"/>
        <v>0</v>
      </c>
      <c r="AH26" s="53"/>
      <c r="AI26" s="53"/>
      <c r="AJ26" s="53">
        <f t="shared" si="8"/>
        <v>0</v>
      </c>
      <c r="AK26" s="53"/>
      <c r="AL26" s="53"/>
      <c r="AM26" s="53">
        <f t="shared" si="9"/>
        <v>0</v>
      </c>
      <c r="AN26" s="53"/>
      <c r="AO26" s="53"/>
      <c r="AP26" s="53">
        <f t="shared" si="10"/>
        <v>0</v>
      </c>
      <c r="AQ26" s="53"/>
      <c r="AR26" s="53"/>
      <c r="AS26" s="66">
        <f t="shared" si="11"/>
        <v>0</v>
      </c>
      <c r="AT26" s="66"/>
      <c r="AU26" s="66"/>
      <c r="AV26" s="66">
        <f t="shared" si="12"/>
        <v>0</v>
      </c>
      <c r="AW26" s="66"/>
      <c r="AX26" s="66"/>
      <c r="AY26" s="66">
        <f t="shared" si="13"/>
        <v>0</v>
      </c>
      <c r="AZ26" s="66"/>
      <c r="BA26" s="66"/>
      <c r="BB26" s="66">
        <f t="shared" si="14"/>
        <v>0</v>
      </c>
      <c r="BC26" s="66"/>
      <c r="BD26" s="66"/>
      <c r="BE26" s="66">
        <f t="shared" si="15"/>
        <v>0</v>
      </c>
      <c r="BF26" s="66"/>
      <c r="BG26" s="66"/>
      <c r="BH26" s="67">
        <f t="shared" si="16"/>
        <v>54</v>
      </c>
      <c r="BI26" s="68">
        <f t="shared" si="17"/>
        <v>23</v>
      </c>
    </row>
    <row r="27" spans="2:61" x14ac:dyDescent="0.25">
      <c r="B27" s="63">
        <v>19</v>
      </c>
      <c r="C27" s="64" t="str">
        <f>NOMINATIF!C24</f>
        <v>VANESZA PUTRI PATRECIA</v>
      </c>
      <c r="D27" s="65">
        <f>NOMINATIF!D24</f>
        <v>4040</v>
      </c>
      <c r="E27" s="65" t="str">
        <f>NOMINATIF!E24</f>
        <v>0064416027</v>
      </c>
      <c r="F27" s="53">
        <f t="shared" si="18"/>
        <v>0</v>
      </c>
      <c r="G27" s="53"/>
      <c r="H27" s="53"/>
      <c r="I27" s="53">
        <f t="shared" si="0"/>
        <v>0</v>
      </c>
      <c r="J27" s="53"/>
      <c r="K27" s="53"/>
      <c r="L27" s="53">
        <v>63</v>
      </c>
      <c r="M27" s="53"/>
      <c r="N27" s="53"/>
      <c r="O27" s="53">
        <f t="shared" si="1"/>
        <v>0</v>
      </c>
      <c r="P27" s="53"/>
      <c r="Q27" s="53"/>
      <c r="R27" s="53">
        <f t="shared" si="2"/>
        <v>0</v>
      </c>
      <c r="S27" s="53"/>
      <c r="T27" s="53"/>
      <c r="U27" s="53">
        <f t="shared" si="3"/>
        <v>0</v>
      </c>
      <c r="V27" s="53"/>
      <c r="W27" s="53"/>
      <c r="X27" s="53">
        <f t="shared" si="4"/>
        <v>0</v>
      </c>
      <c r="Y27" s="53"/>
      <c r="Z27" s="53"/>
      <c r="AA27" s="53">
        <f t="shared" si="5"/>
        <v>0</v>
      </c>
      <c r="AB27" s="53"/>
      <c r="AC27" s="53"/>
      <c r="AD27" s="53">
        <f t="shared" si="6"/>
        <v>0</v>
      </c>
      <c r="AE27" s="53"/>
      <c r="AF27" s="53"/>
      <c r="AG27" s="53">
        <f t="shared" si="7"/>
        <v>0</v>
      </c>
      <c r="AH27" s="53"/>
      <c r="AI27" s="53"/>
      <c r="AJ27" s="53">
        <f t="shared" si="8"/>
        <v>0</v>
      </c>
      <c r="AK27" s="53"/>
      <c r="AL27" s="53"/>
      <c r="AM27" s="53">
        <f t="shared" si="9"/>
        <v>0</v>
      </c>
      <c r="AN27" s="53"/>
      <c r="AO27" s="53"/>
      <c r="AP27" s="53">
        <f t="shared" si="10"/>
        <v>0</v>
      </c>
      <c r="AQ27" s="53"/>
      <c r="AR27" s="53"/>
      <c r="AS27" s="66">
        <f t="shared" si="11"/>
        <v>0</v>
      </c>
      <c r="AT27" s="66"/>
      <c r="AU27" s="66"/>
      <c r="AV27" s="66">
        <f t="shared" si="12"/>
        <v>0</v>
      </c>
      <c r="AW27" s="66"/>
      <c r="AX27" s="66"/>
      <c r="AY27" s="66">
        <f t="shared" si="13"/>
        <v>0</v>
      </c>
      <c r="AZ27" s="66"/>
      <c r="BA27" s="66"/>
      <c r="BB27" s="66">
        <f t="shared" si="14"/>
        <v>0</v>
      </c>
      <c r="BC27" s="66"/>
      <c r="BD27" s="66"/>
      <c r="BE27" s="66">
        <f t="shared" si="15"/>
        <v>0</v>
      </c>
      <c r="BF27" s="66"/>
      <c r="BG27" s="66"/>
      <c r="BH27" s="67">
        <f t="shared" si="16"/>
        <v>63</v>
      </c>
      <c r="BI27" s="68">
        <f t="shared" si="17"/>
        <v>14</v>
      </c>
    </row>
    <row r="28" spans="2:61" x14ac:dyDescent="0.25">
      <c r="B28" s="63">
        <v>20</v>
      </c>
      <c r="C28" s="64" t="str">
        <f>NOMINATIF!C25</f>
        <v>Yanuar Diah Lestari</v>
      </c>
      <c r="D28" s="65">
        <f>NOMINATIF!D25</f>
        <v>4061</v>
      </c>
      <c r="E28" s="65" t="str">
        <f>NOMINATIF!E25</f>
        <v>0052554227</v>
      </c>
      <c r="F28" s="53">
        <f t="shared" si="18"/>
        <v>0</v>
      </c>
      <c r="G28" s="53"/>
      <c r="H28" s="53"/>
      <c r="I28" s="53">
        <f t="shared" si="0"/>
        <v>0</v>
      </c>
      <c r="J28" s="53"/>
      <c r="K28" s="53"/>
      <c r="L28" s="53">
        <v>78</v>
      </c>
      <c r="M28" s="53"/>
      <c r="N28" s="53"/>
      <c r="O28" s="53">
        <f t="shared" si="1"/>
        <v>0</v>
      </c>
      <c r="P28" s="53"/>
      <c r="Q28" s="53"/>
      <c r="R28" s="53">
        <f t="shared" si="2"/>
        <v>0</v>
      </c>
      <c r="S28" s="53"/>
      <c r="T28" s="53"/>
      <c r="U28" s="53">
        <f t="shared" si="3"/>
        <v>0</v>
      </c>
      <c r="V28" s="53"/>
      <c r="W28" s="53"/>
      <c r="X28" s="53">
        <f t="shared" si="4"/>
        <v>0</v>
      </c>
      <c r="Y28" s="53"/>
      <c r="Z28" s="53"/>
      <c r="AA28" s="53">
        <f t="shared" si="5"/>
        <v>0</v>
      </c>
      <c r="AB28" s="53"/>
      <c r="AC28" s="53"/>
      <c r="AD28" s="53">
        <f t="shared" si="6"/>
        <v>0</v>
      </c>
      <c r="AE28" s="53"/>
      <c r="AF28" s="53"/>
      <c r="AG28" s="53">
        <f t="shared" si="7"/>
        <v>0</v>
      </c>
      <c r="AH28" s="53"/>
      <c r="AI28" s="53"/>
      <c r="AJ28" s="53">
        <f t="shared" si="8"/>
        <v>0</v>
      </c>
      <c r="AK28" s="53"/>
      <c r="AL28" s="53"/>
      <c r="AM28" s="53">
        <f t="shared" si="9"/>
        <v>0</v>
      </c>
      <c r="AN28" s="53"/>
      <c r="AO28" s="53"/>
      <c r="AP28" s="53">
        <f t="shared" si="10"/>
        <v>0</v>
      </c>
      <c r="AQ28" s="53"/>
      <c r="AR28" s="53"/>
      <c r="AS28" s="66">
        <f t="shared" si="11"/>
        <v>0</v>
      </c>
      <c r="AT28" s="66"/>
      <c r="AU28" s="66"/>
      <c r="AV28" s="66">
        <f t="shared" si="12"/>
        <v>0</v>
      </c>
      <c r="AW28" s="66"/>
      <c r="AX28" s="66"/>
      <c r="AY28" s="66">
        <f t="shared" si="13"/>
        <v>0</v>
      </c>
      <c r="AZ28" s="66"/>
      <c r="BA28" s="66"/>
      <c r="BB28" s="66">
        <f t="shared" si="14"/>
        <v>0</v>
      </c>
      <c r="BC28" s="66"/>
      <c r="BD28" s="66"/>
      <c r="BE28" s="66">
        <f t="shared" si="15"/>
        <v>0</v>
      </c>
      <c r="BF28" s="66"/>
      <c r="BG28" s="66"/>
      <c r="BH28" s="67">
        <f t="shared" si="16"/>
        <v>78</v>
      </c>
      <c r="BI28" s="68">
        <f t="shared" si="17"/>
        <v>7</v>
      </c>
    </row>
    <row r="29" spans="2:61" x14ac:dyDescent="0.25">
      <c r="B29" s="63">
        <v>21</v>
      </c>
      <c r="C29" s="64">
        <f>NOMINATIF!C26</f>
        <v>0</v>
      </c>
      <c r="D29" s="65">
        <f>NOMINATIF!D26</f>
        <v>0</v>
      </c>
      <c r="E29" s="65">
        <f>NOMINATIF!E26</f>
        <v>0</v>
      </c>
      <c r="F29" s="53">
        <f t="shared" si="18"/>
        <v>0</v>
      </c>
      <c r="G29" s="53"/>
      <c r="H29" s="53"/>
      <c r="I29" s="53">
        <f t="shared" si="0"/>
        <v>0</v>
      </c>
      <c r="J29" s="53"/>
      <c r="K29" s="53"/>
      <c r="L29" s="53">
        <v>64</v>
      </c>
      <c r="M29" s="53"/>
      <c r="N29" s="53"/>
      <c r="O29" s="53">
        <f t="shared" si="1"/>
        <v>0</v>
      </c>
      <c r="P29" s="53"/>
      <c r="Q29" s="53"/>
      <c r="R29" s="53">
        <f t="shared" si="2"/>
        <v>0</v>
      </c>
      <c r="S29" s="53"/>
      <c r="T29" s="53"/>
      <c r="U29" s="53">
        <f t="shared" si="3"/>
        <v>0</v>
      </c>
      <c r="V29" s="53"/>
      <c r="W29" s="53"/>
      <c r="X29" s="53">
        <f t="shared" si="4"/>
        <v>0</v>
      </c>
      <c r="Y29" s="53"/>
      <c r="Z29" s="53"/>
      <c r="AA29" s="53">
        <f t="shared" si="5"/>
        <v>0</v>
      </c>
      <c r="AB29" s="53"/>
      <c r="AC29" s="53"/>
      <c r="AD29" s="53">
        <f t="shared" si="6"/>
        <v>0</v>
      </c>
      <c r="AE29" s="53"/>
      <c r="AF29" s="53"/>
      <c r="AG29" s="53">
        <f t="shared" si="7"/>
        <v>0</v>
      </c>
      <c r="AH29" s="53"/>
      <c r="AI29" s="53"/>
      <c r="AJ29" s="53">
        <f t="shared" si="8"/>
        <v>0</v>
      </c>
      <c r="AK29" s="53"/>
      <c r="AL29" s="53"/>
      <c r="AM29" s="53">
        <f t="shared" si="9"/>
        <v>0</v>
      </c>
      <c r="AN29" s="53"/>
      <c r="AO29" s="53"/>
      <c r="AP29" s="53">
        <f t="shared" si="10"/>
        <v>0</v>
      </c>
      <c r="AQ29" s="53"/>
      <c r="AR29" s="53"/>
      <c r="AS29" s="66">
        <f t="shared" si="11"/>
        <v>0</v>
      </c>
      <c r="AT29" s="66"/>
      <c r="AU29" s="66"/>
      <c r="AV29" s="66">
        <f t="shared" si="12"/>
        <v>0</v>
      </c>
      <c r="AW29" s="66"/>
      <c r="AX29" s="66"/>
      <c r="AY29" s="66">
        <f t="shared" si="13"/>
        <v>0</v>
      </c>
      <c r="AZ29" s="66"/>
      <c r="BA29" s="66"/>
      <c r="BB29" s="66">
        <f t="shared" si="14"/>
        <v>0</v>
      </c>
      <c r="BC29" s="66"/>
      <c r="BD29" s="66"/>
      <c r="BE29" s="66">
        <f t="shared" si="15"/>
        <v>0</v>
      </c>
      <c r="BF29" s="66"/>
      <c r="BG29" s="66"/>
      <c r="BH29" s="67">
        <f t="shared" si="16"/>
        <v>64</v>
      </c>
      <c r="BI29" s="68">
        <f t="shared" si="17"/>
        <v>13</v>
      </c>
    </row>
    <row r="30" spans="2:61" x14ac:dyDescent="0.25">
      <c r="B30" s="63">
        <v>22</v>
      </c>
      <c r="C30" s="64">
        <f>NOMINATIF!C27</f>
        <v>0</v>
      </c>
      <c r="D30" s="65">
        <f>NOMINATIF!D27</f>
        <v>0</v>
      </c>
      <c r="E30" s="65">
        <f>NOMINATIF!E27</f>
        <v>0</v>
      </c>
      <c r="F30" s="53">
        <f t="shared" si="18"/>
        <v>0</v>
      </c>
      <c r="G30" s="53"/>
      <c r="H30" s="53"/>
      <c r="I30" s="53">
        <f t="shared" si="0"/>
        <v>0</v>
      </c>
      <c r="J30" s="53"/>
      <c r="K30" s="53"/>
      <c r="L30" s="53">
        <v>62</v>
      </c>
      <c r="M30" s="53"/>
      <c r="N30" s="53"/>
      <c r="O30" s="53">
        <f t="shared" si="1"/>
        <v>0</v>
      </c>
      <c r="P30" s="53"/>
      <c r="Q30" s="53"/>
      <c r="R30" s="53">
        <f t="shared" si="2"/>
        <v>0</v>
      </c>
      <c r="S30" s="53"/>
      <c r="T30" s="53"/>
      <c r="U30" s="53">
        <f t="shared" si="3"/>
        <v>0</v>
      </c>
      <c r="V30" s="53"/>
      <c r="W30" s="53"/>
      <c r="X30" s="53">
        <f t="shared" si="4"/>
        <v>0</v>
      </c>
      <c r="Y30" s="53"/>
      <c r="Z30" s="53"/>
      <c r="AA30" s="53">
        <f t="shared" si="5"/>
        <v>0</v>
      </c>
      <c r="AB30" s="53"/>
      <c r="AC30" s="53"/>
      <c r="AD30" s="53">
        <f t="shared" si="6"/>
        <v>0</v>
      </c>
      <c r="AE30" s="53"/>
      <c r="AF30" s="53"/>
      <c r="AG30" s="53">
        <f t="shared" si="7"/>
        <v>0</v>
      </c>
      <c r="AH30" s="53"/>
      <c r="AI30" s="53"/>
      <c r="AJ30" s="53">
        <f t="shared" si="8"/>
        <v>0</v>
      </c>
      <c r="AK30" s="53"/>
      <c r="AL30" s="53"/>
      <c r="AM30" s="53">
        <f t="shared" si="9"/>
        <v>0</v>
      </c>
      <c r="AN30" s="53"/>
      <c r="AO30" s="53"/>
      <c r="AP30" s="53">
        <f t="shared" si="10"/>
        <v>0</v>
      </c>
      <c r="AQ30" s="53"/>
      <c r="AR30" s="53"/>
      <c r="AS30" s="66">
        <f t="shared" si="11"/>
        <v>0</v>
      </c>
      <c r="AT30" s="66"/>
      <c r="AU30" s="66"/>
      <c r="AV30" s="66">
        <f t="shared" si="12"/>
        <v>0</v>
      </c>
      <c r="AW30" s="66"/>
      <c r="AX30" s="66"/>
      <c r="AY30" s="66">
        <f t="shared" si="13"/>
        <v>0</v>
      </c>
      <c r="AZ30" s="66"/>
      <c r="BA30" s="66"/>
      <c r="BB30" s="66">
        <f t="shared" si="14"/>
        <v>0</v>
      </c>
      <c r="BC30" s="66"/>
      <c r="BD30" s="66"/>
      <c r="BE30" s="66">
        <f t="shared" si="15"/>
        <v>0</v>
      </c>
      <c r="BF30" s="66"/>
      <c r="BG30" s="66"/>
      <c r="BH30" s="67">
        <f t="shared" si="16"/>
        <v>62</v>
      </c>
      <c r="BI30" s="68">
        <f t="shared" si="17"/>
        <v>15</v>
      </c>
    </row>
    <row r="31" spans="2:61" x14ac:dyDescent="0.25">
      <c r="B31" s="63">
        <v>23</v>
      </c>
      <c r="C31" s="64">
        <f>NOMINATIF!C28</f>
        <v>0</v>
      </c>
      <c r="D31" s="65">
        <f>NOMINATIF!D28</f>
        <v>0</v>
      </c>
      <c r="E31" s="65">
        <f>NOMINATIF!E28</f>
        <v>0</v>
      </c>
      <c r="F31" s="53">
        <f t="shared" si="18"/>
        <v>0</v>
      </c>
      <c r="G31" s="53"/>
      <c r="H31" s="53"/>
      <c r="I31" s="53">
        <f t="shared" si="0"/>
        <v>0</v>
      </c>
      <c r="J31" s="53"/>
      <c r="K31" s="53"/>
      <c r="L31" s="53">
        <v>88</v>
      </c>
      <c r="M31" s="53"/>
      <c r="N31" s="53"/>
      <c r="O31" s="53">
        <f t="shared" si="1"/>
        <v>0</v>
      </c>
      <c r="P31" s="53"/>
      <c r="Q31" s="53"/>
      <c r="R31" s="53">
        <f t="shared" si="2"/>
        <v>0</v>
      </c>
      <c r="S31" s="53"/>
      <c r="T31" s="53"/>
      <c r="U31" s="53">
        <f t="shared" si="3"/>
        <v>0</v>
      </c>
      <c r="V31" s="53"/>
      <c r="W31" s="53"/>
      <c r="X31" s="53">
        <f t="shared" si="4"/>
        <v>0</v>
      </c>
      <c r="Y31" s="53"/>
      <c r="Z31" s="53"/>
      <c r="AA31" s="53">
        <f t="shared" si="5"/>
        <v>0</v>
      </c>
      <c r="AB31" s="53"/>
      <c r="AC31" s="53"/>
      <c r="AD31" s="53">
        <f t="shared" si="6"/>
        <v>0</v>
      </c>
      <c r="AE31" s="53"/>
      <c r="AF31" s="53"/>
      <c r="AG31" s="53">
        <f t="shared" si="7"/>
        <v>0</v>
      </c>
      <c r="AH31" s="53"/>
      <c r="AI31" s="53"/>
      <c r="AJ31" s="53">
        <f t="shared" si="8"/>
        <v>0</v>
      </c>
      <c r="AK31" s="53"/>
      <c r="AL31" s="53"/>
      <c r="AM31" s="53">
        <f t="shared" si="9"/>
        <v>0</v>
      </c>
      <c r="AN31" s="53"/>
      <c r="AO31" s="53"/>
      <c r="AP31" s="53">
        <f t="shared" si="10"/>
        <v>0</v>
      </c>
      <c r="AQ31" s="53"/>
      <c r="AR31" s="53"/>
      <c r="AS31" s="66">
        <f t="shared" si="11"/>
        <v>0</v>
      </c>
      <c r="AT31" s="66"/>
      <c r="AU31" s="66"/>
      <c r="AV31" s="66">
        <f t="shared" si="12"/>
        <v>0</v>
      </c>
      <c r="AW31" s="66"/>
      <c r="AX31" s="66"/>
      <c r="AY31" s="66">
        <f t="shared" si="13"/>
        <v>0</v>
      </c>
      <c r="AZ31" s="66"/>
      <c r="BA31" s="66"/>
      <c r="BB31" s="66">
        <f t="shared" si="14"/>
        <v>0</v>
      </c>
      <c r="BC31" s="66"/>
      <c r="BD31" s="66"/>
      <c r="BE31" s="66">
        <f t="shared" si="15"/>
        <v>0</v>
      </c>
      <c r="BF31" s="66"/>
      <c r="BG31" s="66"/>
      <c r="BH31" s="67">
        <f t="shared" si="16"/>
        <v>88</v>
      </c>
      <c r="BI31" s="68">
        <f t="shared" si="17"/>
        <v>4</v>
      </c>
    </row>
    <row r="32" spans="2:61" x14ac:dyDescent="0.25">
      <c r="B32" s="63">
        <v>24</v>
      </c>
      <c r="C32" s="64">
        <f>NOMINATIF!C29</f>
        <v>0</v>
      </c>
      <c r="D32" s="65">
        <f>NOMINATIF!D29</f>
        <v>0</v>
      </c>
      <c r="E32" s="65">
        <f>NOMINATIF!E29</f>
        <v>0</v>
      </c>
      <c r="F32" s="53">
        <f t="shared" si="18"/>
        <v>0</v>
      </c>
      <c r="G32" s="53"/>
      <c r="H32" s="53"/>
      <c r="I32" s="53">
        <f t="shared" si="0"/>
        <v>0</v>
      </c>
      <c r="J32" s="53"/>
      <c r="K32" s="53"/>
      <c r="L32" s="53">
        <v>54</v>
      </c>
      <c r="M32" s="53"/>
      <c r="N32" s="53"/>
      <c r="O32" s="53">
        <f t="shared" si="1"/>
        <v>0</v>
      </c>
      <c r="P32" s="53"/>
      <c r="Q32" s="53"/>
      <c r="R32" s="53">
        <f t="shared" si="2"/>
        <v>0</v>
      </c>
      <c r="S32" s="53"/>
      <c r="T32" s="53"/>
      <c r="U32" s="53">
        <f t="shared" si="3"/>
        <v>0</v>
      </c>
      <c r="V32" s="53"/>
      <c r="W32" s="53"/>
      <c r="X32" s="53">
        <f t="shared" si="4"/>
        <v>0</v>
      </c>
      <c r="Y32" s="53"/>
      <c r="Z32" s="53"/>
      <c r="AA32" s="53">
        <f t="shared" si="5"/>
        <v>0</v>
      </c>
      <c r="AB32" s="53"/>
      <c r="AC32" s="53"/>
      <c r="AD32" s="53">
        <f t="shared" si="6"/>
        <v>0</v>
      </c>
      <c r="AE32" s="53"/>
      <c r="AF32" s="53"/>
      <c r="AG32" s="53">
        <f t="shared" si="7"/>
        <v>0</v>
      </c>
      <c r="AH32" s="53"/>
      <c r="AI32" s="53"/>
      <c r="AJ32" s="53">
        <f t="shared" si="8"/>
        <v>0</v>
      </c>
      <c r="AK32" s="53"/>
      <c r="AL32" s="53"/>
      <c r="AM32" s="53">
        <f t="shared" si="9"/>
        <v>0</v>
      </c>
      <c r="AN32" s="53"/>
      <c r="AO32" s="53"/>
      <c r="AP32" s="53">
        <f t="shared" si="10"/>
        <v>0</v>
      </c>
      <c r="AQ32" s="53"/>
      <c r="AR32" s="53"/>
      <c r="AS32" s="66">
        <f t="shared" si="11"/>
        <v>0</v>
      </c>
      <c r="AT32" s="66"/>
      <c r="AU32" s="66"/>
      <c r="AV32" s="66">
        <f t="shared" si="12"/>
        <v>0</v>
      </c>
      <c r="AW32" s="66"/>
      <c r="AX32" s="66"/>
      <c r="AY32" s="66">
        <f t="shared" si="13"/>
        <v>0</v>
      </c>
      <c r="AZ32" s="66"/>
      <c r="BA32" s="66"/>
      <c r="BB32" s="66">
        <f t="shared" si="14"/>
        <v>0</v>
      </c>
      <c r="BC32" s="66"/>
      <c r="BD32" s="66"/>
      <c r="BE32" s="66">
        <f t="shared" si="15"/>
        <v>0</v>
      </c>
      <c r="BF32" s="66"/>
      <c r="BG32" s="66"/>
      <c r="BH32" s="67">
        <f t="shared" si="16"/>
        <v>54</v>
      </c>
      <c r="BI32" s="68">
        <f t="shared" si="17"/>
        <v>23</v>
      </c>
    </row>
    <row r="33" spans="2:61" x14ac:dyDescent="0.25">
      <c r="B33" s="63">
        <v>25</v>
      </c>
      <c r="C33" s="64">
        <f>NOMINATIF!C30</f>
        <v>0</v>
      </c>
      <c r="D33" s="65">
        <f>NOMINATIF!D30</f>
        <v>0</v>
      </c>
      <c r="E33" s="65">
        <f>NOMINATIF!E30</f>
        <v>0</v>
      </c>
      <c r="F33" s="53">
        <f t="shared" si="18"/>
        <v>0</v>
      </c>
      <c r="G33" s="53"/>
      <c r="H33" s="53"/>
      <c r="I33" s="53">
        <f t="shared" si="0"/>
        <v>0</v>
      </c>
      <c r="J33" s="53"/>
      <c r="K33" s="53"/>
      <c r="L33" s="53">
        <v>92</v>
      </c>
      <c r="M33" s="53"/>
      <c r="N33" s="53"/>
      <c r="O33" s="53">
        <f t="shared" si="1"/>
        <v>0</v>
      </c>
      <c r="P33" s="53"/>
      <c r="Q33" s="53"/>
      <c r="R33" s="53">
        <f t="shared" si="2"/>
        <v>0</v>
      </c>
      <c r="S33" s="53"/>
      <c r="T33" s="53"/>
      <c r="U33" s="53">
        <f t="shared" si="3"/>
        <v>0</v>
      </c>
      <c r="V33" s="53"/>
      <c r="W33" s="53"/>
      <c r="X33" s="53">
        <f t="shared" si="4"/>
        <v>0</v>
      </c>
      <c r="Y33" s="53"/>
      <c r="Z33" s="53"/>
      <c r="AA33" s="53">
        <f t="shared" si="5"/>
        <v>0</v>
      </c>
      <c r="AB33" s="53"/>
      <c r="AC33" s="53"/>
      <c r="AD33" s="53">
        <f t="shared" si="6"/>
        <v>0</v>
      </c>
      <c r="AE33" s="53"/>
      <c r="AF33" s="53"/>
      <c r="AG33" s="53">
        <f t="shared" si="7"/>
        <v>0</v>
      </c>
      <c r="AH33" s="53"/>
      <c r="AI33" s="53"/>
      <c r="AJ33" s="53">
        <f t="shared" si="8"/>
        <v>0</v>
      </c>
      <c r="AK33" s="53"/>
      <c r="AL33" s="53"/>
      <c r="AM33" s="53">
        <f t="shared" si="9"/>
        <v>0</v>
      </c>
      <c r="AN33" s="53"/>
      <c r="AO33" s="53"/>
      <c r="AP33" s="53">
        <f t="shared" si="10"/>
        <v>0</v>
      </c>
      <c r="AQ33" s="53"/>
      <c r="AR33" s="53"/>
      <c r="AS33" s="66">
        <f t="shared" si="11"/>
        <v>0</v>
      </c>
      <c r="AT33" s="66"/>
      <c r="AU33" s="66"/>
      <c r="AV33" s="66">
        <f t="shared" si="12"/>
        <v>0</v>
      </c>
      <c r="AW33" s="66"/>
      <c r="AX33" s="66"/>
      <c r="AY33" s="66">
        <f t="shared" si="13"/>
        <v>0</v>
      </c>
      <c r="AZ33" s="66"/>
      <c r="BA33" s="66"/>
      <c r="BB33" s="66">
        <f t="shared" si="14"/>
        <v>0</v>
      </c>
      <c r="BC33" s="66"/>
      <c r="BD33" s="66"/>
      <c r="BE33" s="66">
        <f t="shared" si="15"/>
        <v>0</v>
      </c>
      <c r="BF33" s="66"/>
      <c r="BG33" s="66"/>
      <c r="BH33" s="67">
        <f t="shared" si="16"/>
        <v>92</v>
      </c>
      <c r="BI33" s="68">
        <f t="shared" si="17"/>
        <v>3</v>
      </c>
    </row>
    <row r="34" spans="2:61" x14ac:dyDescent="0.25">
      <c r="B34" s="63">
        <v>26</v>
      </c>
      <c r="C34" s="64">
        <f>NOMINATIF!C31</f>
        <v>0</v>
      </c>
      <c r="D34" s="65">
        <f>NOMINATIF!D31</f>
        <v>0</v>
      </c>
      <c r="E34" s="65">
        <f>NOMINATIF!E31</f>
        <v>0</v>
      </c>
      <c r="F34" s="53">
        <f t="shared" si="18"/>
        <v>0</v>
      </c>
      <c r="G34" s="53"/>
      <c r="H34" s="53"/>
      <c r="I34" s="53">
        <f t="shared" si="0"/>
        <v>0</v>
      </c>
      <c r="J34" s="53"/>
      <c r="K34" s="53"/>
      <c r="L34" s="53">
        <v>68</v>
      </c>
      <c r="M34" s="53"/>
      <c r="N34" s="53"/>
      <c r="O34" s="53">
        <f t="shared" si="1"/>
        <v>0</v>
      </c>
      <c r="P34" s="53"/>
      <c r="Q34" s="53"/>
      <c r="R34" s="53">
        <f t="shared" si="2"/>
        <v>0</v>
      </c>
      <c r="S34" s="53"/>
      <c r="T34" s="53"/>
      <c r="U34" s="53">
        <f t="shared" si="3"/>
        <v>0</v>
      </c>
      <c r="V34" s="53"/>
      <c r="W34" s="53"/>
      <c r="X34" s="53">
        <f t="shared" si="4"/>
        <v>0</v>
      </c>
      <c r="Y34" s="53"/>
      <c r="Z34" s="53"/>
      <c r="AA34" s="53">
        <f t="shared" si="5"/>
        <v>0</v>
      </c>
      <c r="AB34" s="53"/>
      <c r="AC34" s="53"/>
      <c r="AD34" s="53">
        <f t="shared" si="6"/>
        <v>0</v>
      </c>
      <c r="AE34" s="53"/>
      <c r="AF34" s="53"/>
      <c r="AG34" s="53">
        <f t="shared" si="7"/>
        <v>0</v>
      </c>
      <c r="AH34" s="53"/>
      <c r="AI34" s="53"/>
      <c r="AJ34" s="53">
        <f t="shared" si="8"/>
        <v>0</v>
      </c>
      <c r="AK34" s="53"/>
      <c r="AL34" s="53"/>
      <c r="AM34" s="53">
        <f t="shared" si="9"/>
        <v>0</v>
      </c>
      <c r="AN34" s="53"/>
      <c r="AO34" s="53"/>
      <c r="AP34" s="53">
        <f t="shared" si="10"/>
        <v>0</v>
      </c>
      <c r="AQ34" s="53"/>
      <c r="AR34" s="53"/>
      <c r="AS34" s="66">
        <f t="shared" si="11"/>
        <v>0</v>
      </c>
      <c r="AT34" s="66"/>
      <c r="AU34" s="66"/>
      <c r="AV34" s="66">
        <f t="shared" si="12"/>
        <v>0</v>
      </c>
      <c r="AW34" s="66"/>
      <c r="AX34" s="66"/>
      <c r="AY34" s="66">
        <f t="shared" si="13"/>
        <v>0</v>
      </c>
      <c r="AZ34" s="66"/>
      <c r="BA34" s="66"/>
      <c r="BB34" s="66">
        <f t="shared" si="14"/>
        <v>0</v>
      </c>
      <c r="BC34" s="66"/>
      <c r="BD34" s="66"/>
      <c r="BE34" s="66">
        <f t="shared" si="15"/>
        <v>0</v>
      </c>
      <c r="BF34" s="66"/>
      <c r="BG34" s="66"/>
      <c r="BH34" s="67">
        <f t="shared" si="16"/>
        <v>68</v>
      </c>
      <c r="BI34" s="68">
        <f t="shared" si="17"/>
        <v>11</v>
      </c>
    </row>
    <row r="35" spans="2:61" x14ac:dyDescent="0.25">
      <c r="B35" s="63">
        <v>27</v>
      </c>
      <c r="C35" s="64">
        <f>NOMINATIF!C32</f>
        <v>0</v>
      </c>
      <c r="D35" s="65">
        <f>NOMINATIF!D32</f>
        <v>0</v>
      </c>
      <c r="E35" s="65">
        <f>NOMINATIF!E32</f>
        <v>0</v>
      </c>
      <c r="F35" s="53">
        <f t="shared" si="18"/>
        <v>0</v>
      </c>
      <c r="G35" s="53"/>
      <c r="H35" s="53"/>
      <c r="I35" s="53">
        <f t="shared" si="0"/>
        <v>0</v>
      </c>
      <c r="J35" s="53"/>
      <c r="K35" s="53"/>
      <c r="L35" s="53">
        <f t="shared" ref="L35:L43" si="20">IFERROR(VLOOKUP(C35,$BQ$8:$BR$101,2,0),0)</f>
        <v>0</v>
      </c>
      <c r="M35" s="53"/>
      <c r="N35" s="53"/>
      <c r="O35" s="53">
        <f t="shared" si="1"/>
        <v>0</v>
      </c>
      <c r="P35" s="53"/>
      <c r="Q35" s="53"/>
      <c r="R35" s="53">
        <f t="shared" si="2"/>
        <v>0</v>
      </c>
      <c r="S35" s="53"/>
      <c r="T35" s="53"/>
      <c r="U35" s="53">
        <f t="shared" si="3"/>
        <v>0</v>
      </c>
      <c r="V35" s="53"/>
      <c r="W35" s="53"/>
      <c r="X35" s="53">
        <f t="shared" si="4"/>
        <v>0</v>
      </c>
      <c r="Y35" s="53"/>
      <c r="Z35" s="53"/>
      <c r="AA35" s="53">
        <f t="shared" si="5"/>
        <v>0</v>
      </c>
      <c r="AB35" s="53"/>
      <c r="AC35" s="53"/>
      <c r="AD35" s="53">
        <f t="shared" si="6"/>
        <v>0</v>
      </c>
      <c r="AE35" s="53"/>
      <c r="AF35" s="53"/>
      <c r="AG35" s="53">
        <f t="shared" si="7"/>
        <v>0</v>
      </c>
      <c r="AH35" s="53"/>
      <c r="AI35" s="53"/>
      <c r="AJ35" s="53">
        <f t="shared" si="8"/>
        <v>0</v>
      </c>
      <c r="AK35" s="53"/>
      <c r="AL35" s="53"/>
      <c r="AM35" s="53">
        <f t="shared" si="9"/>
        <v>0</v>
      </c>
      <c r="AN35" s="53"/>
      <c r="AO35" s="53"/>
      <c r="AP35" s="53">
        <f t="shared" si="10"/>
        <v>0</v>
      </c>
      <c r="AQ35" s="53"/>
      <c r="AR35" s="53"/>
      <c r="AS35" s="66">
        <f t="shared" si="11"/>
        <v>0</v>
      </c>
      <c r="AT35" s="66"/>
      <c r="AU35" s="66"/>
      <c r="AV35" s="66">
        <f t="shared" si="12"/>
        <v>0</v>
      </c>
      <c r="AW35" s="66"/>
      <c r="AX35" s="66"/>
      <c r="AY35" s="66">
        <f t="shared" si="13"/>
        <v>0</v>
      </c>
      <c r="AZ35" s="66"/>
      <c r="BA35" s="66"/>
      <c r="BB35" s="66">
        <f t="shared" si="14"/>
        <v>0</v>
      </c>
      <c r="BC35" s="66"/>
      <c r="BD35" s="66"/>
      <c r="BE35" s="66">
        <f t="shared" si="15"/>
        <v>0</v>
      </c>
      <c r="BF35" s="66"/>
      <c r="BG35" s="66"/>
      <c r="BH35" s="67">
        <f t="shared" si="16"/>
        <v>0</v>
      </c>
      <c r="BI35" s="68">
        <f t="shared" si="17"/>
        <v>27</v>
      </c>
    </row>
    <row r="36" spans="2:61" x14ac:dyDescent="0.25">
      <c r="B36" s="63">
        <v>28</v>
      </c>
      <c r="C36" s="64">
        <f>NOMINATIF!C33</f>
        <v>0</v>
      </c>
      <c r="D36" s="65">
        <f>NOMINATIF!D33</f>
        <v>0</v>
      </c>
      <c r="E36" s="65">
        <f>NOMINATIF!E33</f>
        <v>0</v>
      </c>
      <c r="F36" s="53">
        <f t="shared" si="18"/>
        <v>0</v>
      </c>
      <c r="G36" s="53"/>
      <c r="H36" s="53"/>
      <c r="I36" s="53">
        <f t="shared" si="0"/>
        <v>0</v>
      </c>
      <c r="J36" s="53"/>
      <c r="K36" s="53"/>
      <c r="L36" s="53">
        <f t="shared" si="20"/>
        <v>0</v>
      </c>
      <c r="M36" s="53"/>
      <c r="N36" s="53"/>
      <c r="O36" s="53">
        <f t="shared" si="1"/>
        <v>0</v>
      </c>
      <c r="P36" s="53"/>
      <c r="Q36" s="53"/>
      <c r="R36" s="53">
        <f t="shared" si="2"/>
        <v>0</v>
      </c>
      <c r="S36" s="53"/>
      <c r="T36" s="53"/>
      <c r="U36" s="53">
        <f t="shared" si="3"/>
        <v>0</v>
      </c>
      <c r="V36" s="53"/>
      <c r="W36" s="53"/>
      <c r="X36" s="53">
        <f t="shared" si="4"/>
        <v>0</v>
      </c>
      <c r="Y36" s="53"/>
      <c r="Z36" s="53"/>
      <c r="AA36" s="53">
        <f t="shared" si="5"/>
        <v>0</v>
      </c>
      <c r="AB36" s="53"/>
      <c r="AC36" s="53"/>
      <c r="AD36" s="53">
        <f t="shared" si="6"/>
        <v>0</v>
      </c>
      <c r="AE36" s="53"/>
      <c r="AF36" s="53"/>
      <c r="AG36" s="53">
        <f t="shared" si="7"/>
        <v>0</v>
      </c>
      <c r="AH36" s="53"/>
      <c r="AI36" s="53"/>
      <c r="AJ36" s="53">
        <f t="shared" si="8"/>
        <v>0</v>
      </c>
      <c r="AK36" s="53"/>
      <c r="AL36" s="53"/>
      <c r="AM36" s="53">
        <f t="shared" si="9"/>
        <v>0</v>
      </c>
      <c r="AN36" s="53"/>
      <c r="AO36" s="53"/>
      <c r="AP36" s="53">
        <f t="shared" si="10"/>
        <v>0</v>
      </c>
      <c r="AQ36" s="53"/>
      <c r="AR36" s="53"/>
      <c r="AS36" s="66">
        <f t="shared" si="11"/>
        <v>0</v>
      </c>
      <c r="AT36" s="66"/>
      <c r="AU36" s="66"/>
      <c r="AV36" s="66">
        <f t="shared" si="12"/>
        <v>0</v>
      </c>
      <c r="AW36" s="66"/>
      <c r="AX36" s="66"/>
      <c r="AY36" s="66">
        <f t="shared" si="13"/>
        <v>0</v>
      </c>
      <c r="AZ36" s="66"/>
      <c r="BA36" s="66"/>
      <c r="BB36" s="66">
        <f t="shared" si="14"/>
        <v>0</v>
      </c>
      <c r="BC36" s="66"/>
      <c r="BD36" s="66"/>
      <c r="BE36" s="66">
        <f t="shared" si="15"/>
        <v>0</v>
      </c>
      <c r="BF36" s="66"/>
      <c r="BG36" s="66"/>
      <c r="BH36" s="67">
        <f t="shared" si="16"/>
        <v>0</v>
      </c>
      <c r="BI36" s="68">
        <f t="shared" si="17"/>
        <v>27</v>
      </c>
    </row>
    <row r="37" spans="2:61" x14ac:dyDescent="0.25">
      <c r="B37" s="63">
        <v>29</v>
      </c>
      <c r="C37" s="64">
        <f>NOMINATIF!C34</f>
        <v>0</v>
      </c>
      <c r="D37" s="65">
        <f>NOMINATIF!D34</f>
        <v>0</v>
      </c>
      <c r="E37" s="65">
        <f>NOMINATIF!E34</f>
        <v>0</v>
      </c>
      <c r="F37" s="53">
        <f t="shared" si="18"/>
        <v>0</v>
      </c>
      <c r="G37" s="53"/>
      <c r="H37" s="53"/>
      <c r="I37" s="53">
        <f t="shared" si="0"/>
        <v>0</v>
      </c>
      <c r="J37" s="53"/>
      <c r="K37" s="53"/>
      <c r="L37" s="53">
        <f t="shared" si="20"/>
        <v>0</v>
      </c>
      <c r="M37" s="53"/>
      <c r="N37" s="53"/>
      <c r="O37" s="53">
        <f t="shared" si="1"/>
        <v>0</v>
      </c>
      <c r="P37" s="53"/>
      <c r="Q37" s="53"/>
      <c r="R37" s="53">
        <f t="shared" si="2"/>
        <v>0</v>
      </c>
      <c r="S37" s="53"/>
      <c r="T37" s="53"/>
      <c r="U37" s="53">
        <f t="shared" si="3"/>
        <v>0</v>
      </c>
      <c r="V37" s="53"/>
      <c r="W37" s="53"/>
      <c r="X37" s="53">
        <f t="shared" si="4"/>
        <v>0</v>
      </c>
      <c r="Y37" s="53"/>
      <c r="Z37" s="53"/>
      <c r="AA37" s="53">
        <f t="shared" si="5"/>
        <v>0</v>
      </c>
      <c r="AB37" s="53"/>
      <c r="AC37" s="53"/>
      <c r="AD37" s="53">
        <f t="shared" si="6"/>
        <v>0</v>
      </c>
      <c r="AE37" s="53"/>
      <c r="AF37" s="53"/>
      <c r="AG37" s="53">
        <f t="shared" si="7"/>
        <v>0</v>
      </c>
      <c r="AH37" s="53"/>
      <c r="AI37" s="53"/>
      <c r="AJ37" s="53">
        <f t="shared" si="8"/>
        <v>0</v>
      </c>
      <c r="AK37" s="53"/>
      <c r="AL37" s="53"/>
      <c r="AM37" s="53">
        <f t="shared" si="9"/>
        <v>0</v>
      </c>
      <c r="AN37" s="53"/>
      <c r="AO37" s="53"/>
      <c r="AP37" s="53">
        <f t="shared" si="10"/>
        <v>0</v>
      </c>
      <c r="AQ37" s="53"/>
      <c r="AR37" s="53"/>
      <c r="AS37" s="66">
        <f t="shared" si="11"/>
        <v>0</v>
      </c>
      <c r="AT37" s="66"/>
      <c r="AU37" s="66"/>
      <c r="AV37" s="66">
        <f t="shared" si="12"/>
        <v>0</v>
      </c>
      <c r="AW37" s="66"/>
      <c r="AX37" s="66"/>
      <c r="AY37" s="66">
        <f t="shared" si="13"/>
        <v>0</v>
      </c>
      <c r="AZ37" s="66"/>
      <c r="BA37" s="66"/>
      <c r="BB37" s="66">
        <f t="shared" si="14"/>
        <v>0</v>
      </c>
      <c r="BC37" s="66"/>
      <c r="BD37" s="66"/>
      <c r="BE37" s="66">
        <f t="shared" si="15"/>
        <v>0</v>
      </c>
      <c r="BF37" s="66"/>
      <c r="BG37" s="66"/>
      <c r="BH37" s="67">
        <f t="shared" si="16"/>
        <v>0</v>
      </c>
      <c r="BI37" s="68">
        <f t="shared" si="17"/>
        <v>27</v>
      </c>
    </row>
    <row r="38" spans="2:61" x14ac:dyDescent="0.25">
      <c r="B38" s="63">
        <v>30</v>
      </c>
      <c r="C38" s="64">
        <f>NOMINATIF!C35</f>
        <v>0</v>
      </c>
      <c r="D38" s="65">
        <f>NOMINATIF!D35</f>
        <v>0</v>
      </c>
      <c r="E38" s="65">
        <f>NOMINATIF!E35</f>
        <v>0</v>
      </c>
      <c r="F38" s="53">
        <f t="shared" si="18"/>
        <v>0</v>
      </c>
      <c r="G38" s="53"/>
      <c r="H38" s="53"/>
      <c r="I38" s="53">
        <f t="shared" si="0"/>
        <v>0</v>
      </c>
      <c r="J38" s="53"/>
      <c r="K38" s="53"/>
      <c r="L38" s="53">
        <f t="shared" si="20"/>
        <v>0</v>
      </c>
      <c r="M38" s="53"/>
      <c r="N38" s="53"/>
      <c r="O38" s="53">
        <f t="shared" si="1"/>
        <v>0</v>
      </c>
      <c r="P38" s="53"/>
      <c r="Q38" s="53"/>
      <c r="R38" s="53">
        <f t="shared" si="2"/>
        <v>0</v>
      </c>
      <c r="S38" s="53"/>
      <c r="T38" s="53"/>
      <c r="U38" s="53">
        <f t="shared" si="3"/>
        <v>0</v>
      </c>
      <c r="V38" s="53"/>
      <c r="W38" s="53"/>
      <c r="X38" s="53">
        <f t="shared" si="4"/>
        <v>0</v>
      </c>
      <c r="Y38" s="53"/>
      <c r="Z38" s="53"/>
      <c r="AA38" s="53">
        <f t="shared" si="5"/>
        <v>0</v>
      </c>
      <c r="AB38" s="53"/>
      <c r="AC38" s="53"/>
      <c r="AD38" s="53">
        <f t="shared" si="6"/>
        <v>0</v>
      </c>
      <c r="AE38" s="53"/>
      <c r="AF38" s="53"/>
      <c r="AG38" s="53">
        <f t="shared" si="7"/>
        <v>0</v>
      </c>
      <c r="AH38" s="53"/>
      <c r="AI38" s="53"/>
      <c r="AJ38" s="53">
        <f t="shared" si="8"/>
        <v>0</v>
      </c>
      <c r="AK38" s="53"/>
      <c r="AL38" s="53"/>
      <c r="AM38" s="53">
        <f t="shared" si="9"/>
        <v>0</v>
      </c>
      <c r="AN38" s="53"/>
      <c r="AO38" s="53"/>
      <c r="AP38" s="53">
        <f t="shared" si="10"/>
        <v>0</v>
      </c>
      <c r="AQ38" s="53"/>
      <c r="AR38" s="53"/>
      <c r="AS38" s="66">
        <f t="shared" si="11"/>
        <v>0</v>
      </c>
      <c r="AT38" s="66"/>
      <c r="AU38" s="66"/>
      <c r="AV38" s="66">
        <f t="shared" si="12"/>
        <v>0</v>
      </c>
      <c r="AW38" s="66"/>
      <c r="AX38" s="66"/>
      <c r="AY38" s="66">
        <f t="shared" si="13"/>
        <v>0</v>
      </c>
      <c r="AZ38" s="66"/>
      <c r="BA38" s="66"/>
      <c r="BB38" s="66">
        <f t="shared" si="14"/>
        <v>0</v>
      </c>
      <c r="BC38" s="66"/>
      <c r="BD38" s="66"/>
      <c r="BE38" s="66">
        <f t="shared" si="15"/>
        <v>0</v>
      </c>
      <c r="BF38" s="66"/>
      <c r="BG38" s="66"/>
      <c r="BH38" s="67">
        <f t="shared" si="16"/>
        <v>0</v>
      </c>
      <c r="BI38" s="68">
        <f t="shared" si="17"/>
        <v>27</v>
      </c>
    </row>
    <row r="39" spans="2:61" x14ac:dyDescent="0.25">
      <c r="B39" s="63">
        <v>31</v>
      </c>
      <c r="C39" s="64">
        <f>NOMINATIF!C36</f>
        <v>0</v>
      </c>
      <c r="D39" s="65">
        <f>NOMINATIF!D36</f>
        <v>0</v>
      </c>
      <c r="E39" s="65">
        <f>NOMINATIF!E36</f>
        <v>0</v>
      </c>
      <c r="F39" s="53">
        <f t="shared" si="18"/>
        <v>0</v>
      </c>
      <c r="G39" s="53"/>
      <c r="H39" s="53"/>
      <c r="I39" s="53">
        <f t="shared" si="0"/>
        <v>0</v>
      </c>
      <c r="J39" s="53"/>
      <c r="K39" s="53"/>
      <c r="L39" s="53">
        <f t="shared" si="20"/>
        <v>0</v>
      </c>
      <c r="M39" s="53"/>
      <c r="N39" s="53"/>
      <c r="O39" s="53">
        <f t="shared" si="1"/>
        <v>0</v>
      </c>
      <c r="P39" s="53"/>
      <c r="Q39" s="53"/>
      <c r="R39" s="53">
        <f t="shared" si="2"/>
        <v>0</v>
      </c>
      <c r="S39" s="53"/>
      <c r="T39" s="53"/>
      <c r="U39" s="53">
        <f t="shared" si="3"/>
        <v>0</v>
      </c>
      <c r="V39" s="53"/>
      <c r="W39" s="53"/>
      <c r="X39" s="53">
        <f t="shared" si="4"/>
        <v>0</v>
      </c>
      <c r="Y39" s="53"/>
      <c r="Z39" s="53"/>
      <c r="AA39" s="53">
        <f t="shared" si="5"/>
        <v>0</v>
      </c>
      <c r="AB39" s="53"/>
      <c r="AC39" s="53"/>
      <c r="AD39" s="53">
        <f t="shared" si="6"/>
        <v>0</v>
      </c>
      <c r="AE39" s="53"/>
      <c r="AF39" s="53"/>
      <c r="AG39" s="53">
        <f t="shared" si="7"/>
        <v>0</v>
      </c>
      <c r="AH39" s="53"/>
      <c r="AI39" s="53"/>
      <c r="AJ39" s="53">
        <f t="shared" si="8"/>
        <v>0</v>
      </c>
      <c r="AK39" s="53"/>
      <c r="AL39" s="53"/>
      <c r="AM39" s="53">
        <f t="shared" si="9"/>
        <v>0</v>
      </c>
      <c r="AN39" s="53"/>
      <c r="AO39" s="53"/>
      <c r="AP39" s="53">
        <f t="shared" si="10"/>
        <v>0</v>
      </c>
      <c r="AQ39" s="53"/>
      <c r="AR39" s="53"/>
      <c r="AS39" s="66">
        <f t="shared" si="11"/>
        <v>0</v>
      </c>
      <c r="AT39" s="66"/>
      <c r="AU39" s="66"/>
      <c r="AV39" s="66">
        <f t="shared" si="12"/>
        <v>0</v>
      </c>
      <c r="AW39" s="66"/>
      <c r="AX39" s="66"/>
      <c r="AY39" s="66">
        <f t="shared" si="13"/>
        <v>0</v>
      </c>
      <c r="AZ39" s="66"/>
      <c r="BA39" s="66"/>
      <c r="BB39" s="66">
        <f t="shared" si="14"/>
        <v>0</v>
      </c>
      <c r="BC39" s="66"/>
      <c r="BD39" s="66"/>
      <c r="BE39" s="66">
        <f t="shared" si="15"/>
        <v>0</v>
      </c>
      <c r="BF39" s="66"/>
      <c r="BG39" s="66"/>
      <c r="BH39" s="67">
        <f t="shared" si="16"/>
        <v>0</v>
      </c>
      <c r="BI39" s="68">
        <f t="shared" si="17"/>
        <v>27</v>
      </c>
    </row>
    <row r="40" spans="2:61" x14ac:dyDescent="0.25">
      <c r="B40" s="63">
        <v>32</v>
      </c>
      <c r="C40" s="64">
        <f>NOMINATIF!C37</f>
        <v>0</v>
      </c>
      <c r="D40" s="65">
        <f>NOMINATIF!D37</f>
        <v>0</v>
      </c>
      <c r="E40" s="65">
        <f>NOMINATIF!E37</f>
        <v>0</v>
      </c>
      <c r="F40" s="53">
        <f t="shared" si="18"/>
        <v>0</v>
      </c>
      <c r="G40" s="53"/>
      <c r="H40" s="53"/>
      <c r="I40" s="53">
        <f t="shared" si="0"/>
        <v>0</v>
      </c>
      <c r="J40" s="53"/>
      <c r="K40" s="53"/>
      <c r="L40" s="53">
        <f t="shared" si="20"/>
        <v>0</v>
      </c>
      <c r="M40" s="53"/>
      <c r="N40" s="53"/>
      <c r="O40" s="53">
        <f t="shared" si="1"/>
        <v>0</v>
      </c>
      <c r="P40" s="53"/>
      <c r="Q40" s="53"/>
      <c r="R40" s="53">
        <f t="shared" si="2"/>
        <v>0</v>
      </c>
      <c r="S40" s="53"/>
      <c r="T40" s="53"/>
      <c r="U40" s="53">
        <f t="shared" si="3"/>
        <v>0</v>
      </c>
      <c r="V40" s="53"/>
      <c r="W40" s="53"/>
      <c r="X40" s="53">
        <f t="shared" si="4"/>
        <v>0</v>
      </c>
      <c r="Y40" s="53"/>
      <c r="Z40" s="53"/>
      <c r="AA40" s="53">
        <f t="shared" si="5"/>
        <v>0</v>
      </c>
      <c r="AB40" s="53"/>
      <c r="AC40" s="53"/>
      <c r="AD40" s="53">
        <f t="shared" si="6"/>
        <v>0</v>
      </c>
      <c r="AE40" s="53"/>
      <c r="AF40" s="53"/>
      <c r="AG40" s="53">
        <f t="shared" si="7"/>
        <v>0</v>
      </c>
      <c r="AH40" s="53"/>
      <c r="AI40" s="53"/>
      <c r="AJ40" s="53">
        <f t="shared" si="8"/>
        <v>0</v>
      </c>
      <c r="AK40" s="53"/>
      <c r="AL40" s="53"/>
      <c r="AM40" s="53">
        <f t="shared" si="9"/>
        <v>0</v>
      </c>
      <c r="AN40" s="53"/>
      <c r="AO40" s="53"/>
      <c r="AP40" s="53">
        <f t="shared" si="10"/>
        <v>0</v>
      </c>
      <c r="AQ40" s="53"/>
      <c r="AR40" s="53"/>
      <c r="AS40" s="66">
        <f t="shared" si="11"/>
        <v>0</v>
      </c>
      <c r="AT40" s="66"/>
      <c r="AU40" s="66"/>
      <c r="AV40" s="66">
        <f t="shared" si="12"/>
        <v>0</v>
      </c>
      <c r="AW40" s="66"/>
      <c r="AX40" s="66"/>
      <c r="AY40" s="66">
        <f t="shared" si="13"/>
        <v>0</v>
      </c>
      <c r="AZ40" s="66"/>
      <c r="BA40" s="66"/>
      <c r="BB40" s="66">
        <f t="shared" si="14"/>
        <v>0</v>
      </c>
      <c r="BC40" s="66"/>
      <c r="BD40" s="66"/>
      <c r="BE40" s="66">
        <f t="shared" si="15"/>
        <v>0</v>
      </c>
      <c r="BF40" s="66"/>
      <c r="BG40" s="66"/>
      <c r="BH40" s="67">
        <f t="shared" si="16"/>
        <v>0</v>
      </c>
      <c r="BI40" s="68">
        <f t="shared" si="17"/>
        <v>27</v>
      </c>
    </row>
    <row r="41" spans="2:61" x14ac:dyDescent="0.25">
      <c r="B41" s="63">
        <v>33</v>
      </c>
      <c r="C41" s="64">
        <f>NOMINATIF!C38</f>
        <v>0</v>
      </c>
      <c r="D41" s="65">
        <f>NOMINATIF!D38</f>
        <v>0</v>
      </c>
      <c r="E41" s="65">
        <f>NOMINATIF!E38</f>
        <v>0</v>
      </c>
      <c r="F41" s="53">
        <f t="shared" si="18"/>
        <v>0</v>
      </c>
      <c r="G41" s="53"/>
      <c r="H41" s="53"/>
      <c r="I41" s="53">
        <f t="shared" si="0"/>
        <v>0</v>
      </c>
      <c r="J41" s="53"/>
      <c r="K41" s="53"/>
      <c r="L41" s="53">
        <f t="shared" si="20"/>
        <v>0</v>
      </c>
      <c r="M41" s="53"/>
      <c r="N41" s="53"/>
      <c r="O41" s="53">
        <f t="shared" si="1"/>
        <v>0</v>
      </c>
      <c r="P41" s="53"/>
      <c r="Q41" s="53"/>
      <c r="R41" s="53">
        <f t="shared" si="2"/>
        <v>0</v>
      </c>
      <c r="S41" s="53"/>
      <c r="T41" s="53"/>
      <c r="U41" s="53">
        <f t="shared" si="3"/>
        <v>0</v>
      </c>
      <c r="V41" s="53"/>
      <c r="W41" s="53"/>
      <c r="X41" s="53">
        <f t="shared" si="4"/>
        <v>0</v>
      </c>
      <c r="Y41" s="53"/>
      <c r="Z41" s="53"/>
      <c r="AA41" s="53">
        <f t="shared" si="5"/>
        <v>0</v>
      </c>
      <c r="AB41" s="53"/>
      <c r="AC41" s="53"/>
      <c r="AD41" s="53">
        <f t="shared" si="6"/>
        <v>0</v>
      </c>
      <c r="AE41" s="53"/>
      <c r="AF41" s="53"/>
      <c r="AG41" s="53">
        <f t="shared" si="7"/>
        <v>0</v>
      </c>
      <c r="AH41" s="53"/>
      <c r="AI41" s="53"/>
      <c r="AJ41" s="53">
        <f t="shared" si="8"/>
        <v>0</v>
      </c>
      <c r="AK41" s="53"/>
      <c r="AL41" s="53"/>
      <c r="AM41" s="53">
        <f t="shared" si="9"/>
        <v>0</v>
      </c>
      <c r="AN41" s="53"/>
      <c r="AO41" s="53"/>
      <c r="AP41" s="53">
        <f t="shared" si="10"/>
        <v>0</v>
      </c>
      <c r="AQ41" s="53"/>
      <c r="AR41" s="53"/>
      <c r="AS41" s="66">
        <f t="shared" si="11"/>
        <v>0</v>
      </c>
      <c r="AT41" s="66"/>
      <c r="AU41" s="66"/>
      <c r="AV41" s="66">
        <f t="shared" si="12"/>
        <v>0</v>
      </c>
      <c r="AW41" s="66"/>
      <c r="AX41" s="66"/>
      <c r="AY41" s="66">
        <f t="shared" si="13"/>
        <v>0</v>
      </c>
      <c r="AZ41" s="66"/>
      <c r="BA41" s="66"/>
      <c r="BB41" s="66">
        <f t="shared" si="14"/>
        <v>0</v>
      </c>
      <c r="BC41" s="66"/>
      <c r="BD41" s="66"/>
      <c r="BE41" s="66">
        <f t="shared" si="15"/>
        <v>0</v>
      </c>
      <c r="BF41" s="66"/>
      <c r="BG41" s="66"/>
      <c r="BH41" s="67">
        <f t="shared" si="16"/>
        <v>0</v>
      </c>
      <c r="BI41" s="68">
        <f t="shared" si="17"/>
        <v>27</v>
      </c>
    </row>
    <row r="42" spans="2:61" x14ac:dyDescent="0.25">
      <c r="B42" s="63">
        <v>34</v>
      </c>
      <c r="C42" s="64">
        <f>NOMINATIF!C39</f>
        <v>0</v>
      </c>
      <c r="D42" s="65">
        <f>NOMINATIF!D39</f>
        <v>0</v>
      </c>
      <c r="E42" s="65">
        <f>NOMINATIF!E39</f>
        <v>0</v>
      </c>
      <c r="F42" s="53">
        <f t="shared" si="18"/>
        <v>0</v>
      </c>
      <c r="G42" s="53"/>
      <c r="H42" s="53"/>
      <c r="I42" s="53">
        <f t="shared" si="0"/>
        <v>0</v>
      </c>
      <c r="J42" s="53"/>
      <c r="K42" s="53"/>
      <c r="L42" s="53">
        <f t="shared" si="20"/>
        <v>0</v>
      </c>
      <c r="M42" s="53"/>
      <c r="N42" s="53"/>
      <c r="O42" s="53">
        <f t="shared" si="1"/>
        <v>0</v>
      </c>
      <c r="P42" s="53"/>
      <c r="Q42" s="53"/>
      <c r="R42" s="53">
        <f t="shared" si="2"/>
        <v>0</v>
      </c>
      <c r="S42" s="53"/>
      <c r="T42" s="53"/>
      <c r="U42" s="53">
        <f t="shared" si="3"/>
        <v>0</v>
      </c>
      <c r="V42" s="53"/>
      <c r="W42" s="53"/>
      <c r="X42" s="53">
        <f t="shared" si="4"/>
        <v>0</v>
      </c>
      <c r="Y42" s="53"/>
      <c r="Z42" s="53"/>
      <c r="AA42" s="53">
        <f t="shared" si="5"/>
        <v>0</v>
      </c>
      <c r="AB42" s="53"/>
      <c r="AC42" s="53"/>
      <c r="AD42" s="53">
        <f t="shared" si="6"/>
        <v>0</v>
      </c>
      <c r="AE42" s="53"/>
      <c r="AF42" s="53"/>
      <c r="AG42" s="53">
        <f t="shared" si="7"/>
        <v>0</v>
      </c>
      <c r="AH42" s="53"/>
      <c r="AI42" s="53"/>
      <c r="AJ42" s="53">
        <f t="shared" si="8"/>
        <v>0</v>
      </c>
      <c r="AK42" s="53"/>
      <c r="AL42" s="53"/>
      <c r="AM42" s="53">
        <f t="shared" si="9"/>
        <v>0</v>
      </c>
      <c r="AN42" s="53"/>
      <c r="AO42" s="53"/>
      <c r="AP42" s="53">
        <f t="shared" si="10"/>
        <v>0</v>
      </c>
      <c r="AQ42" s="53"/>
      <c r="AR42" s="53"/>
      <c r="AS42" s="66">
        <f t="shared" si="11"/>
        <v>0</v>
      </c>
      <c r="AT42" s="66"/>
      <c r="AU42" s="66"/>
      <c r="AV42" s="66">
        <f t="shared" si="12"/>
        <v>0</v>
      </c>
      <c r="AW42" s="66"/>
      <c r="AX42" s="66"/>
      <c r="AY42" s="66">
        <f t="shared" si="13"/>
        <v>0</v>
      </c>
      <c r="AZ42" s="66"/>
      <c r="BA42" s="66"/>
      <c r="BB42" s="66">
        <f t="shared" si="14"/>
        <v>0</v>
      </c>
      <c r="BC42" s="66"/>
      <c r="BD42" s="66"/>
      <c r="BE42" s="66">
        <f t="shared" si="15"/>
        <v>0</v>
      </c>
      <c r="BF42" s="66"/>
      <c r="BG42" s="66"/>
      <c r="BH42" s="67">
        <f t="shared" si="16"/>
        <v>0</v>
      </c>
      <c r="BI42" s="68">
        <f t="shared" si="17"/>
        <v>27</v>
      </c>
    </row>
    <row r="43" spans="2:61" x14ac:dyDescent="0.25">
      <c r="B43" s="63">
        <v>35</v>
      </c>
      <c r="C43" s="64">
        <f>NOMINATIF!C40</f>
        <v>0</v>
      </c>
      <c r="D43" s="65">
        <f>NOMINATIF!D40</f>
        <v>0</v>
      </c>
      <c r="E43" s="65">
        <f>NOMINATIF!E40</f>
        <v>0</v>
      </c>
      <c r="F43" s="53">
        <f t="shared" si="18"/>
        <v>0</v>
      </c>
      <c r="G43" s="53"/>
      <c r="H43" s="53"/>
      <c r="I43" s="53">
        <f t="shared" si="0"/>
        <v>0</v>
      </c>
      <c r="J43" s="53"/>
      <c r="K43" s="53"/>
      <c r="L43" s="53">
        <f t="shared" si="20"/>
        <v>0</v>
      </c>
      <c r="M43" s="53"/>
      <c r="N43" s="53"/>
      <c r="O43" s="53">
        <f t="shared" si="1"/>
        <v>0</v>
      </c>
      <c r="P43" s="53"/>
      <c r="Q43" s="53"/>
      <c r="R43" s="53">
        <f t="shared" si="2"/>
        <v>0</v>
      </c>
      <c r="S43" s="53"/>
      <c r="T43" s="53"/>
      <c r="U43" s="53">
        <f t="shared" si="3"/>
        <v>0</v>
      </c>
      <c r="V43" s="53"/>
      <c r="W43" s="53"/>
      <c r="X43" s="53">
        <f t="shared" si="4"/>
        <v>0</v>
      </c>
      <c r="Y43" s="53"/>
      <c r="Z43" s="53"/>
      <c r="AA43" s="53">
        <f t="shared" si="5"/>
        <v>0</v>
      </c>
      <c r="AB43" s="53"/>
      <c r="AC43" s="53"/>
      <c r="AD43" s="53">
        <f t="shared" si="6"/>
        <v>0</v>
      </c>
      <c r="AE43" s="53"/>
      <c r="AF43" s="53"/>
      <c r="AG43" s="53">
        <f t="shared" si="7"/>
        <v>0</v>
      </c>
      <c r="AH43" s="53"/>
      <c r="AI43" s="53"/>
      <c r="AJ43" s="53">
        <f t="shared" si="8"/>
        <v>0</v>
      </c>
      <c r="AK43" s="53"/>
      <c r="AL43" s="53"/>
      <c r="AM43" s="53">
        <f t="shared" si="9"/>
        <v>0</v>
      </c>
      <c r="AN43" s="53"/>
      <c r="AO43" s="53"/>
      <c r="AP43" s="53">
        <f t="shared" si="10"/>
        <v>0</v>
      </c>
      <c r="AQ43" s="53"/>
      <c r="AR43" s="53"/>
      <c r="AS43" s="66">
        <f t="shared" si="11"/>
        <v>0</v>
      </c>
      <c r="AT43" s="66"/>
      <c r="AU43" s="66"/>
      <c r="AV43" s="66">
        <f t="shared" si="12"/>
        <v>0</v>
      </c>
      <c r="AW43" s="66"/>
      <c r="AX43" s="66"/>
      <c r="AY43" s="66">
        <f t="shared" si="13"/>
        <v>0</v>
      </c>
      <c r="AZ43" s="66"/>
      <c r="BA43" s="66"/>
      <c r="BB43" s="66">
        <f t="shared" si="14"/>
        <v>0</v>
      </c>
      <c r="BC43" s="66"/>
      <c r="BD43" s="66"/>
      <c r="BE43" s="66">
        <f t="shared" si="15"/>
        <v>0</v>
      </c>
      <c r="BF43" s="66"/>
      <c r="BG43" s="66"/>
      <c r="BH43" s="67">
        <f t="shared" si="16"/>
        <v>0</v>
      </c>
      <c r="BI43" s="68">
        <f t="shared" si="17"/>
        <v>27</v>
      </c>
    </row>
    <row r="44" spans="2:61" x14ac:dyDescent="0.25"/>
    <row r="45" spans="2:61" x14ac:dyDescent="0.25"/>
    <row r="46" spans="2:61" x14ac:dyDescent="0.25"/>
  </sheetData>
  <sheetProtection selectLockedCells="1"/>
  <mergeCells count="25">
    <mergeCell ref="AD6:AF6"/>
    <mergeCell ref="B3:BI3"/>
    <mergeCell ref="B5:B7"/>
    <mergeCell ref="C5:C7"/>
    <mergeCell ref="D5:D7"/>
    <mergeCell ref="E5:E7"/>
    <mergeCell ref="BH5:BH6"/>
    <mergeCell ref="BI5:BI6"/>
    <mergeCell ref="F6:H6"/>
    <mergeCell ref="I6:K6"/>
    <mergeCell ref="L6:N6"/>
    <mergeCell ref="O6:Q6"/>
    <mergeCell ref="R6:T6"/>
    <mergeCell ref="U6:W6"/>
    <mergeCell ref="X6:Z6"/>
    <mergeCell ref="AA6:AC6"/>
    <mergeCell ref="AY6:BA6"/>
    <mergeCell ref="BB6:BD6"/>
    <mergeCell ref="BE6:BG6"/>
    <mergeCell ref="AG6:AI6"/>
    <mergeCell ref="AJ6:AL6"/>
    <mergeCell ref="AM6:AO6"/>
    <mergeCell ref="AP6:AR6"/>
    <mergeCell ref="AS6:AU6"/>
    <mergeCell ref="AV6:AX6"/>
  </mergeCells>
  <pageMargins left="0.7" right="0.7" top="0.75" bottom="0.75" header="0.3" footer="0.3"/>
  <pageSetup orientation="portrait" r:id="rId1"/>
  <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tabColor rgb="FF00B0F0"/>
    <pageSetUpPr fitToPage="1"/>
  </sheetPr>
  <dimension ref="A1:AC54"/>
  <sheetViews>
    <sheetView zoomScale="85" zoomScaleNormal="85" workbookViewId="0">
      <selection activeCell="O38" sqref="O38:P47"/>
    </sheetView>
  </sheetViews>
  <sheetFormatPr defaultColWidth="0" defaultRowHeight="0" customHeight="1" zeroHeight="1" x14ac:dyDescent="0.25"/>
  <cols>
    <col min="1" max="1" width="1.5703125" style="12" customWidth="1"/>
    <col min="2" max="2" width="3.85546875" customWidth="1"/>
    <col min="3" max="3" width="16.7109375" customWidth="1"/>
    <col min="4" max="4" width="1.140625" customWidth="1"/>
    <col min="5" max="5" width="22.42578125" customWidth="1"/>
    <col min="6" max="6" width="9.42578125" customWidth="1"/>
    <col min="7" max="7" width="4.140625" customWidth="1"/>
    <col min="8" max="8" width="20.5703125" customWidth="1"/>
    <col min="9" max="9" width="2.28515625" customWidth="1"/>
    <col min="10" max="10" width="16.140625" hidden="1" customWidth="1"/>
    <col min="11" max="11" width="1.85546875" hidden="1" customWidth="1"/>
    <col min="12" max="12" width="5.5703125" customWidth="1"/>
    <col min="13" max="13" width="32.28515625" customWidth="1"/>
    <col min="14" max="14" width="1.7109375" customWidth="1"/>
    <col min="15" max="16" width="9.140625" customWidth="1"/>
    <col min="17" max="17" width="2.42578125" customWidth="1"/>
    <col min="18" max="18" width="16.7109375" customWidth="1"/>
    <col min="19" max="19" width="1" customWidth="1"/>
    <col min="20" max="20" width="1.7109375" style="12" customWidth="1"/>
    <col min="21" max="29" width="0" hidden="1" customWidth="1"/>
    <col min="30" max="16384" width="9.140625" hidden="1"/>
  </cols>
  <sheetData>
    <row r="1" spans="2:29" s="12" customFormat="1" ht="7.5" customHeight="1" x14ac:dyDescent="0.25"/>
    <row r="2" spans="2:29" ht="15.75" x14ac:dyDescent="0.25">
      <c r="C2" s="3"/>
      <c r="D2" s="204" t="s">
        <v>11</v>
      </c>
      <c r="E2" s="204"/>
      <c r="F2" s="204"/>
      <c r="G2" s="204"/>
      <c r="H2" s="204"/>
      <c r="I2" s="204"/>
      <c r="J2" s="204"/>
      <c r="K2" s="204"/>
      <c r="L2" s="204"/>
      <c r="M2" s="204"/>
      <c r="V2" s="204"/>
      <c r="W2" s="204"/>
      <c r="X2" s="204"/>
      <c r="Y2" s="204"/>
      <c r="Z2" s="204"/>
      <c r="AA2" s="204"/>
      <c r="AB2" s="204"/>
      <c r="AC2" s="204"/>
    </row>
    <row r="3" spans="2:29" ht="15.75" x14ac:dyDescent="0.25">
      <c r="C3" s="3"/>
      <c r="D3" s="204" t="s">
        <v>12</v>
      </c>
      <c r="E3" s="204"/>
      <c r="F3" s="204"/>
      <c r="G3" s="204"/>
      <c r="H3" s="204"/>
      <c r="I3" s="204"/>
      <c r="J3" s="204"/>
      <c r="K3" s="204"/>
      <c r="L3" s="204"/>
      <c r="M3" s="204"/>
      <c r="V3" s="204"/>
      <c r="W3" s="204"/>
      <c r="X3" s="204"/>
      <c r="Y3" s="204"/>
      <c r="Z3" s="204"/>
      <c r="AA3" s="204"/>
      <c r="AB3" s="204"/>
      <c r="AC3" s="204"/>
    </row>
    <row r="4" spans="2:29" ht="15.75" x14ac:dyDescent="0.25">
      <c r="C4" s="1"/>
      <c r="D4" s="203" t="s">
        <v>13</v>
      </c>
      <c r="E4" s="203"/>
      <c r="F4" s="203"/>
      <c r="G4" s="203"/>
      <c r="H4" s="203"/>
      <c r="I4" s="203"/>
      <c r="J4" s="203"/>
      <c r="K4" s="203"/>
      <c r="L4" s="203"/>
      <c r="M4" s="203"/>
      <c r="V4" s="203"/>
      <c r="W4" s="203"/>
      <c r="X4" s="203"/>
      <c r="Y4" s="203"/>
      <c r="Z4" s="203"/>
      <c r="AA4" s="203"/>
      <c r="AB4" s="203"/>
      <c r="AC4" s="203"/>
    </row>
    <row r="5" spans="2:29" ht="15.75" x14ac:dyDescent="0.25">
      <c r="C5" s="1"/>
      <c r="D5" s="203" t="s">
        <v>14</v>
      </c>
      <c r="E5" s="203"/>
      <c r="F5" s="203"/>
      <c r="G5" s="203"/>
      <c r="H5" s="203"/>
      <c r="I5" s="203"/>
      <c r="J5" s="203"/>
      <c r="K5" s="203"/>
      <c r="L5" s="203"/>
      <c r="M5" s="203"/>
      <c r="V5" s="203"/>
      <c r="W5" s="203"/>
      <c r="X5" s="203"/>
      <c r="Y5" s="203"/>
      <c r="Z5" s="203"/>
      <c r="AA5" s="203"/>
      <c r="AB5" s="203"/>
      <c r="AC5" s="203"/>
    </row>
    <row r="6" spans="2:29" ht="16.5" thickBot="1" x14ac:dyDescent="0.3">
      <c r="C6" s="3"/>
      <c r="D6" s="204" t="s">
        <v>1</v>
      </c>
      <c r="E6" s="204"/>
      <c r="F6" s="204"/>
      <c r="G6" s="204"/>
      <c r="H6" s="204"/>
      <c r="I6" s="204"/>
      <c r="J6" s="204"/>
      <c r="K6" s="204"/>
      <c r="L6" s="204"/>
      <c r="M6" s="204"/>
      <c r="V6" s="204"/>
      <c r="W6" s="204"/>
      <c r="X6" s="204"/>
      <c r="Y6" s="204"/>
      <c r="Z6" s="204"/>
      <c r="AA6" s="204"/>
      <c r="AB6" s="204"/>
      <c r="AC6" s="204"/>
    </row>
    <row r="7" spans="2:29" ht="15.75" x14ac:dyDescent="0.25">
      <c r="C7" s="1"/>
      <c r="D7" s="203" t="s">
        <v>15</v>
      </c>
      <c r="E7" s="203"/>
      <c r="F7" s="203"/>
      <c r="G7" s="203"/>
      <c r="H7" s="203"/>
      <c r="I7" s="203"/>
      <c r="J7" s="203"/>
      <c r="K7" s="203"/>
      <c r="L7" s="203"/>
      <c r="M7" s="203"/>
      <c r="O7" s="326" t="s">
        <v>69</v>
      </c>
      <c r="P7" s="327"/>
      <c r="Q7" s="327"/>
      <c r="R7" s="328"/>
      <c r="S7" s="19"/>
      <c r="V7" s="203"/>
      <c r="W7" s="203"/>
      <c r="X7" s="203"/>
      <c r="Y7" s="203"/>
      <c r="Z7" s="203"/>
      <c r="AA7" s="203"/>
      <c r="AB7" s="203"/>
      <c r="AC7" s="203"/>
    </row>
    <row r="8" spans="2:29" ht="15.75" x14ac:dyDescent="0.25">
      <c r="C8" s="1"/>
      <c r="D8" s="203" t="s">
        <v>16</v>
      </c>
      <c r="E8" s="203"/>
      <c r="F8" s="203"/>
      <c r="G8" s="203"/>
      <c r="H8" s="203"/>
      <c r="I8" s="203"/>
      <c r="J8" s="203"/>
      <c r="K8" s="203"/>
      <c r="L8" s="203"/>
      <c r="M8" s="203"/>
      <c r="O8" s="329"/>
      <c r="P8" s="330"/>
      <c r="Q8" s="330"/>
      <c r="R8" s="331"/>
      <c r="V8" s="203"/>
      <c r="W8" s="203"/>
      <c r="X8" s="203"/>
      <c r="Y8" s="203"/>
      <c r="Z8" s="203"/>
      <c r="AA8" s="203"/>
      <c r="AB8" s="203"/>
      <c r="AC8" s="203"/>
    </row>
    <row r="9" spans="2:29" ht="16.5" thickBot="1" x14ac:dyDescent="0.3">
      <c r="C9" s="2"/>
      <c r="D9" s="230" t="s">
        <v>17</v>
      </c>
      <c r="E9" s="230"/>
      <c r="F9" s="230"/>
      <c r="G9" s="230"/>
      <c r="H9" s="230"/>
      <c r="I9" s="230"/>
      <c r="J9" s="230"/>
      <c r="K9" s="230"/>
      <c r="L9" s="230"/>
      <c r="M9" s="230"/>
      <c r="O9" s="22"/>
      <c r="P9" s="325" t="s">
        <v>70</v>
      </c>
      <c r="Q9" s="325"/>
      <c r="R9" s="228">
        <v>1</v>
      </c>
      <c r="V9" s="230"/>
      <c r="W9" s="230"/>
      <c r="X9" s="230"/>
      <c r="Y9" s="230"/>
      <c r="Z9" s="230"/>
      <c r="AA9" s="230"/>
      <c r="AB9" s="230"/>
      <c r="AC9" s="230"/>
    </row>
    <row r="10" spans="2:29" ht="5.25" customHeight="1" thickTop="1" x14ac:dyDescent="0.25">
      <c r="B10" s="231"/>
      <c r="C10" s="232"/>
      <c r="D10" s="232"/>
      <c r="E10" s="232"/>
      <c r="F10" s="232"/>
      <c r="G10" s="232"/>
      <c r="H10" s="232"/>
      <c r="I10" s="232"/>
      <c r="J10" s="232"/>
      <c r="K10" s="232"/>
      <c r="L10" s="232"/>
      <c r="M10" s="232"/>
      <c r="O10" s="22"/>
      <c r="P10" s="325"/>
      <c r="Q10" s="325"/>
      <c r="R10" s="228"/>
    </row>
    <row r="11" spans="2:29" ht="15.75" x14ac:dyDescent="0.25">
      <c r="B11" s="226" t="str">
        <f>HOME!G6</f>
        <v>HASIL PENILAIAN TENGAH SEMESTER GENAP</v>
      </c>
      <c r="C11" s="226"/>
      <c r="D11" s="226"/>
      <c r="E11" s="226"/>
      <c r="F11" s="226"/>
      <c r="G11" s="226"/>
      <c r="H11" s="226"/>
      <c r="I11" s="226"/>
      <c r="J11" s="226"/>
      <c r="K11" s="226"/>
      <c r="L11" s="226"/>
      <c r="M11" s="226"/>
      <c r="O11" s="22"/>
      <c r="P11" s="325"/>
      <c r="Q11" s="325"/>
      <c r="R11" s="228"/>
    </row>
    <row r="12" spans="2:29" ht="15.75" x14ac:dyDescent="0.25">
      <c r="B12" s="226" t="str">
        <f>"TAHUN PELAJARAN " &amp; HOME!G7</f>
        <v>TAHUN PELAJARAN 2022/2023</v>
      </c>
      <c r="C12" s="226"/>
      <c r="D12" s="226"/>
      <c r="E12" s="226"/>
      <c r="F12" s="226"/>
      <c r="G12" s="226"/>
      <c r="H12" s="226"/>
      <c r="I12" s="226"/>
      <c r="J12" s="226"/>
      <c r="K12" s="226"/>
      <c r="L12" s="226"/>
      <c r="M12" s="226"/>
      <c r="O12" s="22"/>
      <c r="P12" s="325" t="s">
        <v>71</v>
      </c>
      <c r="Q12" s="325"/>
      <c r="R12" s="228">
        <f>COUNTA(NOMINATIF!C6:C40)</f>
        <v>20</v>
      </c>
    </row>
    <row r="13" spans="2:29" ht="8.25" customHeight="1" x14ac:dyDescent="0.25">
      <c r="B13" s="16"/>
      <c r="C13" s="4"/>
      <c r="D13" s="4"/>
      <c r="E13" s="4"/>
      <c r="F13" s="4"/>
      <c r="G13" s="4"/>
      <c r="H13" s="4"/>
      <c r="I13" s="4"/>
      <c r="J13" s="4"/>
      <c r="K13" s="4"/>
      <c r="L13" s="4"/>
      <c r="M13" s="4"/>
      <c r="O13" s="22"/>
      <c r="P13" s="325"/>
      <c r="Q13" s="325"/>
      <c r="R13" s="228"/>
    </row>
    <row r="14" spans="2:29" ht="15.75" x14ac:dyDescent="0.25">
      <c r="B14" s="224" t="s">
        <v>18</v>
      </c>
      <c r="C14" s="224"/>
      <c r="D14" s="1" t="s">
        <v>6</v>
      </c>
      <c r="E14" s="229" t="str">
        <f>VLOOKUP(R9,'L XII AKL'!$B$9:$BI$43,2)</f>
        <v>AFMALA INSAN QOIRUNISA</v>
      </c>
      <c r="F14" s="229"/>
      <c r="G14" s="18"/>
      <c r="H14" s="1" t="s">
        <v>63</v>
      </c>
      <c r="I14" t="s">
        <v>6</v>
      </c>
      <c r="J14" s="225" t="str">
        <f>HOME!G9</f>
        <v>Teknik Komputer dan Informatika</v>
      </c>
      <c r="K14" s="225"/>
      <c r="L14" s="225"/>
      <c r="M14" s="225"/>
      <c r="O14" s="22"/>
      <c r="P14" s="325"/>
      <c r="Q14" s="325"/>
      <c r="R14" s="228"/>
    </row>
    <row r="15" spans="2:29" ht="15.75" x14ac:dyDescent="0.25">
      <c r="B15" s="224" t="s">
        <v>19</v>
      </c>
      <c r="C15" s="224"/>
      <c r="D15" s="1" t="s">
        <v>6</v>
      </c>
      <c r="E15" s="224" t="str">
        <f>VLOOKUP(R9,'L XII AKL'!$B$9:$BI$43,3) &amp; "/" &amp; VLOOKUP(R9,'L XII AKL'!$B$9:$BI$43,4)</f>
        <v>4020/0059023845</v>
      </c>
      <c r="F15" s="224"/>
      <c r="G15" s="17"/>
      <c r="H15" s="1" t="s">
        <v>10</v>
      </c>
      <c r="I15" t="s">
        <v>6</v>
      </c>
      <c r="J15" s="225" t="str">
        <f>ID!G7</f>
        <v>Akuntansi dan Keuangan Lembaga</v>
      </c>
      <c r="K15" s="225"/>
      <c r="L15" s="225"/>
      <c r="M15" s="225"/>
      <c r="O15" s="22"/>
      <c r="R15" s="23"/>
    </row>
    <row r="16" spans="2:29" ht="15.75" x14ac:dyDescent="0.25">
      <c r="B16" s="224" t="s">
        <v>9</v>
      </c>
      <c r="C16" s="224"/>
      <c r="D16" s="1" t="s">
        <v>6</v>
      </c>
      <c r="E16" s="224" t="str">
        <f>ID!G8</f>
        <v>XII AKL 1</v>
      </c>
      <c r="F16" s="224"/>
      <c r="G16" s="17"/>
      <c r="H16" s="1" t="s">
        <v>20</v>
      </c>
      <c r="I16" t="s">
        <v>6</v>
      </c>
      <c r="J16" s="225" t="str">
        <f>ID!G9</f>
        <v>4/GENAP</v>
      </c>
      <c r="K16" s="225"/>
      <c r="L16" s="225"/>
      <c r="M16" s="225"/>
      <c r="O16" s="22"/>
      <c r="R16" s="23"/>
    </row>
    <row r="17" spans="2:19" s="12" customFormat="1" ht="15" x14ac:dyDescent="0.25">
      <c r="B17"/>
      <c r="C17"/>
      <c r="D17"/>
      <c r="E17"/>
      <c r="F17"/>
      <c r="G17"/>
      <c r="H17"/>
      <c r="I17"/>
      <c r="J17"/>
      <c r="K17"/>
      <c r="L17"/>
      <c r="M17"/>
      <c r="N17"/>
      <c r="O17" s="22"/>
      <c r="P17"/>
      <c r="Q17"/>
      <c r="R17" s="23"/>
      <c r="S17"/>
    </row>
    <row r="18" spans="2:19" s="12" customFormat="1" ht="31.5" customHeight="1" x14ac:dyDescent="0.25">
      <c r="B18" s="15" t="s">
        <v>32</v>
      </c>
      <c r="C18" s="190" t="s">
        <v>33</v>
      </c>
      <c r="D18" s="190"/>
      <c r="E18" s="190"/>
      <c r="F18" s="222" t="s">
        <v>34</v>
      </c>
      <c r="G18" s="223"/>
      <c r="H18" s="222" t="s">
        <v>35</v>
      </c>
      <c r="I18" s="223"/>
      <c r="J18" s="222" t="s">
        <v>66</v>
      </c>
      <c r="K18" s="223"/>
      <c r="L18" s="15" t="s">
        <v>98</v>
      </c>
      <c r="M18" s="15" t="s">
        <v>36</v>
      </c>
      <c r="N18"/>
      <c r="O18" s="22"/>
      <c r="P18"/>
      <c r="Q18"/>
      <c r="R18" s="23"/>
      <c r="S18"/>
    </row>
    <row r="19" spans="2:19" s="12" customFormat="1" ht="15.75" x14ac:dyDescent="0.25">
      <c r="B19" s="188" t="s">
        <v>37</v>
      </c>
      <c r="C19" s="188"/>
      <c r="D19" s="188"/>
      <c r="E19" s="188"/>
      <c r="F19" s="188"/>
      <c r="G19" s="188"/>
      <c r="H19" s="188"/>
      <c r="I19" s="188"/>
      <c r="J19" s="188"/>
      <c r="K19" s="188"/>
      <c r="L19" s="188"/>
      <c r="M19" s="188"/>
      <c r="N19"/>
      <c r="O19" s="22"/>
      <c r="P19"/>
      <c r="Q19"/>
      <c r="R19" s="23"/>
      <c r="S19"/>
    </row>
    <row r="20" spans="2:19" s="12" customFormat="1" ht="15.75" x14ac:dyDescent="0.25">
      <c r="B20" s="11">
        <v>1</v>
      </c>
      <c r="C20" s="189" t="s">
        <v>38</v>
      </c>
      <c r="D20" s="189"/>
      <c r="E20" s="189"/>
      <c r="F20" s="209">
        <f>'MP XII AKL'!G7</f>
        <v>60</v>
      </c>
      <c r="G20" s="210"/>
      <c r="H20" s="211">
        <f>VLOOKUP(R9,'L XII AKL'!$B$9:$BI$43,5)</f>
        <v>90</v>
      </c>
      <c r="I20" s="212"/>
      <c r="J20" s="211">
        <f>VLOOKUP(R9,'L XII AKL'!$B$9:$BI$43,6)</f>
        <v>0</v>
      </c>
      <c r="K20" s="212"/>
      <c r="L20" s="14">
        <f>IF(J20=0,H20,AVERAGE(H20:K20))</f>
        <v>90</v>
      </c>
      <c r="M20" s="14" t="str">
        <f>IF(F20=60,IF(AND(L20&gt;=$O$25,L20&lt;$P$25),$R$25,IF(AND(L20&gt;=$O$26,L20&lt;=$P$26),$R$26,IF(AND(L20&gt;=$O$27,L20&lt;=$P$27),$R$27,IF(AND(L20&gt;=$O$28,L20&lt;=$P$28),$R$28,IF(AND(L20&gt;=$O$29,L20&lt;=$P$29),$R$29,IF(AND(L20&gt;=$O$30,L20&lt;=$P$30),$R$30,IF(AND(L20&gt;=$O$31,L20&lt;=$P$31),$R$31,IF(AND(L20&gt;=$O$32,L20&lt;$P$32),$R$32,IF(AND(L20&gt;$O$33,L20&lt;$P$33),$R$33,IF(AND(L20&lt;=$P$34),$R$34,0)))))))))),IF(F20=70,IF(AND(L20&gt;$O$38,L20&lt;$P$38),$R$38,IF(AND(L20&gt;=$O$39,L20&lt;=$P$39),$R$39,IF(AND(L20&gt;=$O$40,L20&lt;=$P$40),$R$40,IF(AND(L20&gt;=$O$41,L20&lt;=$P$41),$R$41,IF(AND(L20&gt;=$O$42,L20&lt;=$P$42),$R$42,IF(AND(L20&gt;=$O$43,L20&lt;=$P$43),$R$43,IF(AND(L20&gt;=$O$44,L20&lt;=$P$44),$R$44,IF(AND(L20&gt;=$O$45,L20&lt;$P$45),$R$45,IF(AND(L20&gt;$O$46,L20&lt;$P$46),$R$46,IF(AND(L20&lt;=$P$47),$R$47,0))))))))))))</f>
        <v>A</v>
      </c>
      <c r="N20"/>
      <c r="O20" s="22"/>
      <c r="P20"/>
      <c r="Q20"/>
      <c r="R20" s="23"/>
      <c r="S20"/>
    </row>
    <row r="21" spans="2:19" s="12" customFormat="1" ht="16.5" thickBot="1" x14ac:dyDescent="0.3">
      <c r="B21" s="11">
        <v>2</v>
      </c>
      <c r="C21" s="189" t="s">
        <v>39</v>
      </c>
      <c r="D21" s="189"/>
      <c r="E21" s="189"/>
      <c r="F21" s="209">
        <f>'MP XII AKL'!G8</f>
        <v>60</v>
      </c>
      <c r="G21" s="210"/>
      <c r="H21" s="211">
        <f>VLOOKUP(R9,'L XII AKL'!$B$9:$BI$43,8)</f>
        <v>95</v>
      </c>
      <c r="I21" s="212"/>
      <c r="J21" s="211">
        <f>VLOOKUP(R9,'L XII AKL'!$B$9:$BI$43,9)</f>
        <v>0</v>
      </c>
      <c r="K21" s="212"/>
      <c r="L21" s="14">
        <f t="shared" ref="L21:L24" si="0">IF(J21=0,H21,AVERAGE(H21:K21))</f>
        <v>95</v>
      </c>
      <c r="M21" s="14" t="str">
        <f t="shared" ref="M21:M24" si="1">IF(F21=60,IF(AND(L21&gt;=$O$25,L21&lt;$P$25),$R$25,IF(AND(L21&gt;=$O$26,L21&lt;=$P$26),$R$26,IF(AND(L21&gt;=$O$27,L21&lt;=$P$27),$R$27,IF(AND(L21&gt;=$O$28,L21&lt;=$P$28),$R$28,IF(AND(L21&gt;=$O$29,L21&lt;=$P$29),$R$29,IF(AND(L21&gt;=$O$30,L21&lt;=$P$30),$R$30,IF(AND(L21&gt;=$O$31,L21&lt;=$P$31),$R$31,IF(AND(L21&gt;=$O$32,L21&lt;$P$32),$R$32,IF(AND(L21&gt;$O$33,L21&lt;$P$33),$R$33,IF(AND(L21&lt;=$P$34),$R$34,0)))))))))),IF(F21=70,IF(AND(L21&gt;$O$38,L21&lt;$P$38),$R$38,IF(AND(L21&gt;=$O$39,L21&lt;=$P$39),$R$39,IF(AND(L21&gt;=$O$40,L21&lt;=$P$40),$R$40,IF(AND(L21&gt;=$O$41,L21&lt;=$P$41),$R$41,IF(AND(L21&gt;=$O$42,L21&lt;=$P$42),$R$42,IF(AND(L21&gt;=$O$43,L21&lt;=$P$43),$R$43,IF(AND(L21&gt;=$O$44,L21&lt;=$P$44),$R$44,IF(AND(L21&gt;=$O$45,L21&lt;$P$45),$R$45,IF(AND(L21&gt;$O$46,L21&lt;$P$46),$R$46,IF(AND(L21&lt;=$P$47),$R$47,0))))))))))))</f>
        <v>A+</v>
      </c>
      <c r="N21"/>
      <c r="O21" s="25"/>
      <c r="P21" s="26"/>
      <c r="Q21" s="26"/>
      <c r="R21" s="27"/>
      <c r="S21"/>
    </row>
    <row r="22" spans="2:19" s="12" customFormat="1" ht="16.5" thickBot="1" x14ac:dyDescent="0.3">
      <c r="B22" s="11">
        <v>3</v>
      </c>
      <c r="C22" s="189" t="s">
        <v>40</v>
      </c>
      <c r="D22" s="189"/>
      <c r="E22" s="189"/>
      <c r="F22" s="209">
        <f>'MP XII AKL'!G9</f>
        <v>60</v>
      </c>
      <c r="G22" s="210"/>
      <c r="H22" s="211">
        <f>VLOOKUP(R9,'L XII AKL'!$B$9:$BI$43,11)</f>
        <v>95</v>
      </c>
      <c r="I22" s="212"/>
      <c r="J22" s="211">
        <f>VLOOKUP(R9,'L XII AKL'!$B$9:$BI$43,12)</f>
        <v>0</v>
      </c>
      <c r="K22" s="212"/>
      <c r="L22" s="14">
        <f t="shared" si="0"/>
        <v>95</v>
      </c>
      <c r="M22" s="14" t="str">
        <f t="shared" si="1"/>
        <v>A+</v>
      </c>
      <c r="N22"/>
      <c r="O22"/>
      <c r="P22"/>
      <c r="Q22"/>
      <c r="R22"/>
      <c r="S22"/>
    </row>
    <row r="23" spans="2:19" s="12" customFormat="1" ht="15.75" x14ac:dyDescent="0.25">
      <c r="B23" s="11">
        <v>4</v>
      </c>
      <c r="C23" s="187" t="s">
        <v>41</v>
      </c>
      <c r="D23" s="187"/>
      <c r="E23" s="187"/>
      <c r="F23" s="209">
        <f>'MP XII AKL'!G10</f>
        <v>60</v>
      </c>
      <c r="G23" s="210"/>
      <c r="H23" s="211">
        <f>VLOOKUP(R9,'L XII AKL'!$B$9:$BI$43,14)</f>
        <v>0</v>
      </c>
      <c r="I23" s="212"/>
      <c r="J23" s="211">
        <f>VLOOKUP(R9,'L XII AKL'!$B$9:$BI$43,15)</f>
        <v>0</v>
      </c>
      <c r="K23" s="212"/>
      <c r="L23" s="14">
        <f t="shared" si="0"/>
        <v>0</v>
      </c>
      <c r="M23" s="14" t="str">
        <f t="shared" si="1"/>
        <v>D</v>
      </c>
      <c r="N23"/>
      <c r="O23" s="320" t="s">
        <v>139</v>
      </c>
      <c r="P23" s="323"/>
      <c r="Q23" s="323"/>
      <c r="R23" s="324"/>
      <c r="S23"/>
    </row>
    <row r="24" spans="2:19" s="12" customFormat="1" ht="16.5" thickBot="1" x14ac:dyDescent="0.3">
      <c r="B24" s="11">
        <v>5</v>
      </c>
      <c r="C24" s="187" t="s">
        <v>43</v>
      </c>
      <c r="D24" s="187"/>
      <c r="E24" s="187"/>
      <c r="F24" s="209">
        <f>'MP XII AKL'!G11</f>
        <v>60</v>
      </c>
      <c r="G24" s="210"/>
      <c r="H24" s="211">
        <f>VLOOKUP(R9,'L XII AKL'!$B$9:$BI$43,17)</f>
        <v>0</v>
      </c>
      <c r="I24" s="212"/>
      <c r="J24" s="211">
        <f>VLOOKUP(R9,'L XII AKL'!$B$9:$BI$43,18)</f>
        <v>0</v>
      </c>
      <c r="K24" s="212"/>
      <c r="L24" s="14">
        <f t="shared" si="0"/>
        <v>0</v>
      </c>
      <c r="M24" s="14" t="str">
        <f t="shared" si="1"/>
        <v>D</v>
      </c>
      <c r="N24"/>
      <c r="O24" s="48" t="s">
        <v>141</v>
      </c>
      <c r="P24" s="49" t="s">
        <v>142</v>
      </c>
      <c r="Q24" s="49"/>
      <c r="R24" s="50" t="s">
        <v>138</v>
      </c>
      <c r="S24"/>
    </row>
    <row r="25" spans="2:19" s="12" customFormat="1" ht="15.75" x14ac:dyDescent="0.25">
      <c r="B25" s="188" t="s">
        <v>44</v>
      </c>
      <c r="C25" s="188"/>
      <c r="D25" s="188"/>
      <c r="E25" s="188"/>
      <c r="F25" s="188"/>
      <c r="G25" s="188"/>
      <c r="H25" s="188"/>
      <c r="I25" s="188"/>
      <c r="J25" s="188"/>
      <c r="K25" s="188"/>
      <c r="L25" s="188"/>
      <c r="M25" s="188"/>
      <c r="N25"/>
      <c r="O25" s="40">
        <v>95</v>
      </c>
      <c r="P25" s="41">
        <v>100</v>
      </c>
      <c r="Q25" s="45" t="s">
        <v>6</v>
      </c>
      <c r="R25" s="51" t="s">
        <v>137</v>
      </c>
      <c r="S25"/>
    </row>
    <row r="26" spans="2:19" s="12" customFormat="1" ht="15.75" x14ac:dyDescent="0.25">
      <c r="B26" s="13">
        <v>1</v>
      </c>
      <c r="C26" s="187" t="s">
        <v>47</v>
      </c>
      <c r="D26" s="187"/>
      <c r="E26" s="187"/>
      <c r="F26" s="209">
        <f>'MP XII AKL'!G13</f>
        <v>60</v>
      </c>
      <c r="G26" s="210"/>
      <c r="H26" s="211">
        <f>VLOOKUP(R9,'L XII AKL'!$B$9:$BI$43,20)</f>
        <v>0</v>
      </c>
      <c r="I26" s="212"/>
      <c r="J26" s="211">
        <f>VLOOKUP(R9,'L XII AKL'!$B$9:$BI$43,21)</f>
        <v>0</v>
      </c>
      <c r="K26" s="212"/>
      <c r="L26" s="14">
        <f>IF(J26=0,H26,AVERAGE(H26:K26))</f>
        <v>0</v>
      </c>
      <c r="M26" s="14" t="str">
        <f>IF(F26=60,IF(AND(L26&gt;=$O$25,L26&lt;$P$25),$R$25,IF(AND(L26&gt;=$O$26,L26&lt;=$P$26),$R$26,IF(AND(L26&gt;=$O$27,L26&lt;=$P$27),$R$27,IF(AND(L26&gt;=$O$28,L26&lt;=$P$28),$R$28,IF(AND(L26&gt;=$O$29,L26&lt;=$P$29),$R$29,IF(AND(L26&gt;=$O$30,L26&lt;=$P$30),$R$30,IF(AND(L26&gt;=$O$31,L26&lt;=$P$31),$R$31,IF(AND(L26&gt;=$O$32,L26&lt;$P$32),$R$32,IF(AND(L26&gt;$O$33,L26&lt;$P$33),$R$33,IF(AND(L26&lt;=$P$34),$R$34,0)))))))))),IF(F26=70,IF(AND(L26&gt;$O$38,L26&lt;$P$38),$R$38,IF(AND(L26&gt;=$O$39,L26&lt;=$P$39),$R$39,IF(AND(L26&gt;=$O$40,L26&lt;=$P$40),$R$40,IF(AND(L26&gt;=$O$41,L26&lt;=$P$41),$R$41,IF(AND(L26&gt;=$O$42,L26&lt;=$P$42),$R$42,IF(AND(L26&gt;=$O$43,L26&lt;=$P$43),$R$43,IF(AND(L26&gt;=$O$44,L26&lt;=$P$44),$R$44,IF(AND(L26&gt;=$O$45,L26&lt;$P$45),$R$45,IF(AND(L26&gt;$O$46,L26&lt;$P$46),$R$46,IF(AND(L26&lt;=$P$47),$R$47,0))))))))))))</f>
        <v>D</v>
      </c>
      <c r="N26"/>
      <c r="O26" s="42">
        <v>90</v>
      </c>
      <c r="P26" s="110">
        <v>94.99</v>
      </c>
      <c r="Q26" s="47" t="s">
        <v>6</v>
      </c>
      <c r="R26" s="52" t="s">
        <v>136</v>
      </c>
      <c r="S26"/>
    </row>
    <row r="27" spans="2:19" s="12" customFormat="1" ht="15.75" x14ac:dyDescent="0.25">
      <c r="B27" s="13">
        <v>2</v>
      </c>
      <c r="C27" s="187" t="s">
        <v>48</v>
      </c>
      <c r="D27" s="187"/>
      <c r="E27" s="187"/>
      <c r="F27" s="209">
        <f>'MP XII AKL'!G14</f>
        <v>60</v>
      </c>
      <c r="G27" s="210"/>
      <c r="H27" s="211">
        <f>VLOOKUP(R9,'L XII AKL'!$B$9:$BI$43,23)</f>
        <v>0</v>
      </c>
      <c r="I27" s="212"/>
      <c r="J27" s="211">
        <f>VLOOKUP(R9,'L XII AKL'!$B$9:$BI$43,24)</f>
        <v>0</v>
      </c>
      <c r="K27" s="212"/>
      <c r="L27" s="14">
        <f t="shared" ref="L27" si="2">IF(J27=0,H27,AVERAGE(H27:K27))</f>
        <v>0</v>
      </c>
      <c r="M27" s="14" t="str">
        <f>IF(F27=60,IF(AND(L27&gt;=$O$25,L27&lt;$P$25),$R$25,IF(AND(L27&gt;=$O$26,L27&lt;=$P$26),$R$26,IF(AND(L27&gt;=$O$27,L27&lt;=$P$27),$R$27,IF(AND(L27&gt;=$O$28,L27&lt;=$P$28),$R$28,IF(AND(L27&gt;=$O$29,L27&lt;=$P$29),$R$29,IF(AND(L27&gt;=$O$30,L27&lt;=$P$30),$R$30,IF(AND(L27&gt;=$O$31,L27&lt;=$P$31),$R$31,IF(AND(L27&gt;=$O$32,L27&lt;$P$32),$R$32,IF(AND(L27&gt;$O$33,L27&lt;$P$33),$R$33,IF(AND(L27&lt;=$P$34),$R$34,0)))))))))),IF(F27=70,IF(AND(L27&gt;$O$38,L27&lt;$P$38),$R$38,IF(AND(L27&gt;=$O$39,L27&lt;=$P$39),$R$39,IF(AND(L27&gt;=$O$40,L27&lt;=$P$40),$R$40,IF(AND(L27&gt;=$O$41,L27&lt;=$P$41),$R$41,IF(AND(L27&gt;=$O$42,L27&lt;=$P$42),$R$42,IF(AND(L27&gt;=$O$43,L27&lt;=$P$43),$R$43,IF(AND(L27&gt;=$O$44,L27&lt;=$P$44),$R$44,IF(AND(L27&gt;=$O$45,L27&lt;$P$45),$R$45,IF(AND(L27&gt;$O$46,L27&lt;$P$46),$R$46,IF(AND(L27&lt;=$P$47),$R$47,0))))))))))))</f>
        <v>D</v>
      </c>
      <c r="N27"/>
      <c r="O27" s="42">
        <v>85</v>
      </c>
      <c r="P27" s="110">
        <v>89.99</v>
      </c>
      <c r="Q27" s="47" t="s">
        <v>6</v>
      </c>
      <c r="R27" s="52" t="s">
        <v>135</v>
      </c>
      <c r="S27"/>
    </row>
    <row r="28" spans="2:19" s="12" customFormat="1" ht="15.75" x14ac:dyDescent="0.25">
      <c r="B28" s="188" t="s">
        <v>49</v>
      </c>
      <c r="C28" s="188"/>
      <c r="D28" s="188"/>
      <c r="E28" s="188"/>
      <c r="F28" s="188"/>
      <c r="G28" s="188"/>
      <c r="H28" s="188"/>
      <c r="I28" s="188"/>
      <c r="J28" s="188"/>
      <c r="K28" s="188"/>
      <c r="L28" s="188"/>
      <c r="M28" s="188"/>
      <c r="N28"/>
      <c r="O28" s="42">
        <v>80</v>
      </c>
      <c r="P28" s="110">
        <v>84.99</v>
      </c>
      <c r="Q28" s="47" t="s">
        <v>6</v>
      </c>
      <c r="R28" s="52" t="s">
        <v>134</v>
      </c>
      <c r="S28"/>
    </row>
    <row r="29" spans="2:19" s="12" customFormat="1" ht="15.75" x14ac:dyDescent="0.25">
      <c r="B29" s="188" t="s">
        <v>78</v>
      </c>
      <c r="C29" s="188"/>
      <c r="D29" s="188"/>
      <c r="E29" s="188"/>
      <c r="F29" s="188"/>
      <c r="G29" s="188"/>
      <c r="H29" s="188"/>
      <c r="I29" s="188"/>
      <c r="J29" s="188"/>
      <c r="K29" s="188"/>
      <c r="L29" s="188"/>
      <c r="M29" s="188"/>
      <c r="N29"/>
      <c r="O29" s="42">
        <v>75</v>
      </c>
      <c r="P29" s="110">
        <v>79.989999999999995</v>
      </c>
      <c r="Q29" s="47" t="s">
        <v>6</v>
      </c>
      <c r="R29" s="52" t="s">
        <v>118</v>
      </c>
      <c r="S29"/>
    </row>
    <row r="30" spans="2:19" s="12" customFormat="1" ht="15.75" x14ac:dyDescent="0.25">
      <c r="B30" s="13">
        <v>1</v>
      </c>
      <c r="C30" s="187" t="s">
        <v>79</v>
      </c>
      <c r="D30" s="187"/>
      <c r="E30" s="187"/>
      <c r="F30" s="209">
        <f>'MP XII AKL'!G17</f>
        <v>70</v>
      </c>
      <c r="G30" s="210"/>
      <c r="H30" s="211">
        <f>VLOOKUP(R9,'L XII AKL'!$B$9:$BI$43,26)</f>
        <v>0</v>
      </c>
      <c r="I30" s="212"/>
      <c r="J30" s="211">
        <f>VLOOKUP(R9,'L XII AKL'!$B$9:$BI$43,27)</f>
        <v>0</v>
      </c>
      <c r="K30" s="212"/>
      <c r="L30" s="14">
        <f>IF(J30=0,H30,AVERAGE(H30:K30))</f>
        <v>0</v>
      </c>
      <c r="M30" s="14" t="str">
        <f>IF(F30=60,IF(AND(L30&gt;=$O$25,L30&lt;$P$25),$R$25,IF(AND(L30&gt;=$O$26,L30&lt;=$P$26),$R$26,IF(AND(L30&gt;=$O$27,L30&lt;=$P$27),$R$27,IF(AND(L30&gt;=$O$28,L30&lt;=$P$28),$R$28,IF(AND(L30&gt;=$O$29,L30&lt;=$P$29),$R$29,IF(AND(L30&gt;=$O$30,L30&lt;=$P$30),$R$30,IF(AND(L30&gt;=$O$31,L30&lt;=$P$31),$R$31,IF(AND(L30&gt;=$O$32,L30&lt;$P$32),$R$32,IF(AND(L30&gt;$O$33,L30&lt;$P$33),$R$33,IF(AND(L30&lt;=$P$34),$R$34,0)))))))))),IF(F30=70,IF(AND(L30&gt;$O$38,L30&lt;$P$38),$R$38,IF(AND(L30&gt;=$O$39,L30&lt;=$P$39),$R$39,IF(AND(L30&gt;=$O$40,L30&lt;=$P$40),$R$40,IF(AND(L30&gt;=$O$41,L30&lt;=$P$41),$R$41,IF(AND(L30&gt;=$O$42,L30&lt;=$P$42),$R$42,IF(AND(L30&gt;=$O$43,L30&lt;=$P$43),$R$43,IF(AND(L30&gt;=$O$44,L30&lt;=$P$44),$R$44,IF(AND(L30&gt;=$O$45,L30&lt;$P$45),$R$45,IF(AND(L30&gt;$O$46,L30&lt;$P$46),$R$46,IF(AND(L30&lt;=$P$47),$R$47,0))))))))))))</f>
        <v>D</v>
      </c>
      <c r="N30"/>
      <c r="O30" s="42">
        <v>70</v>
      </c>
      <c r="P30" s="110">
        <v>74.989999999999995</v>
      </c>
      <c r="Q30" s="47" t="s">
        <v>6</v>
      </c>
      <c r="R30" s="52" t="s">
        <v>133</v>
      </c>
      <c r="S30"/>
    </row>
    <row r="31" spans="2:19" s="12" customFormat="1" ht="15.75" x14ac:dyDescent="0.25">
      <c r="B31" s="13">
        <v>2</v>
      </c>
      <c r="C31" s="187" t="s">
        <v>80</v>
      </c>
      <c r="D31" s="187"/>
      <c r="E31" s="187"/>
      <c r="F31" s="209">
        <f>'MP XII AKL'!G18</f>
        <v>70</v>
      </c>
      <c r="G31" s="210"/>
      <c r="H31" s="211">
        <f>VLOOKUP(R9,'L XII AKL'!$B$9:$BI$43,29)</f>
        <v>0</v>
      </c>
      <c r="I31" s="212"/>
      <c r="J31" s="211">
        <f>VLOOKUP(R9,'L XII AKL'!$B$9:$BI$43,30)</f>
        <v>0</v>
      </c>
      <c r="K31" s="212"/>
      <c r="L31" s="14">
        <f t="shared" ref="L31:L35" si="3">IF(J31=0,H31,AVERAGE(H31:K31))</f>
        <v>0</v>
      </c>
      <c r="M31" s="14" t="str">
        <f t="shared" ref="M31:M35" si="4">IF(F31=60,IF(AND(L31&gt;=$O$25,L31&lt;$P$25),$R$25,IF(AND(L31&gt;=$O$26,L31&lt;=$P$26),$R$26,IF(AND(L31&gt;=$O$27,L31&lt;=$P$27),$R$27,IF(AND(L31&gt;=$O$28,L31&lt;=$P$28),$R$28,IF(AND(L31&gt;=$O$29,L31&lt;=$P$29),$R$29,IF(AND(L31&gt;=$O$30,L31&lt;=$P$30),$R$30,IF(AND(L31&gt;=$O$31,L31&lt;=$P$31),$R$31,IF(AND(L31&gt;=$O$32,L31&lt;$P$32),$R$32,IF(AND(L31&gt;$O$33,L31&lt;$P$33),$R$33,IF(AND(L31&lt;=$P$34),$R$34,0)))))))))),IF(F31=70,IF(AND(L31&gt;$O$38,L31&lt;$P$38),$R$38,IF(AND(L31&gt;=$O$39,L31&lt;=$P$39),$R$39,IF(AND(L31&gt;=$O$40,L31&lt;=$P$40),$R$40,IF(AND(L31&gt;=$O$41,L31&lt;=$P$41),$R$41,IF(AND(L31&gt;=$O$42,L31&lt;=$P$42),$R$42,IF(AND(L31&gt;=$O$43,L31&lt;=$P$43),$R$43,IF(AND(L31&gt;=$O$44,L31&lt;=$P$44),$R$44,IF(AND(L31&gt;=$O$45,L31&lt;$P$45),$R$45,IF(AND(L31&gt;$O$46,L31&lt;$P$46),$R$46,IF(AND(L31&lt;=$P$47),$R$47,0))))))))))))</f>
        <v>D</v>
      </c>
      <c r="N31"/>
      <c r="O31" s="42">
        <v>65</v>
      </c>
      <c r="P31" s="110">
        <v>69.989999999999995</v>
      </c>
      <c r="Q31" s="47" t="s">
        <v>6</v>
      </c>
      <c r="R31" s="52" t="s">
        <v>132</v>
      </c>
      <c r="S31"/>
    </row>
    <row r="32" spans="2:19" s="12" customFormat="1" ht="15.75" x14ac:dyDescent="0.25">
      <c r="B32" s="13">
        <v>3</v>
      </c>
      <c r="C32" s="183" t="s">
        <v>65</v>
      </c>
      <c r="D32" s="183"/>
      <c r="E32" s="183"/>
      <c r="F32" s="209">
        <f>'MP XII AKL'!G19</f>
        <v>70</v>
      </c>
      <c r="G32" s="210"/>
      <c r="H32" s="211">
        <f>VLOOKUP(R9,'L XII AKL'!$B$9:$BI$43,32)</f>
        <v>0</v>
      </c>
      <c r="I32" s="212"/>
      <c r="J32" s="211">
        <f>VLOOKUP(R9,'L XII AKL'!$B$9:$BI$43,33)</f>
        <v>0</v>
      </c>
      <c r="K32" s="212"/>
      <c r="L32" s="14">
        <f t="shared" si="3"/>
        <v>0</v>
      </c>
      <c r="M32" s="14" t="str">
        <f t="shared" si="4"/>
        <v>D</v>
      </c>
      <c r="N32"/>
      <c r="O32" s="42">
        <v>60</v>
      </c>
      <c r="P32" s="110">
        <v>64.989999999999995</v>
      </c>
      <c r="Q32" s="47" t="s">
        <v>6</v>
      </c>
      <c r="R32" s="52" t="s">
        <v>131</v>
      </c>
      <c r="S32"/>
    </row>
    <row r="33" spans="2:18" ht="15.75" x14ac:dyDescent="0.25">
      <c r="B33" s="13">
        <v>4</v>
      </c>
      <c r="C33" s="187" t="s">
        <v>81</v>
      </c>
      <c r="D33" s="187"/>
      <c r="E33" s="187"/>
      <c r="F33" s="209">
        <f>'MP XII AKL'!G20</f>
        <v>70</v>
      </c>
      <c r="G33" s="210"/>
      <c r="H33" s="211">
        <f>VLOOKUP(R9,'L XII AKL'!$B$9:$BI$43,35)</f>
        <v>0</v>
      </c>
      <c r="I33" s="212"/>
      <c r="J33" s="211">
        <f>VLOOKUP(R9,'L XII AKL'!$B$9:$BI$43,36)</f>
        <v>0</v>
      </c>
      <c r="K33" s="212"/>
      <c r="L33" s="14">
        <f t="shared" si="3"/>
        <v>0</v>
      </c>
      <c r="M33" s="14" t="str">
        <f t="shared" si="4"/>
        <v>D</v>
      </c>
      <c r="O33" s="42">
        <v>55</v>
      </c>
      <c r="P33" s="110">
        <v>59.99</v>
      </c>
      <c r="Q33" s="47" t="s">
        <v>6</v>
      </c>
      <c r="R33" s="52" t="s">
        <v>130</v>
      </c>
    </row>
    <row r="34" spans="2:18" ht="16.5" thickBot="1" x14ac:dyDescent="0.3">
      <c r="B34" s="13">
        <v>5</v>
      </c>
      <c r="C34" s="183" t="s">
        <v>82</v>
      </c>
      <c r="D34" s="183"/>
      <c r="E34" s="183"/>
      <c r="F34" s="209">
        <f>'MP XII AKL'!G21</f>
        <v>70</v>
      </c>
      <c r="G34" s="210"/>
      <c r="H34" s="211">
        <f>VLOOKUP(R9,'L XII AKL'!$B$9:$BI$43,38)</f>
        <v>0</v>
      </c>
      <c r="I34" s="212"/>
      <c r="J34" s="211">
        <f>VLOOKUP(R9,'L XII AKL'!$B$9:$BI$43,39)</f>
        <v>0</v>
      </c>
      <c r="K34" s="212"/>
      <c r="L34" s="14">
        <f t="shared" si="3"/>
        <v>0</v>
      </c>
      <c r="M34" s="14" t="str">
        <f t="shared" si="4"/>
        <v>D</v>
      </c>
      <c r="O34" s="43">
        <v>50</v>
      </c>
      <c r="P34" s="111">
        <v>54.99</v>
      </c>
      <c r="Q34" s="49" t="s">
        <v>6</v>
      </c>
      <c r="R34" s="50" t="s">
        <v>129</v>
      </c>
    </row>
    <row r="35" spans="2:18" ht="16.5" thickBot="1" x14ac:dyDescent="0.3">
      <c r="B35" s="13">
        <v>6</v>
      </c>
      <c r="C35" s="183" t="s">
        <v>83</v>
      </c>
      <c r="D35" s="183"/>
      <c r="E35" s="183"/>
      <c r="F35" s="209">
        <f>'MP XII AKL'!G22</f>
        <v>70</v>
      </c>
      <c r="G35" s="210"/>
      <c r="H35" s="211">
        <f>VLOOKUP(R9,'L XII AKL'!$B$9:$BI$43,41)</f>
        <v>0</v>
      </c>
      <c r="I35" s="212"/>
      <c r="J35" s="211">
        <f>VLOOKUP(R9,'L XII AKL'!$B$9:$BI$43,42)</f>
        <v>0</v>
      </c>
      <c r="K35" s="212"/>
      <c r="L35" s="14">
        <f t="shared" si="3"/>
        <v>0</v>
      </c>
      <c r="M35" s="14" t="str">
        <f t="shared" si="4"/>
        <v>D</v>
      </c>
      <c r="O35" s="20"/>
      <c r="P35" s="20"/>
      <c r="Q35" s="20"/>
      <c r="R35" s="20"/>
    </row>
    <row r="36" spans="2:18" ht="15.75" x14ac:dyDescent="0.25">
      <c r="B36" s="213" t="s">
        <v>60</v>
      </c>
      <c r="C36" s="214"/>
      <c r="D36" s="214"/>
      <c r="E36" s="214"/>
      <c r="F36" s="214"/>
      <c r="G36" s="215"/>
      <c r="H36" s="216">
        <f>VLOOKUP(R9,'L XII AKL'!$B$9:$BI$43,59)</f>
        <v>280</v>
      </c>
      <c r="I36" s="216"/>
      <c r="J36" s="216"/>
      <c r="K36" s="216"/>
      <c r="L36" s="216"/>
      <c r="M36" s="216"/>
      <c r="O36" s="320" t="s">
        <v>140</v>
      </c>
      <c r="P36" s="321"/>
      <c r="Q36" s="321"/>
      <c r="R36" s="322"/>
    </row>
    <row r="37" spans="2:18" ht="16.5" thickBot="1" x14ac:dyDescent="0.3">
      <c r="B37" s="205" t="s">
        <v>61</v>
      </c>
      <c r="C37" s="206"/>
      <c r="D37" s="206"/>
      <c r="E37" s="206"/>
      <c r="F37" s="206"/>
      <c r="G37" s="207"/>
      <c r="H37" s="208">
        <f>VLOOKUP(R9,'L XII AKL'!$B$9:$BI$43,60)</f>
        <v>1</v>
      </c>
      <c r="I37" s="208"/>
      <c r="J37" s="208"/>
      <c r="K37" s="208"/>
      <c r="L37" s="208"/>
      <c r="M37" s="208"/>
      <c r="O37" s="48" t="s">
        <v>141</v>
      </c>
      <c r="P37" s="49" t="s">
        <v>142</v>
      </c>
      <c r="Q37" s="49"/>
      <c r="R37" s="50" t="s">
        <v>138</v>
      </c>
    </row>
    <row r="38" spans="2:18" ht="15.75" x14ac:dyDescent="0.25">
      <c r="B38" s="1"/>
      <c r="C38" s="1"/>
      <c r="D38" s="1"/>
      <c r="E38" s="1"/>
      <c r="F38" s="1"/>
      <c r="G38" s="1"/>
      <c r="H38" s="1"/>
      <c r="I38" s="1"/>
      <c r="J38" s="1"/>
      <c r="K38" s="1"/>
      <c r="L38" s="1"/>
      <c r="M38" s="1"/>
      <c r="O38" s="44">
        <v>98</v>
      </c>
      <c r="P38" s="45">
        <v>100</v>
      </c>
      <c r="Q38" s="45" t="s">
        <v>6</v>
      </c>
      <c r="R38" s="51" t="s">
        <v>137</v>
      </c>
    </row>
    <row r="39" spans="2:18" ht="15.75" x14ac:dyDescent="0.25">
      <c r="B39" s="1"/>
      <c r="C39" s="1"/>
      <c r="D39" s="1"/>
      <c r="E39" s="1"/>
      <c r="F39" s="1"/>
      <c r="G39" s="1"/>
      <c r="H39" s="203" t="str">
        <f>ID!G11</f>
        <v>31 MARET 2023</v>
      </c>
      <c r="I39" s="203"/>
      <c r="J39" s="203"/>
      <c r="K39" s="203"/>
      <c r="L39" s="203"/>
      <c r="M39" s="203"/>
      <c r="O39" s="46">
        <v>94</v>
      </c>
      <c r="P39" s="47">
        <v>97.99</v>
      </c>
      <c r="Q39" s="47" t="s">
        <v>6</v>
      </c>
      <c r="R39" s="52" t="s">
        <v>136</v>
      </c>
    </row>
    <row r="40" spans="2:18" ht="15.75" x14ac:dyDescent="0.25">
      <c r="B40" s="203" t="s">
        <v>67</v>
      </c>
      <c r="C40" s="203"/>
      <c r="D40" s="203"/>
      <c r="E40" s="203"/>
      <c r="F40" s="1"/>
      <c r="G40" s="1"/>
      <c r="H40" s="1"/>
      <c r="I40" s="1"/>
      <c r="J40" s="1"/>
      <c r="K40" s="1"/>
      <c r="L40" s="1"/>
      <c r="M40" s="1"/>
      <c r="O40" s="46">
        <v>90</v>
      </c>
      <c r="P40" s="47">
        <v>93.99</v>
      </c>
      <c r="Q40" s="47" t="s">
        <v>6</v>
      </c>
      <c r="R40" s="52" t="s">
        <v>135</v>
      </c>
    </row>
    <row r="41" spans="2:18" ht="15.75" x14ac:dyDescent="0.25">
      <c r="B41" s="203" t="str">
        <f>"Kepala " &amp; ID!G5</f>
        <v>Kepala SMK Pancasila 8 Slogohimo</v>
      </c>
      <c r="C41" s="203"/>
      <c r="D41" s="203"/>
      <c r="E41" s="203"/>
      <c r="F41" s="1"/>
      <c r="G41" s="1"/>
      <c r="H41" s="203" t="s">
        <v>62</v>
      </c>
      <c r="I41" s="203"/>
      <c r="J41" s="203"/>
      <c r="K41" s="203"/>
      <c r="L41" s="203"/>
      <c r="M41" s="203"/>
      <c r="O41" s="46">
        <v>86</v>
      </c>
      <c r="P41" s="47">
        <v>89.99</v>
      </c>
      <c r="Q41" s="47" t="s">
        <v>6</v>
      </c>
      <c r="R41" s="52" t="s">
        <v>134</v>
      </c>
    </row>
    <row r="42" spans="2:18" ht="15.75" x14ac:dyDescent="0.25">
      <c r="B42" s="1"/>
      <c r="C42" s="1"/>
      <c r="D42" s="1"/>
      <c r="E42" s="1"/>
      <c r="F42" s="1"/>
      <c r="G42" s="1"/>
      <c r="H42" s="203"/>
      <c r="I42" s="203"/>
      <c r="J42" s="203"/>
      <c r="K42" s="203"/>
      <c r="L42" s="203"/>
      <c r="M42" s="203"/>
      <c r="O42" s="46">
        <v>82</v>
      </c>
      <c r="P42" s="47">
        <v>85.99</v>
      </c>
      <c r="Q42" s="47" t="s">
        <v>6</v>
      </c>
      <c r="R42" s="52" t="s">
        <v>118</v>
      </c>
    </row>
    <row r="43" spans="2:18" ht="15.75" x14ac:dyDescent="0.25">
      <c r="B43" s="1"/>
      <c r="C43" s="1"/>
      <c r="D43" s="1"/>
      <c r="E43" s="1"/>
      <c r="F43" s="1"/>
      <c r="G43" s="1"/>
      <c r="H43" s="203"/>
      <c r="I43" s="203"/>
      <c r="J43" s="203"/>
      <c r="K43" s="203"/>
      <c r="L43" s="203"/>
      <c r="M43" s="203"/>
      <c r="O43" s="46">
        <v>78</v>
      </c>
      <c r="P43" s="47">
        <v>81.99</v>
      </c>
      <c r="Q43" s="47" t="s">
        <v>6</v>
      </c>
      <c r="R43" s="52" t="s">
        <v>133</v>
      </c>
    </row>
    <row r="44" spans="2:18" ht="15.75" x14ac:dyDescent="0.25">
      <c r="B44" s="1"/>
      <c r="C44" s="1"/>
      <c r="D44" s="1"/>
      <c r="E44" s="1"/>
      <c r="F44" s="1"/>
      <c r="G44" s="1"/>
      <c r="H44" s="203"/>
      <c r="I44" s="203"/>
      <c r="J44" s="203"/>
      <c r="K44" s="203"/>
      <c r="L44" s="203"/>
      <c r="M44" s="203"/>
      <c r="O44" s="46">
        <v>74</v>
      </c>
      <c r="P44" s="47">
        <v>77.989999999999995</v>
      </c>
      <c r="Q44" s="47" t="s">
        <v>6</v>
      </c>
      <c r="R44" s="52" t="s">
        <v>132</v>
      </c>
    </row>
    <row r="45" spans="2:18" ht="15.75" x14ac:dyDescent="0.25">
      <c r="B45" s="204" t="str">
        <f>ID!G6</f>
        <v>Sri Rahayu, S.Pd., SE.</v>
      </c>
      <c r="C45" s="204"/>
      <c r="D45" s="204"/>
      <c r="E45" s="204"/>
      <c r="F45" s="1"/>
      <c r="G45" s="1"/>
      <c r="H45" s="204" t="str">
        <f>ID!G10</f>
        <v>SURADI S.Pd.</v>
      </c>
      <c r="I45" s="204"/>
      <c r="J45" s="204"/>
      <c r="K45" s="204"/>
      <c r="L45" s="204"/>
      <c r="M45" s="204"/>
      <c r="O45" s="46">
        <v>70</v>
      </c>
      <c r="P45" s="47">
        <v>73.989999999999995</v>
      </c>
      <c r="Q45" s="47" t="s">
        <v>6</v>
      </c>
      <c r="R45" s="52" t="s">
        <v>131</v>
      </c>
    </row>
    <row r="46" spans="2:18" ht="15.75" x14ac:dyDescent="0.25">
      <c r="B46" s="4"/>
      <c r="C46" s="4"/>
      <c r="D46" s="4"/>
      <c r="E46" s="4"/>
      <c r="F46" s="1"/>
      <c r="G46" s="1"/>
      <c r="H46" s="4"/>
      <c r="I46" s="4"/>
      <c r="J46" s="4"/>
      <c r="K46" s="4"/>
      <c r="L46" s="4"/>
      <c r="M46" s="4"/>
      <c r="O46" s="46">
        <v>65</v>
      </c>
      <c r="P46" s="47">
        <v>69.989999999999995</v>
      </c>
      <c r="Q46" s="47" t="s">
        <v>6</v>
      </c>
      <c r="R46" s="52" t="s">
        <v>130</v>
      </c>
    </row>
    <row r="47" spans="2:18" ht="16.5" thickBot="1" x14ac:dyDescent="0.3">
      <c r="B47" s="4"/>
      <c r="C47" s="4"/>
      <c r="D47" s="4"/>
      <c r="E47" s="4"/>
      <c r="F47" s="1"/>
      <c r="G47" s="1"/>
      <c r="H47" s="4"/>
      <c r="I47" s="4"/>
      <c r="J47" s="4"/>
      <c r="K47" s="4"/>
      <c r="L47" s="4"/>
      <c r="M47" s="4"/>
      <c r="O47" s="48">
        <v>60</v>
      </c>
      <c r="P47" s="49">
        <v>64.989999999999995</v>
      </c>
      <c r="Q47" s="49" t="s">
        <v>6</v>
      </c>
      <c r="R47" s="50" t="s">
        <v>129</v>
      </c>
    </row>
    <row r="48" spans="2:18" s="12" customFormat="1" ht="7.5" customHeight="1" x14ac:dyDescent="0.25"/>
    <row r="49" spans="2:19" s="12" customFormat="1" ht="0" hidden="1" customHeight="1" x14ac:dyDescent="0.25">
      <c r="B49"/>
      <c r="C49"/>
      <c r="D49"/>
      <c r="E49"/>
      <c r="F49"/>
      <c r="G49"/>
      <c r="H49"/>
      <c r="I49"/>
      <c r="J49"/>
      <c r="K49"/>
      <c r="L49"/>
      <c r="M49"/>
      <c r="N49"/>
      <c r="O49"/>
      <c r="P49"/>
      <c r="Q49"/>
      <c r="R49"/>
      <c r="S49"/>
    </row>
    <row r="50" spans="2:19" s="12" customFormat="1" ht="0" hidden="1" customHeight="1" x14ac:dyDescent="0.25">
      <c r="B50"/>
      <c r="C50"/>
      <c r="D50"/>
      <c r="E50"/>
      <c r="F50"/>
      <c r="G50"/>
      <c r="H50"/>
      <c r="I50"/>
      <c r="J50"/>
      <c r="K50"/>
      <c r="L50"/>
      <c r="M50"/>
      <c r="N50"/>
      <c r="O50"/>
      <c r="P50"/>
      <c r="Q50"/>
      <c r="R50"/>
      <c r="S50"/>
    </row>
    <row r="51" spans="2:19" s="12" customFormat="1" ht="0" hidden="1" customHeight="1" x14ac:dyDescent="0.25">
      <c r="B51"/>
      <c r="C51"/>
      <c r="D51"/>
      <c r="E51"/>
      <c r="F51"/>
      <c r="G51"/>
      <c r="H51"/>
      <c r="I51"/>
      <c r="J51"/>
      <c r="K51"/>
      <c r="L51"/>
      <c r="M51"/>
      <c r="N51"/>
      <c r="O51"/>
      <c r="P51"/>
      <c r="Q51"/>
      <c r="R51"/>
      <c r="S51"/>
    </row>
    <row r="52" spans="2:19" s="12" customFormat="1" ht="0" hidden="1" customHeight="1" x14ac:dyDescent="0.25">
      <c r="B52"/>
      <c r="C52"/>
      <c r="D52"/>
      <c r="E52"/>
      <c r="F52"/>
      <c r="G52"/>
      <c r="H52"/>
      <c r="I52"/>
      <c r="J52"/>
      <c r="K52"/>
      <c r="L52"/>
      <c r="M52"/>
      <c r="N52"/>
      <c r="O52"/>
      <c r="P52"/>
      <c r="Q52"/>
      <c r="R52"/>
      <c r="S52"/>
    </row>
    <row r="53" spans="2:19" s="12" customFormat="1" ht="0" hidden="1" customHeight="1" x14ac:dyDescent="0.25">
      <c r="B53"/>
      <c r="C53"/>
      <c r="D53"/>
      <c r="E53"/>
      <c r="F53"/>
      <c r="G53"/>
      <c r="H53"/>
      <c r="I53"/>
      <c r="J53"/>
      <c r="K53"/>
      <c r="L53"/>
      <c r="M53"/>
      <c r="N53"/>
      <c r="O53"/>
      <c r="P53"/>
      <c r="Q53"/>
      <c r="R53"/>
      <c r="S53"/>
    </row>
    <row r="54" spans="2:19" s="12" customFormat="1" ht="0" hidden="1" customHeight="1" x14ac:dyDescent="0.25">
      <c r="B54"/>
      <c r="C54"/>
      <c r="D54"/>
      <c r="E54"/>
      <c r="F54"/>
      <c r="G54"/>
      <c r="H54"/>
      <c r="I54"/>
      <c r="J54"/>
      <c r="K54"/>
      <c r="L54"/>
      <c r="M54"/>
      <c r="N54"/>
      <c r="O54"/>
      <c r="P54"/>
      <c r="Q54"/>
      <c r="R54"/>
      <c r="S54"/>
    </row>
  </sheetData>
  <sheetProtection selectLockedCells="1"/>
  <mergeCells count="106">
    <mergeCell ref="D2:M2"/>
    <mergeCell ref="V2:AC2"/>
    <mergeCell ref="D3:M3"/>
    <mergeCell ref="V3:AC3"/>
    <mergeCell ref="D4:M4"/>
    <mergeCell ref="V4:AC4"/>
    <mergeCell ref="D9:M9"/>
    <mergeCell ref="P9:Q11"/>
    <mergeCell ref="R9:R11"/>
    <mergeCell ref="V9:AC9"/>
    <mergeCell ref="B10:M10"/>
    <mergeCell ref="B11:M11"/>
    <mergeCell ref="D5:M5"/>
    <mergeCell ref="V5:AC5"/>
    <mergeCell ref="D6:M6"/>
    <mergeCell ref="V6:AC6"/>
    <mergeCell ref="D7:M7"/>
    <mergeCell ref="O7:R8"/>
    <mergeCell ref="V7:AC7"/>
    <mergeCell ref="D8:M8"/>
    <mergeCell ref="V8:AC8"/>
    <mergeCell ref="B15:C15"/>
    <mergeCell ref="E15:F15"/>
    <mergeCell ref="J15:M15"/>
    <mergeCell ref="B16:C16"/>
    <mergeCell ref="E16:F16"/>
    <mergeCell ref="J16:M16"/>
    <mergeCell ref="B12:M12"/>
    <mergeCell ref="P12:Q14"/>
    <mergeCell ref="R12:R14"/>
    <mergeCell ref="B14:C14"/>
    <mergeCell ref="E14:F14"/>
    <mergeCell ref="J14:M14"/>
    <mergeCell ref="C21:E21"/>
    <mergeCell ref="F21:G21"/>
    <mergeCell ref="H21:I21"/>
    <mergeCell ref="J21:K21"/>
    <mergeCell ref="C22:E22"/>
    <mergeCell ref="F22:G22"/>
    <mergeCell ref="H22:I22"/>
    <mergeCell ref="J22:K22"/>
    <mergeCell ref="C18:E18"/>
    <mergeCell ref="F18:G18"/>
    <mergeCell ref="H18:I18"/>
    <mergeCell ref="J18:K18"/>
    <mergeCell ref="B19:M19"/>
    <mergeCell ref="C20:E20"/>
    <mergeCell ref="F20:G20"/>
    <mergeCell ref="H20:I20"/>
    <mergeCell ref="J20:K20"/>
    <mergeCell ref="C23:E23"/>
    <mergeCell ref="F23:G23"/>
    <mergeCell ref="H23:I23"/>
    <mergeCell ref="J23:K23"/>
    <mergeCell ref="O23:R23"/>
    <mergeCell ref="C24:E24"/>
    <mergeCell ref="F24:G24"/>
    <mergeCell ref="H24:I24"/>
    <mergeCell ref="J24:K24"/>
    <mergeCell ref="B25:M25"/>
    <mergeCell ref="C26:E26"/>
    <mergeCell ref="F26:G26"/>
    <mergeCell ref="H26:I26"/>
    <mergeCell ref="J26:K26"/>
    <mergeCell ref="C27:E27"/>
    <mergeCell ref="F27:G27"/>
    <mergeCell ref="H27:I27"/>
    <mergeCell ref="J27:K27"/>
    <mergeCell ref="C31:E31"/>
    <mergeCell ref="F31:G31"/>
    <mergeCell ref="H31:I31"/>
    <mergeCell ref="J31:K31"/>
    <mergeCell ref="C32:E32"/>
    <mergeCell ref="F32:G32"/>
    <mergeCell ref="H32:I32"/>
    <mergeCell ref="J32:K32"/>
    <mergeCell ref="B28:M28"/>
    <mergeCell ref="B29:M29"/>
    <mergeCell ref="C30:E30"/>
    <mergeCell ref="F30:G30"/>
    <mergeCell ref="H30:I30"/>
    <mergeCell ref="J30:K30"/>
    <mergeCell ref="C35:E35"/>
    <mergeCell ref="F35:G35"/>
    <mergeCell ref="H35:I35"/>
    <mergeCell ref="J35:K35"/>
    <mergeCell ref="B36:G36"/>
    <mergeCell ref="H36:M36"/>
    <mergeCell ref="C33:E33"/>
    <mergeCell ref="F33:G33"/>
    <mergeCell ref="H33:I33"/>
    <mergeCell ref="J33:K33"/>
    <mergeCell ref="C34:E34"/>
    <mergeCell ref="F34:G34"/>
    <mergeCell ref="H34:I34"/>
    <mergeCell ref="J34:K34"/>
    <mergeCell ref="H42:M44"/>
    <mergeCell ref="B45:E45"/>
    <mergeCell ref="H45:M45"/>
    <mergeCell ref="O36:R36"/>
    <mergeCell ref="B37:G37"/>
    <mergeCell ref="H37:M37"/>
    <mergeCell ref="H39:M39"/>
    <mergeCell ref="B40:E40"/>
    <mergeCell ref="B41:E41"/>
    <mergeCell ref="H41:M41"/>
  </mergeCells>
  <printOptions horizontalCentered="1"/>
  <pageMargins left="0.31496062992125984" right="0.31496062992125984" top="0.74803149606299213" bottom="0.74803149606299213" header="0.31496062992125984" footer="0.31496062992125984"/>
  <pageSetup paperSize="10000" scale="8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Spinner 1">
              <controlPr defaultSize="0" autoPict="0">
                <anchor moveWithCells="1" sizeWithCells="1">
                  <from>
                    <xdr:col>14</xdr:col>
                    <xdr:colOff>28575</xdr:colOff>
                    <xdr:row>8</xdr:row>
                    <xdr:rowOff>0</xdr:rowOff>
                  </from>
                  <to>
                    <xdr:col>14</xdr:col>
                    <xdr:colOff>466725</xdr:colOff>
                    <xdr:row>14</xdr:row>
                    <xdr:rowOff>19050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0">
    <tabColor rgb="FF00B0F0"/>
    <pageSetUpPr fitToPage="1"/>
  </sheetPr>
  <dimension ref="A1:AC64"/>
  <sheetViews>
    <sheetView topLeftCell="A7" workbookViewId="0">
      <selection activeCell="N8" sqref="N8"/>
    </sheetView>
  </sheetViews>
  <sheetFormatPr defaultColWidth="0" defaultRowHeight="0" customHeight="1" zeroHeight="1" x14ac:dyDescent="0.25"/>
  <cols>
    <col min="1" max="1" width="1.5703125" style="12" customWidth="1"/>
    <col min="2" max="2" width="3.85546875" customWidth="1"/>
    <col min="3" max="3" width="16.7109375" customWidth="1"/>
    <col min="4" max="4" width="1.140625" customWidth="1"/>
    <col min="5" max="5" width="22.42578125" customWidth="1"/>
    <col min="6" max="6" width="9.42578125" customWidth="1"/>
    <col min="7" max="7" width="1.85546875" customWidth="1"/>
    <col min="8" max="8" width="16.42578125" customWidth="1"/>
    <col min="9" max="9" width="2.28515625" customWidth="1"/>
    <col min="10" max="10" width="16.140625" customWidth="1"/>
    <col min="11" max="11" width="1.85546875" customWidth="1"/>
    <col min="12" max="12" width="5" customWidth="1"/>
    <col min="13" max="13" width="13.7109375" customWidth="1"/>
    <col min="14" max="14" width="1.7109375" customWidth="1"/>
    <col min="15" max="16" width="9.140625" customWidth="1"/>
    <col min="17" max="17" width="2.42578125" customWidth="1"/>
    <col min="18" max="18" width="16.7109375" customWidth="1"/>
    <col min="19" max="19" width="1" customWidth="1"/>
    <col min="20" max="20" width="1.7109375" style="12" customWidth="1"/>
    <col min="21" max="29" width="0" hidden="1" customWidth="1"/>
    <col min="30" max="16384" width="9.140625" hidden="1"/>
  </cols>
  <sheetData>
    <row r="1" spans="2:29" s="12" customFormat="1" ht="7.5" customHeight="1" x14ac:dyDescent="0.25"/>
    <row r="2" spans="2:29" ht="15.75" x14ac:dyDescent="0.25">
      <c r="C2" s="3"/>
      <c r="D2" s="204" t="s">
        <v>11</v>
      </c>
      <c r="E2" s="204"/>
      <c r="F2" s="204"/>
      <c r="G2" s="204"/>
      <c r="H2" s="204"/>
      <c r="I2" s="204"/>
      <c r="J2" s="204"/>
      <c r="K2" s="204"/>
      <c r="L2" s="204"/>
      <c r="M2" s="204"/>
      <c r="N2" s="20"/>
      <c r="O2" s="20"/>
      <c r="P2" s="20"/>
      <c r="Q2" s="20"/>
      <c r="R2" s="20"/>
      <c r="V2" s="204"/>
      <c r="W2" s="204"/>
      <c r="X2" s="204"/>
      <c r="Y2" s="204"/>
      <c r="Z2" s="204"/>
      <c r="AA2" s="204"/>
      <c r="AB2" s="204"/>
      <c r="AC2" s="204"/>
    </row>
    <row r="3" spans="2:29" ht="15.75" x14ac:dyDescent="0.25">
      <c r="C3" s="3"/>
      <c r="D3" s="204" t="s">
        <v>12</v>
      </c>
      <c r="E3" s="204"/>
      <c r="F3" s="204"/>
      <c r="G3" s="204"/>
      <c r="H3" s="204"/>
      <c r="I3" s="204"/>
      <c r="J3" s="204"/>
      <c r="K3" s="204"/>
      <c r="L3" s="204"/>
      <c r="M3" s="204"/>
      <c r="N3" s="20"/>
      <c r="O3" s="20"/>
      <c r="P3" s="20"/>
      <c r="Q3" s="20"/>
      <c r="R3" s="20"/>
      <c r="V3" s="204"/>
      <c r="W3" s="204"/>
      <c r="X3" s="204"/>
      <c r="Y3" s="204"/>
      <c r="Z3" s="204"/>
      <c r="AA3" s="204"/>
      <c r="AB3" s="204"/>
      <c r="AC3" s="204"/>
    </row>
    <row r="4" spans="2:29" ht="15.75" x14ac:dyDescent="0.25">
      <c r="C4" s="1"/>
      <c r="D4" s="203" t="s">
        <v>13</v>
      </c>
      <c r="E4" s="203"/>
      <c r="F4" s="203"/>
      <c r="G4" s="203"/>
      <c r="H4" s="203"/>
      <c r="I4" s="203"/>
      <c r="J4" s="203"/>
      <c r="K4" s="203"/>
      <c r="L4" s="203"/>
      <c r="M4" s="203"/>
      <c r="N4" s="20"/>
      <c r="O4" s="20"/>
      <c r="P4" s="20"/>
      <c r="Q4" s="20"/>
      <c r="R4" s="20"/>
      <c r="V4" s="203"/>
      <c r="W4" s="203"/>
      <c r="X4" s="203"/>
      <c r="Y4" s="203"/>
      <c r="Z4" s="203"/>
      <c r="AA4" s="203"/>
      <c r="AB4" s="203"/>
      <c r="AC4" s="203"/>
    </row>
    <row r="5" spans="2:29" ht="15.75" x14ac:dyDescent="0.25">
      <c r="C5" s="1"/>
      <c r="D5" s="203" t="s">
        <v>14</v>
      </c>
      <c r="E5" s="203"/>
      <c r="F5" s="203"/>
      <c r="G5" s="203"/>
      <c r="H5" s="203"/>
      <c r="I5" s="203"/>
      <c r="J5" s="203"/>
      <c r="K5" s="203"/>
      <c r="L5" s="203"/>
      <c r="M5" s="203"/>
      <c r="N5" s="20"/>
      <c r="O5" s="20"/>
      <c r="P5" s="20"/>
      <c r="Q5" s="20"/>
      <c r="R5" s="20"/>
      <c r="V5" s="203"/>
      <c r="W5" s="203"/>
      <c r="X5" s="203"/>
      <c r="Y5" s="203"/>
      <c r="Z5" s="203"/>
      <c r="AA5" s="203"/>
      <c r="AB5" s="203"/>
      <c r="AC5" s="203"/>
    </row>
    <row r="6" spans="2:29" ht="16.5" thickBot="1" x14ac:dyDescent="0.3">
      <c r="C6" s="3"/>
      <c r="D6" s="204" t="s">
        <v>1</v>
      </c>
      <c r="E6" s="204"/>
      <c r="F6" s="204"/>
      <c r="G6" s="204"/>
      <c r="H6" s="204"/>
      <c r="I6" s="204"/>
      <c r="J6" s="204"/>
      <c r="K6" s="204"/>
      <c r="L6" s="204"/>
      <c r="M6" s="204"/>
      <c r="N6" s="20"/>
      <c r="O6" s="20"/>
      <c r="P6" s="20"/>
      <c r="Q6" s="20"/>
      <c r="R6" s="20"/>
      <c r="V6" s="204"/>
      <c r="W6" s="204"/>
      <c r="X6" s="204"/>
      <c r="Y6" s="204"/>
      <c r="Z6" s="204"/>
      <c r="AA6" s="204"/>
      <c r="AB6" s="204"/>
      <c r="AC6" s="204"/>
    </row>
    <row r="7" spans="2:29" ht="15.75" x14ac:dyDescent="0.25">
      <c r="C7" s="1"/>
      <c r="D7" s="203" t="s">
        <v>15</v>
      </c>
      <c r="E7" s="203"/>
      <c r="F7" s="203"/>
      <c r="G7" s="203"/>
      <c r="H7" s="203"/>
      <c r="I7" s="203"/>
      <c r="J7" s="203"/>
      <c r="K7" s="203"/>
      <c r="L7" s="203"/>
      <c r="M7" s="203"/>
      <c r="N7" s="20"/>
      <c r="O7" s="233" t="s">
        <v>69</v>
      </c>
      <c r="P7" s="234"/>
      <c r="Q7" s="234"/>
      <c r="R7" s="235"/>
      <c r="S7" s="19"/>
      <c r="V7" s="203"/>
      <c r="W7" s="203"/>
      <c r="X7" s="203"/>
      <c r="Y7" s="203"/>
      <c r="Z7" s="203"/>
      <c r="AA7" s="203"/>
      <c r="AB7" s="203"/>
      <c r="AC7" s="203"/>
    </row>
    <row r="8" spans="2:29" ht="15.75" x14ac:dyDescent="0.25">
      <c r="C8" s="1"/>
      <c r="D8" s="203" t="s">
        <v>16</v>
      </c>
      <c r="E8" s="203"/>
      <c r="F8" s="203"/>
      <c r="G8" s="203"/>
      <c r="H8" s="203"/>
      <c r="I8" s="203"/>
      <c r="J8" s="203"/>
      <c r="K8" s="203"/>
      <c r="L8" s="203"/>
      <c r="M8" s="203"/>
      <c r="N8" s="20"/>
      <c r="O8" s="236"/>
      <c r="P8" s="237"/>
      <c r="Q8" s="237"/>
      <c r="R8" s="238"/>
      <c r="V8" s="203"/>
      <c r="W8" s="203"/>
      <c r="X8" s="203"/>
      <c r="Y8" s="203"/>
      <c r="Z8" s="203"/>
      <c r="AA8" s="203"/>
      <c r="AB8" s="203"/>
      <c r="AC8" s="203"/>
    </row>
    <row r="9" spans="2:29" ht="16.5" thickBot="1" x14ac:dyDescent="0.3">
      <c r="C9" s="2"/>
      <c r="D9" s="230" t="s">
        <v>17</v>
      </c>
      <c r="E9" s="230"/>
      <c r="F9" s="230"/>
      <c r="G9" s="230"/>
      <c r="H9" s="230"/>
      <c r="I9" s="230"/>
      <c r="J9" s="230"/>
      <c r="K9" s="230"/>
      <c r="L9" s="230"/>
      <c r="M9" s="230"/>
      <c r="N9" s="20"/>
      <c r="O9" s="35"/>
      <c r="P9" s="227" t="s">
        <v>70</v>
      </c>
      <c r="Q9" s="227"/>
      <c r="R9" s="228">
        <v>1</v>
      </c>
      <c r="V9" s="230"/>
      <c r="W9" s="230"/>
      <c r="X9" s="230"/>
      <c r="Y9" s="230"/>
      <c r="Z9" s="230"/>
      <c r="AA9" s="230"/>
      <c r="AB9" s="230"/>
      <c r="AC9" s="230"/>
    </row>
    <row r="10" spans="2:29" ht="5.25" customHeight="1" thickTop="1" x14ac:dyDescent="0.25">
      <c r="B10" s="231"/>
      <c r="C10" s="232"/>
      <c r="D10" s="232"/>
      <c r="E10" s="232"/>
      <c r="F10" s="232"/>
      <c r="G10" s="232"/>
      <c r="H10" s="232"/>
      <c r="I10" s="232"/>
      <c r="J10" s="232"/>
      <c r="K10" s="232"/>
      <c r="L10" s="232"/>
      <c r="M10" s="232"/>
      <c r="N10" s="20"/>
      <c r="O10" s="35"/>
      <c r="P10" s="227"/>
      <c r="Q10" s="227"/>
      <c r="R10" s="228"/>
    </row>
    <row r="11" spans="2:29" ht="15.75" x14ac:dyDescent="0.25">
      <c r="B11" s="226" t="str">
        <f>HOME!G6</f>
        <v>HASIL PENILAIAN TENGAH SEMESTER GENAP</v>
      </c>
      <c r="C11" s="226"/>
      <c r="D11" s="226"/>
      <c r="E11" s="226"/>
      <c r="F11" s="226"/>
      <c r="G11" s="226"/>
      <c r="H11" s="226"/>
      <c r="I11" s="226"/>
      <c r="J11" s="226"/>
      <c r="K11" s="226"/>
      <c r="L11" s="226"/>
      <c r="M11" s="226"/>
      <c r="N11" s="20"/>
      <c r="O11" s="35"/>
      <c r="P11" s="227"/>
      <c r="Q11" s="227"/>
      <c r="R11" s="228"/>
    </row>
    <row r="12" spans="2:29" ht="15.75" x14ac:dyDescent="0.25">
      <c r="B12" s="226" t="str">
        <f>"TAHUN PELAJARAN " &amp; HOME!G7</f>
        <v>TAHUN PELAJARAN 2022/2023</v>
      </c>
      <c r="C12" s="226"/>
      <c r="D12" s="226"/>
      <c r="E12" s="226"/>
      <c r="F12" s="226"/>
      <c r="G12" s="226"/>
      <c r="H12" s="226"/>
      <c r="I12" s="226"/>
      <c r="J12" s="226"/>
      <c r="K12" s="226"/>
      <c r="L12" s="226"/>
      <c r="M12" s="226"/>
      <c r="N12" s="20"/>
      <c r="O12" s="35"/>
      <c r="P12" s="227" t="s">
        <v>71</v>
      </c>
      <c r="Q12" s="227"/>
      <c r="R12" s="228">
        <f>COUNTA(NOMINATIF!C6:C40)</f>
        <v>20</v>
      </c>
    </row>
    <row r="13" spans="2:29" ht="8.25" customHeight="1" x14ac:dyDescent="0.25">
      <c r="B13" s="16"/>
      <c r="C13" s="4"/>
      <c r="D13" s="4"/>
      <c r="E13" s="4"/>
      <c r="F13" s="4"/>
      <c r="G13" s="4"/>
      <c r="H13" s="4"/>
      <c r="I13" s="4"/>
      <c r="J13" s="4"/>
      <c r="K13" s="4"/>
      <c r="L13" s="4"/>
      <c r="M13" s="4"/>
      <c r="N13" s="20"/>
      <c r="O13" s="35"/>
      <c r="P13" s="227"/>
      <c r="Q13" s="227"/>
      <c r="R13" s="228"/>
    </row>
    <row r="14" spans="2:29" ht="15.75" x14ac:dyDescent="0.25">
      <c r="B14" s="224" t="s">
        <v>18</v>
      </c>
      <c r="C14" s="224"/>
      <c r="D14" s="1" t="s">
        <v>6</v>
      </c>
      <c r="E14" s="229" t="str">
        <f>VLOOKUP(R9,'L XII AKL'!$B$9:$BI$43,2)</f>
        <v>AFMALA INSAN QOIRUNISA</v>
      </c>
      <c r="F14" s="229"/>
      <c r="G14" s="18"/>
      <c r="H14" s="1" t="s">
        <v>63</v>
      </c>
      <c r="I14" t="s">
        <v>6</v>
      </c>
      <c r="J14" s="225" t="str">
        <f>HOME!G9</f>
        <v>Teknik Komputer dan Informatika</v>
      </c>
      <c r="K14" s="225"/>
      <c r="L14" s="225"/>
      <c r="M14" s="225"/>
      <c r="N14" s="20"/>
      <c r="O14" s="35"/>
      <c r="P14" s="227"/>
      <c r="Q14" s="227"/>
      <c r="R14" s="228"/>
    </row>
    <row r="15" spans="2:29" ht="15.75" x14ac:dyDescent="0.25">
      <c r="B15" s="224" t="s">
        <v>19</v>
      </c>
      <c r="C15" s="224"/>
      <c r="D15" s="1" t="s">
        <v>6</v>
      </c>
      <c r="E15" s="224" t="str">
        <f>VLOOKUP(R9,'L XII AKL'!$B$9:$BI$43,3) &amp; "/" &amp; VLOOKUP(R9,'L XII AKL'!$B$9:$BI$43,4)</f>
        <v>4020/0059023845</v>
      </c>
      <c r="F15" s="224"/>
      <c r="G15" s="17"/>
      <c r="H15" s="1" t="s">
        <v>10</v>
      </c>
      <c r="I15" t="s">
        <v>6</v>
      </c>
      <c r="J15" s="225" t="str">
        <f>ID!G7</f>
        <v>Akuntansi dan Keuangan Lembaga</v>
      </c>
      <c r="K15" s="225"/>
      <c r="L15" s="225"/>
      <c r="M15" s="225"/>
      <c r="N15" s="20"/>
      <c r="O15" s="35"/>
      <c r="P15" s="20"/>
      <c r="Q15" s="20"/>
      <c r="R15" s="36"/>
    </row>
    <row r="16" spans="2:29" ht="15.75" x14ac:dyDescent="0.25">
      <c r="B16" s="224" t="s">
        <v>9</v>
      </c>
      <c r="C16" s="224"/>
      <c r="D16" s="1" t="s">
        <v>6</v>
      </c>
      <c r="E16" s="224" t="str">
        <f>ID!G8</f>
        <v>XII AKL 1</v>
      </c>
      <c r="F16" s="224"/>
      <c r="G16" s="17"/>
      <c r="H16" s="1" t="s">
        <v>20</v>
      </c>
      <c r="I16" t="s">
        <v>6</v>
      </c>
      <c r="J16" s="225" t="str">
        <f>ID!G9</f>
        <v>4/GENAP</v>
      </c>
      <c r="K16" s="225"/>
      <c r="L16" s="225"/>
      <c r="M16" s="225"/>
      <c r="N16" s="20"/>
      <c r="O16" s="35"/>
      <c r="P16" s="20"/>
      <c r="Q16" s="20"/>
      <c r="R16" s="36"/>
    </row>
    <row r="17" spans="2:18" ht="15" x14ac:dyDescent="0.25">
      <c r="N17" s="20"/>
      <c r="O17" s="35"/>
      <c r="P17" s="20"/>
      <c r="Q17" s="20"/>
      <c r="R17" s="36"/>
    </row>
    <row r="18" spans="2:18" ht="31.5" customHeight="1" x14ac:dyDescent="0.25">
      <c r="B18" s="15" t="s">
        <v>32</v>
      </c>
      <c r="C18" s="190" t="s">
        <v>33</v>
      </c>
      <c r="D18" s="190"/>
      <c r="E18" s="190"/>
      <c r="F18" s="222" t="s">
        <v>34</v>
      </c>
      <c r="G18" s="223"/>
      <c r="H18" s="222" t="s">
        <v>35</v>
      </c>
      <c r="I18" s="223"/>
      <c r="J18" s="222" t="s">
        <v>66</v>
      </c>
      <c r="K18" s="223"/>
      <c r="L18" s="15" t="s">
        <v>98</v>
      </c>
      <c r="M18" s="15" t="s">
        <v>36</v>
      </c>
      <c r="N18" s="20"/>
      <c r="O18" s="35"/>
      <c r="P18" s="20"/>
      <c r="Q18" s="20"/>
      <c r="R18" s="36"/>
    </row>
    <row r="19" spans="2:18" ht="15.75" x14ac:dyDescent="0.25">
      <c r="B19" s="188" t="s">
        <v>37</v>
      </c>
      <c r="C19" s="188"/>
      <c r="D19" s="188"/>
      <c r="E19" s="188"/>
      <c r="F19" s="188"/>
      <c r="G19" s="188"/>
      <c r="H19" s="188"/>
      <c r="I19" s="188"/>
      <c r="J19" s="188"/>
      <c r="K19" s="188"/>
      <c r="L19" s="188"/>
      <c r="M19" s="188"/>
      <c r="N19" s="20"/>
      <c r="O19" s="35"/>
      <c r="P19" s="20"/>
      <c r="Q19" s="20"/>
      <c r="R19" s="36"/>
    </row>
    <row r="20" spans="2:18" ht="15.75" x14ac:dyDescent="0.25">
      <c r="B20" s="11">
        <v>1</v>
      </c>
      <c r="C20" s="189" t="s">
        <v>38</v>
      </c>
      <c r="D20" s="189"/>
      <c r="E20" s="189"/>
      <c r="F20" s="209">
        <f>'MP XII AKL'!G7</f>
        <v>60</v>
      </c>
      <c r="G20" s="210"/>
      <c r="H20" s="211">
        <f>VLOOKUP(R9,'L XII AKL'!$B$9:$BI$43,5)</f>
        <v>90</v>
      </c>
      <c r="I20" s="212"/>
      <c r="J20" s="211">
        <f>VLOOKUP(R9,'L XII AKL'!$B$9:$BI$43,6)</f>
        <v>0</v>
      </c>
      <c r="K20" s="212"/>
      <c r="L20" s="13">
        <f>IF(J20=0,H20,AVERAGE(H20:K20))</f>
        <v>90</v>
      </c>
      <c r="M20" s="13" t="str">
        <f>IF(F20=60,IF(AND(L20&gt;$O$25,L20&lt;$P$25),$R$25,IF(AND(L20&gt;=$O$26,L20&lt;=$P$26),$R$26,IF(AND(L20&gt;=$O$27,L20&lt;=$P$27),$R$27,IF(AND(L20&gt;=$O$28,L20&lt;=$P$28),$R$28,IF(AND(L20&gt;=$O$29,L20&lt;=$P$29),$R$29,IF(AND(L20&gt;=$O$30,L20&lt;=$P$30),$R$30,IF(AND(L20&gt;=$O$31,L20&lt;=$P$31),$R$31,IF(AND(L20&gt;=$O$32,L20&lt;$P$32),$R$32,IF(AND(L20&gt;$O$33,L20&lt;$P$33),$R$33,IF(AND(L20&lt;=$P$34),$R$34,0)))))))))),IF(F20=70,IF(AND(L20&gt;$O$38,L20&lt;$P$38),$R$38,IF(AND(L20&gt;=$O$39,L20&lt;=$P$39),$R$39,IF(AND(L20&gt;=$O$40,L20&lt;=$P$40),$R$40,IF(AND(L20&gt;=$O$41,L20&lt;=$P$41),$R$41,IF(AND(L20&gt;=$O$42,L20&lt;=$P$42),$R$42,IF(AND(L20&gt;=$O$43,L20&lt;=$P$43),$R$43,IF(AND(L20&gt;=$O$44,L20&lt;=$P$44),$R$44,IF(AND(L20&gt;=$O$45,L20&lt;$P$45),$R$45,IF(AND(L20&gt;$O$46,L20&lt;$P$46),$R$46,IF(AND(L20&lt;=$P$47),$R$47,0))))))))))))</f>
        <v>A</v>
      </c>
      <c r="N20" s="20"/>
      <c r="O20" s="35"/>
      <c r="P20" s="20"/>
      <c r="Q20" s="20"/>
      <c r="R20" s="36"/>
    </row>
    <row r="21" spans="2:18" ht="16.5" thickBot="1" x14ac:dyDescent="0.3">
      <c r="B21" s="11">
        <v>2</v>
      </c>
      <c r="C21" s="189" t="s">
        <v>39</v>
      </c>
      <c r="D21" s="189"/>
      <c r="E21" s="189"/>
      <c r="F21" s="209">
        <f>'MP XII AKL'!G8</f>
        <v>60</v>
      </c>
      <c r="G21" s="210"/>
      <c r="H21" s="211">
        <f>VLOOKUP(R9,'L XII AKL'!$B$9:$BI$43,8)</f>
        <v>95</v>
      </c>
      <c r="I21" s="212"/>
      <c r="J21" s="211">
        <f>VLOOKUP(R9,'L XII AKL'!$B$9:$BI$43,9)</f>
        <v>0</v>
      </c>
      <c r="K21" s="212"/>
      <c r="L21" s="13">
        <f t="shared" ref="L21:L24" si="0">IF(J21=0,H21,AVERAGE(H21:K21))</f>
        <v>95</v>
      </c>
      <c r="M21" s="13" t="str">
        <f t="shared" ref="M21:M24" si="1">IF(F21=60,IF(AND(L21&gt;$O$25,L21&lt;$P$25),$R$25,IF(AND(L21&gt;=$O$26,L21&lt;=$P$26),$R$26,IF(AND(L21&gt;=$O$27,L21&lt;=$P$27),$R$27,IF(AND(L21&gt;=$O$28,L21&lt;=$P$28),$R$28,IF(AND(L21&gt;=$O$29,L21&lt;=$P$29),$R$29,IF(AND(L21&gt;=$O$30,L21&lt;=$P$30),$R$30,IF(AND(L21&gt;=$O$31,L21&lt;=$P$31),$R$31,IF(AND(L21&gt;=$O$32,L21&lt;$P$32),$R$32,IF(AND(L21&gt;$O$33,L21&lt;$P$33),$R$33,IF(AND(L21&lt;=$P$34),$R$34,0)))))))))),IF(F21=70,IF(AND(L21&gt;$O$38,L21&lt;$P$38),$R$38,IF(AND(L21&gt;=$O$39,L21&lt;=$P$39),$R$39,IF(AND(L21&gt;=$O$40,L21&lt;=$P$40),$R$40,IF(AND(L21&gt;=$O$41,L21&lt;=$P$41),$R$41,IF(AND(L21&gt;=$O$42,L21&lt;=$P$42),$R$42,IF(AND(L21&gt;=$O$43,L21&lt;=$P$43),$R$43,IF(AND(L21&gt;=$O$44,L21&lt;=$P$44),$R$44,IF(AND(L21&gt;=$O$45,L21&lt;$P$45),$R$45,IF(AND(L21&gt;$O$46,L21&lt;$P$46),$R$46,IF(AND(L21&lt;=$P$47),$R$47,0))))))))))))</f>
        <v>A+</v>
      </c>
      <c r="N21" s="20"/>
      <c r="O21" s="37"/>
      <c r="P21" s="38"/>
      <c r="Q21" s="38"/>
      <c r="R21" s="39"/>
    </row>
    <row r="22" spans="2:18" ht="16.5" thickBot="1" x14ac:dyDescent="0.3">
      <c r="B22" s="11">
        <v>3</v>
      </c>
      <c r="C22" s="189" t="s">
        <v>40</v>
      </c>
      <c r="D22" s="189"/>
      <c r="E22" s="189"/>
      <c r="F22" s="209">
        <f>'MP XII AKL'!G9</f>
        <v>60</v>
      </c>
      <c r="G22" s="210"/>
      <c r="H22" s="211">
        <f>VLOOKUP(R9,'L XII AKL'!$B$9:$BI$43,11)</f>
        <v>95</v>
      </c>
      <c r="I22" s="212"/>
      <c r="J22" s="211">
        <f>VLOOKUP(R9,'L XII AKL'!$B$9:$BI$43,12)</f>
        <v>0</v>
      </c>
      <c r="K22" s="212"/>
      <c r="L22" s="13">
        <f t="shared" si="0"/>
        <v>95</v>
      </c>
      <c r="M22" s="13" t="str">
        <f t="shared" si="1"/>
        <v>A+</v>
      </c>
    </row>
    <row r="23" spans="2:18" ht="15.75" x14ac:dyDescent="0.25">
      <c r="B23" s="11">
        <v>4</v>
      </c>
      <c r="C23" s="187" t="s">
        <v>41</v>
      </c>
      <c r="D23" s="187"/>
      <c r="E23" s="187"/>
      <c r="F23" s="209">
        <f>'MP XII AKL'!G10</f>
        <v>60</v>
      </c>
      <c r="G23" s="210"/>
      <c r="H23" s="211">
        <f>VLOOKUP(R9,'L XII AKL'!$B$9:$BI$43,14)</f>
        <v>0</v>
      </c>
      <c r="I23" s="212"/>
      <c r="J23" s="211">
        <f>VLOOKUP(R9,'L XII AKL'!$B$9:$BI$43,15)</f>
        <v>0</v>
      </c>
      <c r="K23" s="212"/>
      <c r="L23" s="13">
        <f t="shared" si="0"/>
        <v>0</v>
      </c>
      <c r="M23" s="13" t="str">
        <f t="shared" si="1"/>
        <v>D</v>
      </c>
      <c r="O23" s="320" t="s">
        <v>139</v>
      </c>
      <c r="P23" s="323"/>
      <c r="Q23" s="323"/>
      <c r="R23" s="324"/>
    </row>
    <row r="24" spans="2:18" ht="16.5" thickBot="1" x14ac:dyDescent="0.3">
      <c r="B24" s="11">
        <v>5</v>
      </c>
      <c r="C24" s="187" t="s">
        <v>43</v>
      </c>
      <c r="D24" s="187"/>
      <c r="E24" s="187"/>
      <c r="F24" s="209">
        <f>'MP XII AKL'!G11</f>
        <v>60</v>
      </c>
      <c r="G24" s="210"/>
      <c r="H24" s="211">
        <f>VLOOKUP(R9,'L XII AKL'!$B$9:$BI$43,17)</f>
        <v>0</v>
      </c>
      <c r="I24" s="212"/>
      <c r="J24" s="211">
        <f>VLOOKUP(R9,'L XII AKL'!$B$9:$BI$43,18)</f>
        <v>0</v>
      </c>
      <c r="K24" s="212"/>
      <c r="L24" s="13">
        <f t="shared" si="0"/>
        <v>0</v>
      </c>
      <c r="M24" s="13" t="str">
        <f t="shared" si="1"/>
        <v>D</v>
      </c>
      <c r="O24" s="48" t="s">
        <v>141</v>
      </c>
      <c r="P24" s="49" t="s">
        <v>142</v>
      </c>
      <c r="Q24" s="49"/>
      <c r="R24" s="50" t="s">
        <v>138</v>
      </c>
    </row>
    <row r="25" spans="2:18" ht="15.75" x14ac:dyDescent="0.25">
      <c r="B25" s="188" t="s">
        <v>44</v>
      </c>
      <c r="C25" s="188"/>
      <c r="D25" s="188"/>
      <c r="E25" s="188"/>
      <c r="F25" s="188"/>
      <c r="G25" s="188"/>
      <c r="H25" s="188"/>
      <c r="I25" s="188"/>
      <c r="J25" s="188"/>
      <c r="K25" s="188"/>
      <c r="L25" s="188"/>
      <c r="M25" s="188"/>
      <c r="O25" s="113">
        <v>94.5</v>
      </c>
      <c r="P25" s="114">
        <v>100</v>
      </c>
      <c r="Q25" s="45" t="s">
        <v>6</v>
      </c>
      <c r="R25" s="51" t="s">
        <v>137</v>
      </c>
    </row>
    <row r="26" spans="2:18" ht="15.75" x14ac:dyDescent="0.25">
      <c r="B26" s="13">
        <v>1</v>
      </c>
      <c r="C26" s="187" t="s">
        <v>47</v>
      </c>
      <c r="D26" s="187"/>
      <c r="E26" s="187"/>
      <c r="F26" s="209">
        <f>'MP XII AKL'!G13</f>
        <v>60</v>
      </c>
      <c r="G26" s="210"/>
      <c r="H26" s="211">
        <f>VLOOKUP(R9,'L XII AKL'!$B$9:$BI$43,20)</f>
        <v>0</v>
      </c>
      <c r="I26" s="212"/>
      <c r="J26" s="211">
        <f>VLOOKUP(R9,'L XII AKL'!$B$9:$BI$43,21)</f>
        <v>0</v>
      </c>
      <c r="K26" s="212"/>
      <c r="L26" s="13">
        <f>IF(J26=0,H26,AVERAGE(H26:K26))</f>
        <v>0</v>
      </c>
      <c r="M26" s="13" t="str">
        <f>IF(F26=60,IF(AND(L26&gt;$O$25,L26&lt;$P$25),$R$25,IF(AND(L26&gt;=$O$26,L26&lt;=$P$26),$R$26,IF(AND(L26&gt;=$O$27,L26&lt;=$P$27),$R$27,IF(AND(L26&gt;=$O$28,L26&lt;=$P$28),$R$28,IF(AND(L26&gt;=$O$29,L26&lt;=$P$29),$R$29,IF(AND(L26&gt;=$O$30,L26&lt;=$P$30),$R$30,IF(AND(L26&gt;=$O$31,L26&lt;=$P$31),$R$31,IF(AND(L26&gt;=$O$32,L26&lt;$P$32),$R$32,IF(AND(L26&gt;$O$33,L26&lt;$P$33),$R$33,IF(AND(L26&lt;=$P$34),$R$34,0)))))))))),IF(F26=70,IF(AND(L26&gt;$O$38,L26&lt;$P$38),$R$38,IF(AND(L26&gt;=$O$39,L26&lt;=$P$39),$R$39,IF(AND(L26&gt;=$O$40,L26&lt;=$P$40),$R$40,IF(AND(L26&gt;=$O$41,L26&lt;=$P$41),$R$41,IF(AND(L26&gt;=$O$42,L26&lt;=$P$42),$R$42,IF(AND(L26&gt;=$O$43,L26&lt;=$P$43),$R$43,IF(AND(L26&gt;=$O$44,L26&lt;=$P$44),$R$44,IF(AND(L26&gt;=$O$45,L26&lt;$P$45),$R$45,IF(AND(L26&gt;$O$46,L26&lt;$P$46),$R$46,IF(AND(L26&lt;=$P$47),$R$47,0))))))))))))</f>
        <v>D</v>
      </c>
      <c r="O26" s="117">
        <v>89.5</v>
      </c>
      <c r="P26" s="110">
        <v>94.49</v>
      </c>
      <c r="Q26" s="47" t="s">
        <v>6</v>
      </c>
      <c r="R26" s="52" t="s">
        <v>136</v>
      </c>
    </row>
    <row r="27" spans="2:18" ht="15.75" x14ac:dyDescent="0.25">
      <c r="B27" s="13">
        <v>2</v>
      </c>
      <c r="C27" s="187" t="s">
        <v>48</v>
      </c>
      <c r="D27" s="187"/>
      <c r="E27" s="187"/>
      <c r="F27" s="209">
        <f>'MP XII AKL'!G14</f>
        <v>60</v>
      </c>
      <c r="G27" s="210"/>
      <c r="H27" s="211">
        <f>VLOOKUP(R9,'L XII AKL'!$B$9:$BI$43,23)</f>
        <v>0</v>
      </c>
      <c r="I27" s="212"/>
      <c r="J27" s="211">
        <f>VLOOKUP(R9,'L XII AKL'!$B$9:$BI$43,24)</f>
        <v>0</v>
      </c>
      <c r="K27" s="212"/>
      <c r="L27" s="13">
        <f t="shared" ref="L27" si="2">IF(J27=0,H27,AVERAGE(H27:K27))</f>
        <v>0</v>
      </c>
      <c r="M27" s="13" t="str">
        <f>IF(F27=60,IF(AND(L27&gt;$O$25,L27&lt;$P$25),$R$25,IF(AND(L27&gt;=$O$26,L27&lt;=$P$26),$R$26,IF(AND(L27&gt;=$O$27,L27&lt;=$P$27),$R$27,IF(AND(L27&gt;=$O$28,L27&lt;=$P$28),$R$28,IF(AND(L27&gt;=$O$29,L27&lt;=$P$29),$R$29,IF(AND(L27&gt;=$O$30,L27&lt;=$P$30),$R$30,IF(AND(L27&gt;=$O$31,L27&lt;=$P$31),$R$31,IF(AND(L27&gt;=$O$32,L27&lt;$P$32),$R$32,IF(AND(L27&gt;$O$33,L27&lt;$P$33),$R$33,IF(AND(L27&lt;=$P$34),$R$34,0)))))))))),IF(F27=70,IF(AND(L27&gt;$O$38,L27&lt;$P$38),$R$38,IF(AND(L27&gt;=$O$39,L27&lt;=$P$39),$R$39,IF(AND(L27&gt;=$O$40,L27&lt;=$P$40),$R$40,IF(AND(L27&gt;=$O$41,L27&lt;=$P$41),$R$41,IF(AND(L27&gt;=$O$42,L27&lt;=$P$42),$R$42,IF(AND(L27&gt;=$O$43,L27&lt;=$P$43),$R$43,IF(AND(L27&gt;=$O$44,L27&lt;=$P$44),$R$44,IF(AND(L27&gt;=$O$45,L27&lt;$P$45),$R$45,IF(AND(L27&gt;$O$46,L27&lt;$P$46),$R$46,IF(AND(L27&lt;=$P$47),$R$47,0))))))))))))</f>
        <v>D</v>
      </c>
      <c r="O27" s="117">
        <v>84.5</v>
      </c>
      <c r="P27" s="110">
        <v>89.49</v>
      </c>
      <c r="Q27" s="47" t="s">
        <v>6</v>
      </c>
      <c r="R27" s="52" t="s">
        <v>135</v>
      </c>
    </row>
    <row r="28" spans="2:18" ht="15.75" x14ac:dyDescent="0.25">
      <c r="B28" s="188" t="s">
        <v>49</v>
      </c>
      <c r="C28" s="188"/>
      <c r="D28" s="188"/>
      <c r="E28" s="188"/>
      <c r="F28" s="188"/>
      <c r="G28" s="188"/>
      <c r="H28" s="188"/>
      <c r="I28" s="188"/>
      <c r="J28" s="188"/>
      <c r="K28" s="188"/>
      <c r="L28" s="188"/>
      <c r="M28" s="188"/>
      <c r="O28" s="117">
        <v>79.5</v>
      </c>
      <c r="P28" s="110">
        <v>84.49</v>
      </c>
      <c r="Q28" s="47" t="s">
        <v>6</v>
      </c>
      <c r="R28" s="52" t="s">
        <v>134</v>
      </c>
    </row>
    <row r="29" spans="2:18" ht="15.75" x14ac:dyDescent="0.25">
      <c r="B29" s="188" t="s">
        <v>78</v>
      </c>
      <c r="C29" s="188"/>
      <c r="D29" s="188"/>
      <c r="E29" s="188"/>
      <c r="F29" s="188"/>
      <c r="G29" s="188"/>
      <c r="H29" s="188"/>
      <c r="I29" s="188"/>
      <c r="J29" s="188"/>
      <c r="K29" s="188"/>
      <c r="L29" s="188"/>
      <c r="M29" s="188"/>
      <c r="O29" s="117">
        <v>74.5</v>
      </c>
      <c r="P29" s="110">
        <v>79.489999999999995</v>
      </c>
      <c r="Q29" s="47" t="s">
        <v>6</v>
      </c>
      <c r="R29" s="52" t="s">
        <v>118</v>
      </c>
    </row>
    <row r="30" spans="2:18" ht="15.75" x14ac:dyDescent="0.25">
      <c r="B30" s="13">
        <v>1</v>
      </c>
      <c r="C30" s="187" t="s">
        <v>215</v>
      </c>
      <c r="D30" s="187"/>
      <c r="E30" s="187"/>
      <c r="F30" s="209">
        <f>'MP XII AKL'!G17</f>
        <v>70</v>
      </c>
      <c r="G30" s="210"/>
      <c r="H30" s="211">
        <f>VLOOKUP(R9,'L XII AKL'!$B$9:$BI$43,26)</f>
        <v>0</v>
      </c>
      <c r="I30" s="212"/>
      <c r="J30" s="211">
        <f>VLOOKUP(R9,'L XII AKL'!$B$9:$BI$43,27)</f>
        <v>0</v>
      </c>
      <c r="K30" s="212"/>
      <c r="L30" s="13">
        <f>IF(J30=0,H30,AVERAGE(H30:K30))</f>
        <v>0</v>
      </c>
      <c r="M30" s="13" t="str">
        <f>IF(F30=60,IF(AND(L30&gt;$O$25,L30&lt;$P$25),$R$25,IF(AND(L30&gt;=$O$26,L30&lt;=$P$26),$R$26,IF(AND(L30&gt;=$O$27,L30&lt;=$P$27),$R$27,IF(AND(L30&gt;=$O$28,L30&lt;=$P$28),$R$28,IF(AND(L30&gt;=$O$29,L30&lt;=$P$29),$R$29,IF(AND(L30&gt;=$O$30,L30&lt;=$P$30),$R$30,IF(AND(L30&gt;=$O$31,L30&lt;=$P$31),$R$31,IF(AND(L30&gt;=$O$32,L30&lt;$P$32),$R$32,IF(AND(L30&gt;$O$33,L30&lt;$P$33),$R$33,IF(AND(L30&lt;=$P$34),$R$34,0)))))))))),IF(F30=70,IF(AND(L30&gt;$O$38,L30&lt;$P$38),$R$38,IF(AND(L30&gt;=$O$39,L30&lt;=$P$39),$R$39,IF(AND(L30&gt;=$O$40,L30&lt;=$P$40),$R$40,IF(AND(L30&gt;=$O$41,L30&lt;=$P$41),$R$41,IF(AND(L30&gt;=$O$42,L30&lt;=$P$42),$R$42,IF(AND(L30&gt;=$O$43,L30&lt;=$P$43),$R$43,IF(AND(L30&gt;=$O$44,L30&lt;=$P$44),$R$44,IF(AND(L30&gt;=$O$45,L30&lt;$P$45),$R$45,IF(AND(L30&gt;$O$46,L30&lt;$P$46),$R$46,IF(AND(L30&lt;=$P$47),$R$47,0))))))))))))</f>
        <v>D</v>
      </c>
      <c r="O30" s="117">
        <v>69.5</v>
      </c>
      <c r="P30" s="110">
        <v>74.489999999999995</v>
      </c>
      <c r="Q30" s="47" t="s">
        <v>6</v>
      </c>
      <c r="R30" s="52" t="s">
        <v>133</v>
      </c>
    </row>
    <row r="31" spans="2:18" ht="15.75" x14ac:dyDescent="0.25">
      <c r="B31" s="13">
        <v>2</v>
      </c>
      <c r="C31" s="187" t="s">
        <v>214</v>
      </c>
      <c r="D31" s="187"/>
      <c r="E31" s="187"/>
      <c r="F31" s="209">
        <f>'MP XII AKL'!G18</f>
        <v>70</v>
      </c>
      <c r="G31" s="210"/>
      <c r="H31" s="211">
        <f>VLOOKUP(R9,'L XII AKL'!$B$9:$BI$43,29)</f>
        <v>0</v>
      </c>
      <c r="I31" s="212"/>
      <c r="J31" s="211">
        <f>VLOOKUP(R9,'L XII AKL'!$B$9:$BI$43,30)</f>
        <v>0</v>
      </c>
      <c r="K31" s="212"/>
      <c r="L31" s="13">
        <f t="shared" ref="L31:L35" si="3">IF(J31=0,H31,AVERAGE(H31:K31))</f>
        <v>0</v>
      </c>
      <c r="M31" s="13" t="str">
        <f t="shared" ref="M31:M35" si="4">IF(F31=60,IF(AND(L31&gt;$O$25,L31&lt;$P$25),$R$25,IF(AND(L31&gt;=$O$26,L31&lt;=$P$26),$R$26,IF(AND(L31&gt;=$O$27,L31&lt;=$P$27),$R$27,IF(AND(L31&gt;=$O$28,L31&lt;=$P$28),$R$28,IF(AND(L31&gt;=$O$29,L31&lt;=$P$29),$R$29,IF(AND(L31&gt;=$O$30,L31&lt;=$P$30),$R$30,IF(AND(L31&gt;=$O$31,L31&lt;=$P$31),$R$31,IF(AND(L31&gt;=$O$32,L31&lt;$P$32),$R$32,IF(AND(L31&gt;$O$33,L31&lt;$P$33),$R$33,IF(AND(L31&lt;=$P$34),$R$34,0)))))))))),IF(F31=70,IF(AND(L31&gt;$O$38,L31&lt;$P$38),$R$38,IF(AND(L31&gt;=$O$39,L31&lt;=$P$39),$R$39,IF(AND(L31&gt;=$O$40,L31&lt;=$P$40),$R$40,IF(AND(L31&gt;=$O$41,L31&lt;=$P$41),$R$41,IF(AND(L31&gt;=$O$42,L31&lt;=$P$42),$R$42,IF(AND(L31&gt;=$O$43,L31&lt;=$P$43),$R$43,IF(AND(L31&gt;=$O$44,L31&lt;=$P$44),$R$44,IF(AND(L31&gt;=$O$45,L31&lt;$P$45),$R$45,IF(AND(L31&gt;$O$46,L31&lt;$P$46),$R$46,IF(AND(L31&lt;=$P$47),$R$47,0))))))))))))</f>
        <v>D</v>
      </c>
      <c r="O31" s="117">
        <v>64.5</v>
      </c>
      <c r="P31" s="110">
        <v>69.489999999999995</v>
      </c>
      <c r="Q31" s="47" t="s">
        <v>6</v>
      </c>
      <c r="R31" s="52" t="s">
        <v>132</v>
      </c>
    </row>
    <row r="32" spans="2:18" ht="15.75" x14ac:dyDescent="0.25">
      <c r="B32" s="13">
        <v>3</v>
      </c>
      <c r="C32" s="183" t="s">
        <v>65</v>
      </c>
      <c r="D32" s="183"/>
      <c r="E32" s="183"/>
      <c r="F32" s="209">
        <f>'MP XII AKL'!G19</f>
        <v>70</v>
      </c>
      <c r="G32" s="210"/>
      <c r="H32" s="211">
        <f>VLOOKUP(R9,'L XII AKL'!$B$9:$BI$43,32)</f>
        <v>0</v>
      </c>
      <c r="I32" s="212"/>
      <c r="J32" s="211">
        <f>VLOOKUP(R9,'L XII AKL'!$B$9:$BI$43,33)</f>
        <v>0</v>
      </c>
      <c r="K32" s="212"/>
      <c r="L32" s="13">
        <f t="shared" si="3"/>
        <v>0</v>
      </c>
      <c r="M32" s="13" t="str">
        <f t="shared" si="4"/>
        <v>D</v>
      </c>
      <c r="O32" s="117">
        <v>59.5</v>
      </c>
      <c r="P32" s="110">
        <v>65.489999999999995</v>
      </c>
      <c r="Q32" s="47" t="s">
        <v>6</v>
      </c>
      <c r="R32" s="52" t="s">
        <v>131</v>
      </c>
    </row>
    <row r="33" spans="2:18" ht="15.75" x14ac:dyDescent="0.25">
      <c r="B33" s="13">
        <v>4</v>
      </c>
      <c r="C33" s="187" t="s">
        <v>81</v>
      </c>
      <c r="D33" s="187"/>
      <c r="E33" s="187"/>
      <c r="F33" s="209">
        <f>'MP XII AKL'!G20</f>
        <v>70</v>
      </c>
      <c r="G33" s="210"/>
      <c r="H33" s="211">
        <f>VLOOKUP(R9,'L XII AKL'!$B$9:$BI$43,35)</f>
        <v>0</v>
      </c>
      <c r="I33" s="212"/>
      <c r="J33" s="211">
        <f>VLOOKUP(R9,'L XII AKL'!$B$9:$BI$43,36)</f>
        <v>0</v>
      </c>
      <c r="K33" s="212"/>
      <c r="L33" s="13">
        <f t="shared" si="3"/>
        <v>0</v>
      </c>
      <c r="M33" s="13" t="str">
        <f t="shared" si="4"/>
        <v>D</v>
      </c>
      <c r="O33" s="117">
        <v>54.5</v>
      </c>
      <c r="P33" s="110">
        <v>59.49</v>
      </c>
      <c r="Q33" s="47" t="s">
        <v>6</v>
      </c>
      <c r="R33" s="52" t="s">
        <v>130</v>
      </c>
    </row>
    <row r="34" spans="2:18" ht="16.5" thickBot="1" x14ac:dyDescent="0.3">
      <c r="B34" s="13">
        <v>5</v>
      </c>
      <c r="C34" s="183" t="s">
        <v>82</v>
      </c>
      <c r="D34" s="183"/>
      <c r="E34" s="183"/>
      <c r="F34" s="209">
        <f>'MP XII AKL'!G21</f>
        <v>70</v>
      </c>
      <c r="G34" s="210"/>
      <c r="H34" s="211">
        <f>VLOOKUP(R9,'L XII AKL'!$B$9:$BI$43,38)</f>
        <v>0</v>
      </c>
      <c r="I34" s="212"/>
      <c r="J34" s="211">
        <f>VLOOKUP(R9,'L XII AKL'!$B$9:$BI$43,39)</f>
        <v>0</v>
      </c>
      <c r="K34" s="212"/>
      <c r="L34" s="13">
        <f t="shared" si="3"/>
        <v>0</v>
      </c>
      <c r="M34" s="13" t="str">
        <f t="shared" si="4"/>
        <v>D</v>
      </c>
      <c r="O34" s="112">
        <v>49.5</v>
      </c>
      <c r="P34" s="111">
        <v>54.49</v>
      </c>
      <c r="Q34" s="49" t="s">
        <v>6</v>
      </c>
      <c r="R34" s="50" t="s">
        <v>129</v>
      </c>
    </row>
    <row r="35" spans="2:18" ht="16.5" thickBot="1" x14ac:dyDescent="0.3">
      <c r="B35" s="13">
        <v>6</v>
      </c>
      <c r="C35" s="183" t="s">
        <v>83</v>
      </c>
      <c r="D35" s="183"/>
      <c r="E35" s="183"/>
      <c r="F35" s="209">
        <f>'MP XII AKL'!G22</f>
        <v>70</v>
      </c>
      <c r="G35" s="210"/>
      <c r="H35" s="211">
        <f>VLOOKUP(R9,'L XII AKL'!$B$9:$BI$43,41)</f>
        <v>0</v>
      </c>
      <c r="I35" s="212"/>
      <c r="J35" s="211">
        <f>VLOOKUP(R9,'L XII AKL'!$B$9:$BI$43,42)</f>
        <v>0</v>
      </c>
      <c r="K35" s="212"/>
      <c r="L35" s="13">
        <f t="shared" si="3"/>
        <v>0</v>
      </c>
      <c r="M35" s="13" t="str">
        <f t="shared" si="4"/>
        <v>D</v>
      </c>
      <c r="O35" s="20"/>
      <c r="P35" s="20"/>
      <c r="Q35" s="20"/>
      <c r="R35" s="20"/>
    </row>
    <row r="36" spans="2:18" ht="15.75" x14ac:dyDescent="0.25">
      <c r="B36" s="209" t="s">
        <v>60</v>
      </c>
      <c r="C36" s="304"/>
      <c r="D36" s="304"/>
      <c r="E36" s="304"/>
      <c r="F36" s="304"/>
      <c r="G36" s="210"/>
      <c r="H36" s="332">
        <f>VLOOKUP(R9,'L XII AKL'!$B$9:$BI$43,59)</f>
        <v>280</v>
      </c>
      <c r="I36" s="332"/>
      <c r="J36" s="332"/>
      <c r="K36" s="332"/>
      <c r="L36" s="332"/>
      <c r="M36" s="332"/>
      <c r="O36" s="320" t="s">
        <v>140</v>
      </c>
      <c r="P36" s="321"/>
      <c r="Q36" s="321"/>
      <c r="R36" s="322"/>
    </row>
    <row r="37" spans="2:18" ht="16.5" thickBot="1" x14ac:dyDescent="0.3">
      <c r="B37" s="240" t="s">
        <v>61</v>
      </c>
      <c r="C37" s="241"/>
      <c r="D37" s="241"/>
      <c r="E37" s="241"/>
      <c r="F37" s="241"/>
      <c r="G37" s="242"/>
      <c r="H37" s="239">
        <f>VLOOKUP(R9,'L XII AKL'!$B$9:$BI$43,60)</f>
        <v>1</v>
      </c>
      <c r="I37" s="239"/>
      <c r="J37" s="239"/>
      <c r="K37" s="239"/>
      <c r="L37" s="239"/>
      <c r="M37" s="239"/>
      <c r="O37" s="48" t="s">
        <v>141</v>
      </c>
      <c r="P37" s="49" t="s">
        <v>142</v>
      </c>
      <c r="Q37" s="49"/>
      <c r="R37" s="50" t="s">
        <v>138</v>
      </c>
    </row>
    <row r="38" spans="2:18" ht="15.75" x14ac:dyDescent="0.25">
      <c r="B38" s="334" t="s">
        <v>165</v>
      </c>
      <c r="C38" s="334"/>
      <c r="D38" s="334"/>
      <c r="E38" s="334"/>
      <c r="F38" s="334"/>
      <c r="G38" s="334"/>
      <c r="H38" s="334"/>
      <c r="I38" s="334"/>
      <c r="J38" s="334"/>
      <c r="K38" s="334"/>
      <c r="L38" s="334"/>
      <c r="M38" s="334"/>
      <c r="O38" s="121">
        <v>96.5</v>
      </c>
      <c r="P38" s="122">
        <v>100</v>
      </c>
      <c r="Q38" s="45" t="s">
        <v>6</v>
      </c>
      <c r="R38" s="51" t="s">
        <v>137</v>
      </c>
    </row>
    <row r="39" spans="2:18" ht="15" x14ac:dyDescent="0.25">
      <c r="B39" s="94" t="s">
        <v>27</v>
      </c>
      <c r="C39" s="267" t="s">
        <v>36</v>
      </c>
      <c r="D39" s="268"/>
      <c r="E39" s="269"/>
      <c r="F39" s="265" t="s">
        <v>172</v>
      </c>
      <c r="G39" s="265"/>
      <c r="H39" s="265"/>
      <c r="I39" s="265"/>
      <c r="J39" s="265"/>
      <c r="K39" s="265"/>
      <c r="L39" s="265"/>
      <c r="M39" s="265"/>
      <c r="O39" s="123">
        <v>93.5</v>
      </c>
      <c r="P39" s="110">
        <v>96.49</v>
      </c>
      <c r="Q39" s="47" t="s">
        <v>6</v>
      </c>
      <c r="R39" s="52" t="s">
        <v>136</v>
      </c>
    </row>
    <row r="40" spans="2:18" ht="15" x14ac:dyDescent="0.25">
      <c r="B40" s="7">
        <v>1</v>
      </c>
      <c r="C40" s="96" t="s">
        <v>166</v>
      </c>
      <c r="D40" s="95" t="s">
        <v>6</v>
      </c>
      <c r="E40" s="109">
        <f>VLOOKUP(R9,'BK &amp; EX &amp; PKL &amp; Press'!$B$9:$BO$66,26,0)</f>
        <v>0</v>
      </c>
      <c r="F40" s="266">
        <f>VLOOKUP(R9,'BK &amp; EX &amp; PKL &amp; Press'!$B$9:$BO$66,27,0)</f>
        <v>0</v>
      </c>
      <c r="G40" s="266"/>
      <c r="H40" s="266"/>
      <c r="I40" s="266"/>
      <c r="J40" s="266"/>
      <c r="K40" s="266"/>
      <c r="L40" s="266"/>
      <c r="M40" s="266"/>
      <c r="O40" s="123">
        <v>89.5</v>
      </c>
      <c r="P40" s="110">
        <v>93.49</v>
      </c>
      <c r="Q40" s="47" t="s">
        <v>6</v>
      </c>
      <c r="R40" s="52" t="s">
        <v>135</v>
      </c>
    </row>
    <row r="41" spans="2:18" ht="15" x14ac:dyDescent="0.25">
      <c r="B41" s="7">
        <v>2</v>
      </c>
      <c r="C41" s="96" t="s">
        <v>159</v>
      </c>
      <c r="D41" s="95" t="s">
        <v>6</v>
      </c>
      <c r="E41" s="109">
        <f>VLOOKUP(R9,'BK &amp; EX &amp; PKL &amp; Press'!$B$9:$BO$66,29,0)</f>
        <v>0</v>
      </c>
      <c r="F41" s="266">
        <f>VLOOKUP(R9,'BK &amp; EX &amp; PKL &amp; Press'!$B$9:$BO$66,30,0)</f>
        <v>0</v>
      </c>
      <c r="G41" s="266"/>
      <c r="H41" s="266"/>
      <c r="I41" s="266"/>
      <c r="J41" s="266"/>
      <c r="K41" s="266"/>
      <c r="L41" s="266"/>
      <c r="M41" s="266"/>
      <c r="O41" s="123">
        <v>85.5</v>
      </c>
      <c r="P41" s="110">
        <v>89.49</v>
      </c>
      <c r="Q41" s="47" t="s">
        <v>6</v>
      </c>
      <c r="R41" s="52" t="s">
        <v>134</v>
      </c>
    </row>
    <row r="42" spans="2:18" ht="15" x14ac:dyDescent="0.25">
      <c r="B42" s="7">
        <v>3</v>
      </c>
      <c r="C42" s="96" t="s">
        <v>167</v>
      </c>
      <c r="D42" s="95" t="s">
        <v>6</v>
      </c>
      <c r="E42" s="109">
        <f>VLOOKUP(R9,'BK &amp; EX &amp; PKL &amp; Press'!$B$9:$BO$66,32,0)</f>
        <v>0</v>
      </c>
      <c r="F42" s="266">
        <f>VLOOKUP(R9,'BK &amp; EX &amp; PKL &amp; Press'!$B$9:$BO$66,33,0)</f>
        <v>0</v>
      </c>
      <c r="G42" s="266"/>
      <c r="H42" s="266"/>
      <c r="I42" s="266"/>
      <c r="J42" s="266"/>
      <c r="K42" s="266"/>
      <c r="L42" s="266"/>
      <c r="M42" s="266"/>
      <c r="O42" s="123">
        <v>81.5</v>
      </c>
      <c r="P42" s="110">
        <v>85.49</v>
      </c>
      <c r="Q42" s="47" t="s">
        <v>6</v>
      </c>
      <c r="R42" s="52" t="s">
        <v>118</v>
      </c>
    </row>
    <row r="43" spans="2:18" ht="15" x14ac:dyDescent="0.25">
      <c r="B43" s="7">
        <v>4</v>
      </c>
      <c r="C43" s="96" t="s">
        <v>168</v>
      </c>
      <c r="D43" s="95" t="s">
        <v>6</v>
      </c>
      <c r="E43" s="109">
        <f>VLOOKUP(R9,'BK &amp; EX &amp; PKL &amp; Press'!$B$9:$BO$66,35,0)</f>
        <v>0</v>
      </c>
      <c r="F43" s="266">
        <f>VLOOKUP(R9,'BK &amp; EX &amp; PKL &amp; Press'!$B$9:$BO$66,36,0)</f>
        <v>0</v>
      </c>
      <c r="G43" s="266"/>
      <c r="H43" s="266"/>
      <c r="I43" s="266"/>
      <c r="J43" s="266"/>
      <c r="K43" s="266"/>
      <c r="L43" s="266"/>
      <c r="M43" s="266"/>
      <c r="O43" s="123">
        <v>77.5</v>
      </c>
      <c r="P43" s="110">
        <v>81.489999999999995</v>
      </c>
      <c r="Q43" s="47" t="s">
        <v>6</v>
      </c>
      <c r="R43" s="52" t="s">
        <v>133</v>
      </c>
    </row>
    <row r="44" spans="2:18" ht="15" x14ac:dyDescent="0.25">
      <c r="B44" s="7">
        <v>5</v>
      </c>
      <c r="C44" s="96" t="s">
        <v>169</v>
      </c>
      <c r="D44" s="95" t="s">
        <v>6</v>
      </c>
      <c r="E44" s="109">
        <f>VLOOKUP(R9,'BK &amp; EX &amp; PKL &amp; Press'!$B$9:$BO$66,38,0)</f>
        <v>0</v>
      </c>
      <c r="F44" s="266">
        <f>VLOOKUP(R9,'BK &amp; EX &amp; PKL &amp; Press'!$B$9:$BO$66,39,0)</f>
        <v>0</v>
      </c>
      <c r="G44" s="266"/>
      <c r="H44" s="266"/>
      <c r="I44" s="266"/>
      <c r="J44" s="266"/>
      <c r="K44" s="266"/>
      <c r="L44" s="266"/>
      <c r="M44" s="266"/>
      <c r="O44" s="123">
        <v>73.5</v>
      </c>
      <c r="P44" s="110">
        <v>77.489999999999995</v>
      </c>
      <c r="Q44" s="47" t="s">
        <v>6</v>
      </c>
      <c r="R44" s="52" t="s">
        <v>132</v>
      </c>
    </row>
    <row r="45" spans="2:18" ht="15" x14ac:dyDescent="0.25">
      <c r="B45" s="7">
        <v>6</v>
      </c>
      <c r="C45" s="96" t="s">
        <v>160</v>
      </c>
      <c r="D45" s="95" t="s">
        <v>6</v>
      </c>
      <c r="E45" s="109">
        <f>VLOOKUP(R9,'BK &amp; EX &amp; PKL &amp; Press'!$B$9:$BO$66,41,0)</f>
        <v>0</v>
      </c>
      <c r="F45" s="266">
        <f>VLOOKUP(R9,'BK &amp; EX &amp; PKL &amp; Press'!$B$9:$BO$66,42,0)</f>
        <v>0</v>
      </c>
      <c r="G45" s="266"/>
      <c r="H45" s="266"/>
      <c r="I45" s="266"/>
      <c r="J45" s="266"/>
      <c r="K45" s="266"/>
      <c r="L45" s="266"/>
      <c r="M45" s="266"/>
      <c r="O45" s="123">
        <v>69.5</v>
      </c>
      <c r="P45" s="110">
        <v>73.489999999999995</v>
      </c>
      <c r="Q45" s="47" t="s">
        <v>6</v>
      </c>
      <c r="R45" s="52" t="s">
        <v>131</v>
      </c>
    </row>
    <row r="46" spans="2:18" ht="15" x14ac:dyDescent="0.25">
      <c r="B46" s="7">
        <v>7</v>
      </c>
      <c r="C46" s="96" t="s">
        <v>170</v>
      </c>
      <c r="D46" s="95" t="s">
        <v>6</v>
      </c>
      <c r="E46" s="109" t="str">
        <f>VLOOKUP(R9,'BK &amp; EX &amp; PKL &amp; Press'!$B$9:$BO$66,44,0)</f>
        <v>A</v>
      </c>
      <c r="F46" s="266" t="str">
        <f>VLOOKUP(R9,'BK &amp; EX &amp; PKL &amp; Press'!$B$9:$BO$66,45,0)</f>
        <v>Ananda AFMALA INSAN QOIRUNISA Sangat baik dalam mengikuti kegiatan ekstrakurikuler Marching Band</v>
      </c>
      <c r="G46" s="266"/>
      <c r="H46" s="266"/>
      <c r="I46" s="266"/>
      <c r="J46" s="266"/>
      <c r="K46" s="266"/>
      <c r="L46" s="266"/>
      <c r="M46" s="266"/>
      <c r="O46" s="123">
        <v>64.5</v>
      </c>
      <c r="P46" s="110">
        <v>69.489999999999995</v>
      </c>
      <c r="Q46" s="47" t="s">
        <v>6</v>
      </c>
      <c r="R46" s="52" t="s">
        <v>130</v>
      </c>
    </row>
    <row r="47" spans="2:18" ht="15.75" thickBot="1" x14ac:dyDescent="0.3">
      <c r="B47" s="7">
        <v>8</v>
      </c>
      <c r="C47" s="96" t="s">
        <v>171</v>
      </c>
      <c r="D47" s="95" t="s">
        <v>6</v>
      </c>
      <c r="E47" s="109">
        <f>VLOOKUP(R9,'BK &amp; EX &amp; PKL &amp; Press'!$B$9:$BO$66,47,0)</f>
        <v>0</v>
      </c>
      <c r="F47" s="266">
        <f>VLOOKUP(R9,'BK &amp; EX &amp; PKL &amp; Press'!$B$9:$BO$66,48,0)</f>
        <v>0</v>
      </c>
      <c r="G47" s="266"/>
      <c r="H47" s="266"/>
      <c r="I47" s="266"/>
      <c r="J47" s="266"/>
      <c r="K47" s="266"/>
      <c r="L47" s="266"/>
      <c r="M47" s="266"/>
      <c r="O47" s="48">
        <v>60.5</v>
      </c>
      <c r="P47" s="111">
        <v>64.489999999999995</v>
      </c>
      <c r="Q47" s="49" t="s">
        <v>6</v>
      </c>
      <c r="R47" s="50" t="s">
        <v>129</v>
      </c>
    </row>
    <row r="48" spans="2:18" ht="19.5" customHeight="1" x14ac:dyDescent="0.25">
      <c r="B48" s="243" t="s">
        <v>173</v>
      </c>
      <c r="C48" s="244"/>
      <c r="D48" s="244"/>
      <c r="E48" s="245"/>
      <c r="F48" s="254" t="s">
        <v>174</v>
      </c>
      <c r="G48" s="254"/>
      <c r="H48" s="254"/>
      <c r="I48" s="97" t="s">
        <v>6</v>
      </c>
      <c r="J48" s="99">
        <f>VLOOKUP(R9,'BK &amp; EX &amp; PKL &amp; Press'!$B$9:$BO$66,56,0)</f>
        <v>0</v>
      </c>
      <c r="K48" s="254" t="s">
        <v>177</v>
      </c>
      <c r="L48" s="254"/>
      <c r="M48" s="257"/>
      <c r="O48" s="103"/>
      <c r="P48" s="103"/>
      <c r="Q48" s="103"/>
      <c r="R48" s="103"/>
    </row>
    <row r="49" spans="2:18" ht="19.5" customHeight="1" x14ac:dyDescent="0.25">
      <c r="B49" s="246"/>
      <c r="C49" s="247"/>
      <c r="D49" s="247"/>
      <c r="E49" s="248"/>
      <c r="F49" s="253" t="s">
        <v>175</v>
      </c>
      <c r="G49" s="253"/>
      <c r="H49" s="253"/>
      <c r="I49" s="6" t="s">
        <v>6</v>
      </c>
      <c r="J49" s="100">
        <f>VLOOKUP(R9,'BK &amp; EX &amp; PKL &amp; Press'!$B$9:$BO$66,57,0)</f>
        <v>1</v>
      </c>
      <c r="K49" s="253" t="s">
        <v>177</v>
      </c>
      <c r="L49" s="253"/>
      <c r="M49" s="256"/>
      <c r="O49" s="103"/>
      <c r="P49" s="103"/>
      <c r="Q49" s="103"/>
      <c r="R49" s="103"/>
    </row>
    <row r="50" spans="2:18" ht="19.5" customHeight="1" x14ac:dyDescent="0.25">
      <c r="B50" s="249"/>
      <c r="C50" s="250"/>
      <c r="D50" s="250"/>
      <c r="E50" s="251"/>
      <c r="F50" s="252" t="s">
        <v>176</v>
      </c>
      <c r="G50" s="252"/>
      <c r="H50" s="252"/>
      <c r="I50" s="98" t="s">
        <v>6</v>
      </c>
      <c r="J50" s="101">
        <f>VLOOKUP(R9,'BK &amp; EX &amp; PKL &amp; Press'!$B$9:$BO$66,58,0)</f>
        <v>0</v>
      </c>
      <c r="K50" s="252" t="s">
        <v>177</v>
      </c>
      <c r="L50" s="252"/>
      <c r="M50" s="255"/>
      <c r="O50" s="103"/>
      <c r="P50" s="103"/>
      <c r="Q50" s="103"/>
      <c r="R50" s="103"/>
    </row>
    <row r="51" spans="2:18" ht="15.75" x14ac:dyDescent="0.25">
      <c r="B51" s="271" t="s">
        <v>178</v>
      </c>
      <c r="C51" s="272"/>
      <c r="D51" s="272"/>
      <c r="E51" s="272"/>
      <c r="F51" s="272"/>
      <c r="G51" s="272"/>
      <c r="H51" s="272"/>
      <c r="I51" s="272"/>
      <c r="J51" s="272"/>
      <c r="K51" s="272"/>
      <c r="L51" s="272"/>
      <c r="M51" s="273"/>
      <c r="O51" s="103"/>
      <c r="P51" s="103"/>
      <c r="Q51" s="103"/>
      <c r="R51" s="103"/>
    </row>
    <row r="52" spans="2:18" ht="15" x14ac:dyDescent="0.25">
      <c r="B52" s="274"/>
      <c r="C52" s="151"/>
      <c r="D52" s="151"/>
      <c r="E52" s="151"/>
      <c r="F52" s="151"/>
      <c r="G52" s="151"/>
      <c r="H52" s="151"/>
      <c r="I52" s="151"/>
      <c r="J52" s="151"/>
      <c r="K52" s="151"/>
      <c r="L52" s="151"/>
      <c r="M52" s="275"/>
      <c r="O52" s="103"/>
      <c r="P52" s="103"/>
      <c r="Q52" s="103"/>
      <c r="R52" s="103"/>
    </row>
    <row r="53" spans="2:18" ht="32.25" customHeight="1" x14ac:dyDescent="0.25">
      <c r="B53" s="276"/>
      <c r="C53" s="277"/>
      <c r="D53" s="277"/>
      <c r="E53" s="277"/>
      <c r="F53" s="277"/>
      <c r="G53" s="277"/>
      <c r="H53" s="277"/>
      <c r="I53" s="277"/>
      <c r="J53" s="277"/>
      <c r="K53" s="277"/>
      <c r="L53" s="277"/>
      <c r="M53" s="278"/>
      <c r="O53" s="103"/>
      <c r="P53" s="103"/>
      <c r="Q53" s="103"/>
      <c r="R53" s="103"/>
    </row>
    <row r="54" spans="2:18" ht="15" x14ac:dyDescent="0.25">
      <c r="B54" s="6"/>
      <c r="C54" s="6"/>
      <c r="D54" s="6"/>
      <c r="E54" s="6"/>
      <c r="F54" s="6"/>
      <c r="G54" s="6"/>
      <c r="H54" s="6"/>
      <c r="I54" s="6"/>
      <c r="J54" s="6"/>
      <c r="K54" s="6"/>
      <c r="L54" s="6"/>
      <c r="M54" s="6"/>
      <c r="O54" s="103"/>
      <c r="P54" s="103"/>
      <c r="Q54" s="103"/>
      <c r="R54" s="103"/>
    </row>
    <row r="55" spans="2:18" ht="15.75" x14ac:dyDescent="0.25">
      <c r="B55" s="1"/>
      <c r="C55" s="1"/>
      <c r="D55" s="1"/>
      <c r="E55" s="1"/>
      <c r="F55" s="1"/>
      <c r="G55" s="1"/>
      <c r="H55" s="1"/>
      <c r="I55" s="1"/>
      <c r="J55" s="129" t="str">
        <f>ID!G11</f>
        <v>31 MARET 2023</v>
      </c>
      <c r="K55" s="129"/>
      <c r="L55" s="129"/>
      <c r="M55" s="129"/>
      <c r="O55" s="103"/>
      <c r="P55" s="103"/>
      <c r="Q55" s="103"/>
      <c r="R55" s="103"/>
    </row>
    <row r="56" spans="2:18" ht="15.75" x14ac:dyDescent="0.25">
      <c r="B56" s="203" t="s">
        <v>180</v>
      </c>
      <c r="C56" s="203"/>
      <c r="D56" s="203"/>
      <c r="E56" s="1"/>
      <c r="F56" s="1" t="s">
        <v>67</v>
      </c>
      <c r="G56" s="1"/>
      <c r="H56" s="1"/>
      <c r="I56" s="1"/>
      <c r="J56" s="1"/>
      <c r="K56" s="1"/>
      <c r="L56" s="1"/>
      <c r="M56" s="1"/>
      <c r="O56" s="103"/>
      <c r="P56" s="103"/>
      <c r="Q56" s="103"/>
      <c r="R56" s="103"/>
    </row>
    <row r="57" spans="2:18" ht="15.75" x14ac:dyDescent="0.25">
      <c r="B57" s="1"/>
      <c r="C57" s="1"/>
      <c r="D57" s="1"/>
      <c r="E57" s="203" t="s">
        <v>179</v>
      </c>
      <c r="F57" s="203"/>
      <c r="G57" s="203"/>
      <c r="H57" s="203"/>
      <c r="I57" s="203"/>
      <c r="J57" s="203" t="s">
        <v>62</v>
      </c>
      <c r="K57" s="203"/>
      <c r="L57" s="203"/>
      <c r="M57" s="203"/>
      <c r="O57" s="103"/>
      <c r="P57" s="103"/>
      <c r="Q57" s="103"/>
      <c r="R57" s="103"/>
    </row>
    <row r="58" spans="2:18" ht="15.75" x14ac:dyDescent="0.25">
      <c r="B58" s="1"/>
      <c r="C58" s="1"/>
      <c r="D58" s="1"/>
      <c r="E58" s="1"/>
      <c r="F58" s="1"/>
      <c r="G58" s="1"/>
      <c r="H58" s="1"/>
      <c r="I58" s="1"/>
      <c r="J58" s="1"/>
      <c r="K58" s="1"/>
      <c r="L58" s="1"/>
      <c r="M58" s="1"/>
      <c r="O58" s="103"/>
      <c r="P58" s="103"/>
      <c r="Q58" s="103"/>
      <c r="R58" s="103"/>
    </row>
    <row r="59" spans="2:18" ht="15.75" x14ac:dyDescent="0.25">
      <c r="B59" s="1"/>
      <c r="C59" s="1"/>
      <c r="D59" s="1"/>
      <c r="E59" s="1"/>
      <c r="F59" s="1"/>
      <c r="G59" s="1"/>
      <c r="H59" s="1"/>
      <c r="I59" s="1"/>
      <c r="J59" s="1"/>
      <c r="K59" s="1"/>
      <c r="L59" s="1"/>
      <c r="M59" s="1"/>
      <c r="O59" s="103"/>
      <c r="P59" s="103"/>
      <c r="Q59" s="103"/>
      <c r="R59" s="103"/>
    </row>
    <row r="60" spans="2:18" ht="15.75" x14ac:dyDescent="0.25">
      <c r="B60" s="1"/>
      <c r="C60" s="1"/>
      <c r="D60" s="1"/>
      <c r="E60" s="1"/>
      <c r="F60" s="1"/>
      <c r="G60" s="1"/>
      <c r="H60" s="1"/>
      <c r="I60" s="1"/>
      <c r="J60" s="1"/>
      <c r="K60" s="1"/>
      <c r="L60" s="1"/>
      <c r="M60" s="1"/>
      <c r="O60" s="103"/>
      <c r="P60" s="103"/>
      <c r="Q60" s="103"/>
      <c r="R60" s="103"/>
    </row>
    <row r="61" spans="2:18" ht="24.75" customHeight="1" x14ac:dyDescent="0.25">
      <c r="B61" s="270" t="s">
        <v>209</v>
      </c>
      <c r="C61" s="270"/>
      <c r="D61" s="270"/>
      <c r="E61" s="204" t="str">
        <f>ID!G6</f>
        <v>Sri Rahayu, S.Pd., SE.</v>
      </c>
      <c r="F61" s="204"/>
      <c r="G61" s="204"/>
      <c r="H61" s="204"/>
      <c r="I61" s="204"/>
      <c r="J61" s="204" t="str">
        <f>ID!G10</f>
        <v>SURADI S.Pd.</v>
      </c>
      <c r="K61" s="204"/>
      <c r="L61" s="204"/>
      <c r="M61" s="204"/>
      <c r="O61" s="103"/>
      <c r="P61" s="103"/>
      <c r="Q61" s="103"/>
      <c r="R61" s="103"/>
    </row>
    <row r="62" spans="2:18" ht="15.75" x14ac:dyDescent="0.25">
      <c r="B62" s="4"/>
      <c r="C62" s="4"/>
      <c r="D62" s="4"/>
      <c r="E62" s="4"/>
      <c r="F62" s="1"/>
      <c r="G62" s="1"/>
      <c r="H62" s="4"/>
      <c r="I62" s="4"/>
      <c r="J62" s="4"/>
      <c r="K62" s="4"/>
      <c r="L62" s="4"/>
      <c r="M62" s="4"/>
      <c r="O62" s="103"/>
      <c r="P62" s="103"/>
      <c r="Q62" s="103"/>
      <c r="R62" s="103"/>
    </row>
    <row r="63" spans="2:18" ht="15.75" x14ac:dyDescent="0.25">
      <c r="B63" s="4"/>
      <c r="C63" s="4"/>
      <c r="D63" s="4"/>
      <c r="E63" s="4"/>
      <c r="F63" s="1"/>
      <c r="G63" s="1"/>
      <c r="H63" s="4"/>
      <c r="I63" s="4"/>
      <c r="J63" s="4"/>
      <c r="K63" s="4"/>
      <c r="L63" s="4"/>
      <c r="M63" s="4"/>
      <c r="O63" s="103"/>
      <c r="P63" s="103"/>
      <c r="Q63" s="103"/>
      <c r="R63" s="103"/>
    </row>
    <row r="64" spans="2:18" s="12" customFormat="1" ht="7.5" customHeight="1" x14ac:dyDescent="0.25"/>
  </sheetData>
  <sheetProtection selectLockedCells="1"/>
  <mergeCells count="126">
    <mergeCell ref="B51:M51"/>
    <mergeCell ref="B52:M53"/>
    <mergeCell ref="J55:M55"/>
    <mergeCell ref="B56:D56"/>
    <mergeCell ref="E57:I57"/>
    <mergeCell ref="J57:M57"/>
    <mergeCell ref="B61:D61"/>
    <mergeCell ref="E61:I61"/>
    <mergeCell ref="J61:M61"/>
    <mergeCell ref="F46:M46"/>
    <mergeCell ref="F47:M47"/>
    <mergeCell ref="B48:E50"/>
    <mergeCell ref="F48:H48"/>
    <mergeCell ref="K48:M48"/>
    <mergeCell ref="F49:H49"/>
    <mergeCell ref="K49:M49"/>
    <mergeCell ref="F50:H50"/>
    <mergeCell ref="K50:M50"/>
    <mergeCell ref="H36:M36"/>
    <mergeCell ref="B37:G37"/>
    <mergeCell ref="H37:M37"/>
    <mergeCell ref="B38:M38"/>
    <mergeCell ref="C39:E39"/>
    <mergeCell ref="F39:M39"/>
    <mergeCell ref="F40:M40"/>
    <mergeCell ref="F41:M41"/>
    <mergeCell ref="F42:M42"/>
    <mergeCell ref="F43:M43"/>
    <mergeCell ref="F44:M44"/>
    <mergeCell ref="F45:M45"/>
    <mergeCell ref="B19:M19"/>
    <mergeCell ref="C20:E20"/>
    <mergeCell ref="F20:G20"/>
    <mergeCell ref="H20:I20"/>
    <mergeCell ref="J20:K20"/>
    <mergeCell ref="J31:K31"/>
    <mergeCell ref="J32:K32"/>
    <mergeCell ref="J33:K33"/>
    <mergeCell ref="C34:E34"/>
    <mergeCell ref="F34:G34"/>
    <mergeCell ref="H34:I34"/>
    <mergeCell ref="J34:K34"/>
    <mergeCell ref="C21:E21"/>
    <mergeCell ref="F21:G21"/>
    <mergeCell ref="H21:I21"/>
    <mergeCell ref="J21:K21"/>
    <mergeCell ref="H24:I24"/>
    <mergeCell ref="C24:E24"/>
    <mergeCell ref="F24:G24"/>
    <mergeCell ref="C22:E22"/>
    <mergeCell ref="F22:G22"/>
    <mergeCell ref="D2:M2"/>
    <mergeCell ref="D3:M3"/>
    <mergeCell ref="D4:M4"/>
    <mergeCell ref="D5:M5"/>
    <mergeCell ref="D6:M6"/>
    <mergeCell ref="J16:M16"/>
    <mergeCell ref="C18:E18"/>
    <mergeCell ref="F18:G18"/>
    <mergeCell ref="H18:I18"/>
    <mergeCell ref="J18:K18"/>
    <mergeCell ref="D7:M7"/>
    <mergeCell ref="B15:C15"/>
    <mergeCell ref="E15:F15"/>
    <mergeCell ref="B16:C16"/>
    <mergeCell ref="E16:F16"/>
    <mergeCell ref="D8:M8"/>
    <mergeCell ref="D9:M9"/>
    <mergeCell ref="B10:M10"/>
    <mergeCell ref="B11:M11"/>
    <mergeCell ref="B12:M12"/>
    <mergeCell ref="B14:C14"/>
    <mergeCell ref="J26:K26"/>
    <mergeCell ref="J27:K27"/>
    <mergeCell ref="B25:M25"/>
    <mergeCell ref="F30:G30"/>
    <mergeCell ref="H30:I30"/>
    <mergeCell ref="J30:K30"/>
    <mergeCell ref="E14:F14"/>
    <mergeCell ref="J14:M14"/>
    <mergeCell ref="J15:M15"/>
    <mergeCell ref="H23:I23"/>
    <mergeCell ref="J22:K22"/>
    <mergeCell ref="J23:K23"/>
    <mergeCell ref="J24:K24"/>
    <mergeCell ref="C26:E26"/>
    <mergeCell ref="F26:G26"/>
    <mergeCell ref="H26:I26"/>
    <mergeCell ref="H22:I22"/>
    <mergeCell ref="C23:E23"/>
    <mergeCell ref="F23:G23"/>
    <mergeCell ref="F33:G33"/>
    <mergeCell ref="H33:I33"/>
    <mergeCell ref="C31:E31"/>
    <mergeCell ref="F31:G31"/>
    <mergeCell ref="H31:I31"/>
    <mergeCell ref="C32:E32"/>
    <mergeCell ref="F32:G32"/>
    <mergeCell ref="H32:I32"/>
    <mergeCell ref="C27:E27"/>
    <mergeCell ref="F27:G27"/>
    <mergeCell ref="H27:I27"/>
    <mergeCell ref="J35:K35"/>
    <mergeCell ref="B36:G36"/>
    <mergeCell ref="V2:AC2"/>
    <mergeCell ref="V3:AC3"/>
    <mergeCell ref="V4:AC4"/>
    <mergeCell ref="V5:AC5"/>
    <mergeCell ref="V6:AC6"/>
    <mergeCell ref="O7:R8"/>
    <mergeCell ref="V7:AC7"/>
    <mergeCell ref="V8:AC8"/>
    <mergeCell ref="P9:Q11"/>
    <mergeCell ref="R9:R11"/>
    <mergeCell ref="V9:AC9"/>
    <mergeCell ref="P12:Q14"/>
    <mergeCell ref="R12:R14"/>
    <mergeCell ref="O23:R23"/>
    <mergeCell ref="O36:R36"/>
    <mergeCell ref="C35:E35"/>
    <mergeCell ref="F35:G35"/>
    <mergeCell ref="H35:I35"/>
    <mergeCell ref="B28:M28"/>
    <mergeCell ref="B29:M29"/>
    <mergeCell ref="C30:E30"/>
    <mergeCell ref="C33:E33"/>
  </mergeCells>
  <printOptions horizontalCentered="1"/>
  <pageMargins left="0.31496062992126" right="0.31496062992126" top="0.49803149600000002" bottom="0.24803149599999999" header="0.31496062992126" footer="0.31496062992126"/>
  <pageSetup paperSize="10000" scale="91"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Spinner 1">
              <controlPr defaultSize="0" autoPict="0">
                <anchor moveWithCells="1" sizeWithCells="1">
                  <from>
                    <xdr:col>14</xdr:col>
                    <xdr:colOff>28575</xdr:colOff>
                    <xdr:row>8</xdr:row>
                    <xdr:rowOff>0</xdr:rowOff>
                  </from>
                  <to>
                    <xdr:col>14</xdr:col>
                    <xdr:colOff>466725</xdr:colOff>
                    <xdr:row>14</xdr:row>
                    <xdr:rowOff>19050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3">
    <tabColor rgb="FF00B0F0"/>
  </sheetPr>
  <dimension ref="A1:AC45"/>
  <sheetViews>
    <sheetView zoomScale="70" zoomScaleNormal="70" workbookViewId="0">
      <selection activeCell="R5" sqref="R5"/>
    </sheetView>
  </sheetViews>
  <sheetFormatPr defaultColWidth="0" defaultRowHeight="0" customHeight="1" zeroHeight="1" x14ac:dyDescent="0.25"/>
  <cols>
    <col min="1" max="1" width="1.5703125" style="12" customWidth="1"/>
    <col min="2" max="2" width="4.7109375" customWidth="1"/>
    <col min="3" max="3" width="16.7109375" customWidth="1"/>
    <col min="4" max="4" width="1.140625" customWidth="1"/>
    <col min="5" max="5" width="22.42578125" customWidth="1"/>
    <col min="6" max="6" width="9.42578125" customWidth="1"/>
    <col min="7" max="7" width="2.140625" customWidth="1"/>
    <col min="8" max="8" width="17.140625" customWidth="1"/>
    <col min="9" max="9" width="2.28515625" customWidth="1"/>
    <col min="10" max="10" width="16.140625" customWidth="1"/>
    <col min="11" max="11" width="1.85546875" customWidth="1"/>
    <col min="12" max="12" width="4.85546875" customWidth="1"/>
    <col min="13" max="13" width="13.7109375" customWidth="1"/>
    <col min="14" max="14" width="1.7109375" customWidth="1"/>
    <col min="15" max="16" width="9.140625" customWidth="1"/>
    <col min="17" max="17" width="2.42578125" customWidth="1"/>
    <col min="18" max="18" width="16.7109375" customWidth="1"/>
    <col min="19" max="19" width="1" customWidth="1"/>
    <col min="20" max="20" width="1.7109375" style="12" customWidth="1"/>
    <col min="21" max="29" width="0" hidden="1" customWidth="1"/>
    <col min="30" max="16384" width="9.140625" hidden="1"/>
  </cols>
  <sheetData>
    <row r="1" spans="2:29" s="21" customFormat="1" ht="7.5" customHeight="1" x14ac:dyDescent="0.25"/>
    <row r="2" spans="2:29" ht="15.75" x14ac:dyDescent="0.25">
      <c r="C2" s="3"/>
      <c r="D2" s="204" t="s">
        <v>11</v>
      </c>
      <c r="E2" s="204"/>
      <c r="F2" s="204"/>
      <c r="G2" s="204"/>
      <c r="H2" s="204"/>
      <c r="I2" s="204"/>
      <c r="J2" s="204"/>
      <c r="K2" s="204"/>
      <c r="L2" s="204"/>
      <c r="M2" s="204"/>
      <c r="N2" s="20"/>
      <c r="O2" s="20"/>
      <c r="P2" s="20"/>
      <c r="Q2" s="20"/>
      <c r="R2" s="20"/>
      <c r="V2" s="204"/>
      <c r="W2" s="204"/>
      <c r="X2" s="204"/>
      <c r="Y2" s="204"/>
      <c r="Z2" s="204"/>
      <c r="AA2" s="204"/>
      <c r="AB2" s="204"/>
      <c r="AC2" s="204"/>
    </row>
    <row r="3" spans="2:29" ht="15.75" x14ac:dyDescent="0.25">
      <c r="C3" s="3"/>
      <c r="D3" s="204" t="s">
        <v>12</v>
      </c>
      <c r="E3" s="204"/>
      <c r="F3" s="204"/>
      <c r="G3" s="204"/>
      <c r="H3" s="204"/>
      <c r="I3" s="204"/>
      <c r="J3" s="204"/>
      <c r="K3" s="204"/>
      <c r="L3" s="204"/>
      <c r="M3" s="204"/>
      <c r="N3" s="20"/>
      <c r="O3" s="20"/>
      <c r="P3" s="20"/>
      <c r="Q3" s="20"/>
      <c r="R3" s="20"/>
      <c r="V3" s="204"/>
      <c r="W3" s="204"/>
      <c r="X3" s="204"/>
      <c r="Y3" s="204"/>
      <c r="Z3" s="204"/>
      <c r="AA3" s="204"/>
      <c r="AB3" s="204"/>
      <c r="AC3" s="204"/>
    </row>
    <row r="4" spans="2:29" ht="15.75" x14ac:dyDescent="0.25">
      <c r="C4" s="1"/>
      <c r="D4" s="203" t="s">
        <v>13</v>
      </c>
      <c r="E4" s="203"/>
      <c r="F4" s="203"/>
      <c r="G4" s="203"/>
      <c r="H4" s="203"/>
      <c r="I4" s="203"/>
      <c r="J4" s="203"/>
      <c r="K4" s="203"/>
      <c r="L4" s="203"/>
      <c r="M4" s="203"/>
      <c r="N4" s="20"/>
      <c r="O4" s="20"/>
      <c r="P4" s="20"/>
      <c r="Q4" s="20"/>
      <c r="R4" s="20"/>
      <c r="V4" s="203"/>
      <c r="W4" s="203"/>
      <c r="X4" s="203"/>
      <c r="Y4" s="203"/>
      <c r="Z4" s="203"/>
      <c r="AA4" s="203"/>
      <c r="AB4" s="203"/>
      <c r="AC4" s="203"/>
    </row>
    <row r="5" spans="2:29" ht="15.75" x14ac:dyDescent="0.25">
      <c r="C5" s="1"/>
      <c r="D5" s="203" t="s">
        <v>14</v>
      </c>
      <c r="E5" s="203"/>
      <c r="F5" s="203"/>
      <c r="G5" s="203"/>
      <c r="H5" s="203"/>
      <c r="I5" s="203"/>
      <c r="J5" s="203"/>
      <c r="K5" s="203"/>
      <c r="L5" s="203"/>
      <c r="M5" s="203"/>
      <c r="N5" s="20"/>
      <c r="O5" s="20"/>
      <c r="P5" s="20"/>
      <c r="Q5" s="20"/>
      <c r="R5" s="20"/>
      <c r="V5" s="203"/>
      <c r="W5" s="203"/>
      <c r="X5" s="203"/>
      <c r="Y5" s="203"/>
      <c r="Z5" s="203"/>
      <c r="AA5" s="203"/>
      <c r="AB5" s="203"/>
      <c r="AC5" s="203"/>
    </row>
    <row r="6" spans="2:29" ht="16.5" thickBot="1" x14ac:dyDescent="0.3">
      <c r="C6" s="3"/>
      <c r="D6" s="204" t="s">
        <v>1</v>
      </c>
      <c r="E6" s="204"/>
      <c r="F6" s="204"/>
      <c r="G6" s="204"/>
      <c r="H6" s="204"/>
      <c r="I6" s="204"/>
      <c r="J6" s="204"/>
      <c r="K6" s="204"/>
      <c r="L6" s="204"/>
      <c r="M6" s="204"/>
      <c r="N6" s="20"/>
      <c r="O6" s="20"/>
      <c r="P6" s="20"/>
      <c r="Q6" s="20"/>
      <c r="R6" s="20"/>
      <c r="V6" s="204"/>
      <c r="W6" s="204"/>
      <c r="X6" s="204"/>
      <c r="Y6" s="204"/>
      <c r="Z6" s="204"/>
      <c r="AA6" s="204"/>
      <c r="AB6" s="204"/>
      <c r="AC6" s="204"/>
    </row>
    <row r="7" spans="2:29" ht="15.75" x14ac:dyDescent="0.25">
      <c r="C7" s="1"/>
      <c r="D7" s="203" t="s">
        <v>15</v>
      </c>
      <c r="E7" s="203"/>
      <c r="F7" s="203"/>
      <c r="G7" s="203"/>
      <c r="H7" s="203"/>
      <c r="I7" s="203"/>
      <c r="J7" s="203"/>
      <c r="K7" s="203"/>
      <c r="L7" s="203"/>
      <c r="M7" s="203"/>
      <c r="N7" s="20"/>
      <c r="O7" s="233" t="s">
        <v>69</v>
      </c>
      <c r="P7" s="234"/>
      <c r="Q7" s="234"/>
      <c r="R7" s="235"/>
      <c r="S7" s="19"/>
      <c r="V7" s="203"/>
      <c r="W7" s="203"/>
      <c r="X7" s="203"/>
      <c r="Y7" s="203"/>
      <c r="Z7" s="203"/>
      <c r="AA7" s="203"/>
      <c r="AB7" s="203"/>
      <c r="AC7" s="203"/>
    </row>
    <row r="8" spans="2:29" ht="15.75" x14ac:dyDescent="0.25">
      <c r="C8" s="1"/>
      <c r="D8" s="203" t="s">
        <v>16</v>
      </c>
      <c r="E8" s="203"/>
      <c r="F8" s="203"/>
      <c r="G8" s="203"/>
      <c r="H8" s="203"/>
      <c r="I8" s="203"/>
      <c r="J8" s="203"/>
      <c r="K8" s="203"/>
      <c r="L8" s="203"/>
      <c r="M8" s="203"/>
      <c r="N8" s="20"/>
      <c r="O8" s="236"/>
      <c r="P8" s="237"/>
      <c r="Q8" s="237"/>
      <c r="R8" s="238"/>
      <c r="V8" s="203"/>
      <c r="W8" s="203"/>
      <c r="X8" s="203"/>
      <c r="Y8" s="203"/>
      <c r="Z8" s="203"/>
      <c r="AA8" s="203"/>
      <c r="AB8" s="203"/>
      <c r="AC8" s="203"/>
    </row>
    <row r="9" spans="2:29" ht="16.5" thickBot="1" x14ac:dyDescent="0.3">
      <c r="C9" s="2"/>
      <c r="D9" s="230" t="s">
        <v>17</v>
      </c>
      <c r="E9" s="230"/>
      <c r="F9" s="230"/>
      <c r="G9" s="230"/>
      <c r="H9" s="230"/>
      <c r="I9" s="230"/>
      <c r="J9" s="230"/>
      <c r="K9" s="230"/>
      <c r="L9" s="230"/>
      <c r="M9" s="230"/>
      <c r="N9" s="20"/>
      <c r="O9" s="35"/>
      <c r="P9" s="227" t="s">
        <v>70</v>
      </c>
      <c r="Q9" s="227"/>
      <c r="R9" s="228">
        <v>1</v>
      </c>
      <c r="V9" s="230"/>
      <c r="W9" s="230"/>
      <c r="X9" s="230"/>
      <c r="Y9" s="230"/>
      <c r="Z9" s="230"/>
      <c r="AA9" s="230"/>
      <c r="AB9" s="230"/>
      <c r="AC9" s="230"/>
    </row>
    <row r="10" spans="2:29" ht="5.25" customHeight="1" thickTop="1" x14ac:dyDescent="0.25">
      <c r="B10" s="231"/>
      <c r="C10" s="232"/>
      <c r="D10" s="232"/>
      <c r="E10" s="232"/>
      <c r="F10" s="232"/>
      <c r="G10" s="232"/>
      <c r="H10" s="232"/>
      <c r="I10" s="232"/>
      <c r="J10" s="232"/>
      <c r="K10" s="232"/>
      <c r="L10" s="232"/>
      <c r="M10" s="232"/>
      <c r="N10" s="20"/>
      <c r="O10" s="35"/>
      <c r="P10" s="227"/>
      <c r="Q10" s="227"/>
      <c r="R10" s="228"/>
    </row>
    <row r="11" spans="2:29" ht="15.75" x14ac:dyDescent="0.25">
      <c r="B11" s="226" t="str">
        <f>HOME!G6</f>
        <v>HASIL PENILAIAN TENGAH SEMESTER GENAP</v>
      </c>
      <c r="C11" s="226"/>
      <c r="D11" s="226"/>
      <c r="E11" s="226"/>
      <c r="F11" s="226"/>
      <c r="G11" s="226"/>
      <c r="H11" s="226"/>
      <c r="I11" s="226"/>
      <c r="J11" s="226"/>
      <c r="K11" s="226"/>
      <c r="L11" s="226"/>
      <c r="M11" s="226"/>
      <c r="N11" s="20"/>
      <c r="O11" s="35"/>
      <c r="P11" s="227"/>
      <c r="Q11" s="227"/>
      <c r="R11" s="228"/>
    </row>
    <row r="12" spans="2:29" ht="15.75" x14ac:dyDescent="0.25">
      <c r="B12" s="226" t="str">
        <f>"TAHUN PELAJARAN " &amp; HOME!G7</f>
        <v>TAHUN PELAJARAN 2022/2023</v>
      </c>
      <c r="C12" s="226"/>
      <c r="D12" s="226"/>
      <c r="E12" s="226"/>
      <c r="F12" s="226"/>
      <c r="G12" s="226"/>
      <c r="H12" s="226"/>
      <c r="I12" s="226"/>
      <c r="J12" s="226"/>
      <c r="K12" s="226"/>
      <c r="L12" s="226"/>
      <c r="M12" s="226"/>
      <c r="N12" s="20"/>
      <c r="O12" s="35"/>
      <c r="P12" s="227" t="s">
        <v>71</v>
      </c>
      <c r="Q12" s="227"/>
      <c r="R12" s="228">
        <f>COUNTA(NOMINATIF!C6:C40)</f>
        <v>20</v>
      </c>
    </row>
    <row r="13" spans="2:29" ht="8.25" customHeight="1" x14ac:dyDescent="0.25">
      <c r="B13" s="16"/>
      <c r="C13" s="4"/>
      <c r="D13" s="4"/>
      <c r="E13" s="4"/>
      <c r="F13" s="4"/>
      <c r="G13" s="4"/>
      <c r="H13" s="4"/>
      <c r="I13" s="4"/>
      <c r="J13" s="4"/>
      <c r="K13" s="4"/>
      <c r="L13" s="4"/>
      <c r="M13" s="4"/>
      <c r="N13" s="20"/>
      <c r="O13" s="35"/>
      <c r="P13" s="227"/>
      <c r="Q13" s="227"/>
      <c r="R13" s="228"/>
    </row>
    <row r="14" spans="2:29" ht="15.75" x14ac:dyDescent="0.25">
      <c r="B14" s="224" t="s">
        <v>18</v>
      </c>
      <c r="C14" s="224"/>
      <c r="D14" s="1" t="s">
        <v>6</v>
      </c>
      <c r="E14" s="229" t="str">
        <f>VLOOKUP(R9,'L X AKL'!$B$9:$BI$43,2,)</f>
        <v>AFMALA INSAN QOIRUNISA</v>
      </c>
      <c r="F14" s="229"/>
      <c r="G14" s="18"/>
      <c r="H14" s="1" t="s">
        <v>63</v>
      </c>
      <c r="I14" t="s">
        <v>6</v>
      </c>
      <c r="J14" s="225" t="str">
        <f>HOME!G9</f>
        <v>Teknik Komputer dan Informatika</v>
      </c>
      <c r="K14" s="225"/>
      <c r="L14" s="225"/>
      <c r="M14" s="225"/>
      <c r="N14" s="20"/>
      <c r="O14" s="35"/>
      <c r="P14" s="227"/>
      <c r="Q14" s="227"/>
      <c r="R14" s="228"/>
    </row>
    <row r="15" spans="2:29" ht="15.75" x14ac:dyDescent="0.25">
      <c r="B15" s="224" t="s">
        <v>19</v>
      </c>
      <c r="C15" s="224"/>
      <c r="D15" s="1" t="s">
        <v>6</v>
      </c>
      <c r="E15" s="224" t="str">
        <f>VLOOKUP(R9,'L X AKL'!$B$9:$BI$43,3,)&amp;"/"&amp;VLOOKUP(R9,'L X AKL'!$B$9:$BI$43,4,)</f>
        <v>4020/0059023845</v>
      </c>
      <c r="F15" s="224"/>
      <c r="G15" s="17"/>
      <c r="H15" s="1" t="s">
        <v>10</v>
      </c>
      <c r="I15" t="s">
        <v>6</v>
      </c>
      <c r="J15" s="225" t="str">
        <f>ID!G7</f>
        <v>Akuntansi dan Keuangan Lembaga</v>
      </c>
      <c r="K15" s="225"/>
      <c r="L15" s="225"/>
      <c r="M15" s="225"/>
      <c r="N15" s="20"/>
      <c r="O15" s="35"/>
      <c r="P15" s="20"/>
      <c r="Q15" s="20"/>
      <c r="R15" s="36"/>
    </row>
    <row r="16" spans="2:29" ht="15.75" x14ac:dyDescent="0.25">
      <c r="B16" s="224" t="s">
        <v>9</v>
      </c>
      <c r="C16" s="224"/>
      <c r="D16" s="1" t="s">
        <v>6</v>
      </c>
      <c r="E16" s="224" t="str">
        <f>ID!G8</f>
        <v>XII AKL 1</v>
      </c>
      <c r="F16" s="224"/>
      <c r="G16" s="17"/>
      <c r="H16" s="1" t="s">
        <v>20</v>
      </c>
      <c r="I16" t="s">
        <v>6</v>
      </c>
      <c r="J16" s="225" t="str">
        <f>ID!G9</f>
        <v>4/GENAP</v>
      </c>
      <c r="K16" s="225"/>
      <c r="L16" s="225"/>
      <c r="M16" s="225"/>
      <c r="N16" s="20"/>
      <c r="O16" s="35"/>
      <c r="P16" s="20"/>
      <c r="Q16" s="20"/>
      <c r="R16" s="36"/>
    </row>
    <row r="17" spans="2:19" ht="15" x14ac:dyDescent="0.25">
      <c r="N17" s="20"/>
      <c r="O17" s="35"/>
      <c r="P17" s="20"/>
      <c r="Q17" s="20"/>
      <c r="R17" s="36"/>
    </row>
    <row r="18" spans="2:19" ht="39" customHeight="1" x14ac:dyDescent="0.25">
      <c r="B18" s="279" t="s">
        <v>182</v>
      </c>
      <c r="C18" s="280"/>
      <c r="D18" s="280"/>
      <c r="E18" s="280"/>
      <c r="F18" s="280"/>
      <c r="G18" s="280"/>
      <c r="H18" s="280"/>
      <c r="I18" s="280"/>
      <c r="J18" s="280"/>
      <c r="K18" s="280"/>
      <c r="L18" s="280"/>
      <c r="M18" s="281"/>
      <c r="N18" s="20"/>
      <c r="O18" s="35"/>
      <c r="P18" s="20"/>
      <c r="Q18" s="20"/>
      <c r="R18" s="36"/>
    </row>
    <row r="19" spans="2:19" s="12" customFormat="1" ht="37.5" customHeight="1" x14ac:dyDescent="0.25">
      <c r="B19" s="93" t="s">
        <v>27</v>
      </c>
      <c r="C19" s="190" t="s">
        <v>183</v>
      </c>
      <c r="D19" s="190"/>
      <c r="E19" s="190"/>
      <c r="F19" s="213" t="s">
        <v>184</v>
      </c>
      <c r="G19" s="214"/>
      <c r="H19" s="214"/>
      <c r="I19" s="215"/>
      <c r="J19" s="282" t="s">
        <v>185</v>
      </c>
      <c r="K19" s="283"/>
      <c r="L19" s="282" t="s">
        <v>186</v>
      </c>
      <c r="M19" s="283"/>
      <c r="N19" s="20"/>
      <c r="O19" s="35"/>
      <c r="P19" s="20"/>
      <c r="Q19" s="20"/>
      <c r="R19" s="36"/>
      <c r="S19"/>
    </row>
    <row r="20" spans="2:19" s="12" customFormat="1" ht="48.75" customHeight="1" thickBot="1" x14ac:dyDescent="0.3">
      <c r="B20" s="11">
        <v>1</v>
      </c>
      <c r="C20" s="284">
        <f>VLOOKUP(R9,'BK &amp; EX &amp; PKL &amp; Press'!$B$9:$BO$66,51,0)</f>
        <v>0</v>
      </c>
      <c r="D20" s="284"/>
      <c r="E20" s="284"/>
      <c r="F20" s="287">
        <f>VLOOKUP(R9,'BK &amp; EX &amp; PKL &amp; Press'!$B$9:$BO$66,52,0)</f>
        <v>0</v>
      </c>
      <c r="G20" s="288"/>
      <c r="H20" s="288"/>
      <c r="I20" s="289"/>
      <c r="J20" s="285">
        <f>VLOOKUP(R9,'BK &amp; EX &amp; PKL &amp; Press'!$B$9:$BO$66,53,0)</f>
        <v>0</v>
      </c>
      <c r="K20" s="286"/>
      <c r="L20" s="310">
        <f>VLOOKUP(R9,'BK &amp; EX &amp; PKL &amp; Press'!$B$9:$BO$66,54,0)</f>
        <v>0</v>
      </c>
      <c r="M20" s="311"/>
      <c r="N20" s="20"/>
      <c r="O20" s="37"/>
      <c r="P20" s="38"/>
      <c r="Q20" s="38"/>
      <c r="R20" s="39"/>
      <c r="S20"/>
    </row>
    <row r="21" spans="2:19" s="12" customFormat="1" ht="48.75" customHeight="1" x14ac:dyDescent="0.25">
      <c r="B21" s="11">
        <v>2</v>
      </c>
      <c r="C21" s="290"/>
      <c r="D21" s="291"/>
      <c r="E21" s="292"/>
      <c r="F21" s="296"/>
      <c r="G21" s="297"/>
      <c r="H21" s="297"/>
      <c r="I21" s="298"/>
      <c r="J21" s="285"/>
      <c r="K21" s="286"/>
      <c r="L21" s="308"/>
      <c r="M21" s="309"/>
      <c r="N21" s="20"/>
      <c r="O21" s="20"/>
      <c r="P21" s="20"/>
      <c r="Q21" s="20"/>
      <c r="R21" s="20"/>
      <c r="S21"/>
    </row>
    <row r="22" spans="2:19" s="12" customFormat="1" ht="48.75" customHeight="1" x14ac:dyDescent="0.25">
      <c r="B22" s="11">
        <v>3</v>
      </c>
      <c r="C22" s="293"/>
      <c r="D22" s="294"/>
      <c r="E22" s="295"/>
      <c r="F22" s="296"/>
      <c r="G22" s="297"/>
      <c r="H22" s="297"/>
      <c r="I22" s="298"/>
      <c r="J22" s="285"/>
      <c r="K22" s="286"/>
      <c r="L22" s="308"/>
      <c r="M22" s="309"/>
      <c r="N22"/>
      <c r="O22" s="105"/>
      <c r="P22" s="105"/>
      <c r="Q22" s="105"/>
      <c r="R22" s="105"/>
      <c r="S22"/>
    </row>
    <row r="23" spans="2:19" s="12" customFormat="1" ht="36.75" customHeight="1" x14ac:dyDescent="0.25">
      <c r="B23" s="302" t="s">
        <v>187</v>
      </c>
      <c r="C23" s="302"/>
      <c r="D23" s="302"/>
      <c r="E23" s="302"/>
      <c r="F23" s="302"/>
      <c r="G23" s="302"/>
      <c r="H23" s="302"/>
      <c r="I23" s="302"/>
      <c r="J23" s="302"/>
      <c r="K23" s="302"/>
      <c r="L23" s="302"/>
      <c r="M23" s="302"/>
      <c r="N23"/>
      <c r="O23" s="104"/>
      <c r="P23" s="104"/>
      <c r="Q23" s="102"/>
      <c r="R23" s="102"/>
      <c r="S23"/>
    </row>
    <row r="24" spans="2:19" s="12" customFormat="1" ht="20.25" customHeight="1" x14ac:dyDescent="0.25">
      <c r="B24" s="13" t="s">
        <v>27</v>
      </c>
      <c r="C24" s="303" t="s">
        <v>188</v>
      </c>
      <c r="D24" s="303"/>
      <c r="E24" s="303"/>
      <c r="F24" s="209" t="s">
        <v>172</v>
      </c>
      <c r="G24" s="304"/>
      <c r="H24" s="304"/>
      <c r="I24" s="304"/>
      <c r="J24" s="304"/>
      <c r="K24" s="304"/>
      <c r="L24" s="304"/>
      <c r="M24" s="210"/>
      <c r="N24"/>
      <c r="O24" s="104"/>
      <c r="P24" s="104"/>
      <c r="Q24" s="102"/>
      <c r="R24" s="102"/>
      <c r="S24"/>
    </row>
    <row r="25" spans="2:19" s="12" customFormat="1" ht="50.25" customHeight="1" x14ac:dyDescent="0.25">
      <c r="B25" s="13">
        <v>1</v>
      </c>
      <c r="C25" s="187" t="s">
        <v>190</v>
      </c>
      <c r="D25" s="187"/>
      <c r="E25" s="187"/>
      <c r="F25" s="299" t="str">
        <f>VLOOKUP(R9,'BK &amp; EX &amp; PKL &amp; Press'!$B$9:$Y$66,8,0)</f>
        <v>Ananda AFMALA INSAN QOIRUNISA  menunjukkan ketekunan di dalam mengerjakan pekerjaan, baik di sekolah maupun di rumah.</v>
      </c>
      <c r="G25" s="300"/>
      <c r="H25" s="300"/>
      <c r="I25" s="300"/>
      <c r="J25" s="300"/>
      <c r="K25" s="300"/>
      <c r="L25" s="300"/>
      <c r="M25" s="301"/>
      <c r="N25"/>
      <c r="O25" s="104"/>
      <c r="P25" s="104"/>
      <c r="Q25" s="102"/>
      <c r="R25" s="102"/>
      <c r="S25"/>
    </row>
    <row r="26" spans="2:19" s="12" customFormat="1" ht="50.25" customHeight="1" x14ac:dyDescent="0.25">
      <c r="B26" s="13">
        <v>2</v>
      </c>
      <c r="C26" s="187" t="s">
        <v>149</v>
      </c>
      <c r="D26" s="187"/>
      <c r="E26" s="187"/>
      <c r="F26" s="299" t="str">
        <f>VLOOKUP(R9,'BK &amp; EX &amp; PKL &amp; Press'!$B$9:$Y$66,12,0)</f>
        <v>Ananda AFMALA INSAN QOIRUNISA  menunjukkan ketekunan di dalam mengerjakan pekerjaan, baik di sekolah maupun di  rumah.</v>
      </c>
      <c r="G26" s="300"/>
      <c r="H26" s="300"/>
      <c r="I26" s="300"/>
      <c r="J26" s="300"/>
      <c r="K26" s="300"/>
      <c r="L26" s="300"/>
      <c r="M26" s="301"/>
      <c r="N26"/>
      <c r="O26" s="104"/>
      <c r="P26" s="104"/>
      <c r="Q26" s="102"/>
      <c r="R26" s="102"/>
      <c r="S26"/>
    </row>
    <row r="27" spans="2:19" s="12" customFormat="1" ht="50.25" customHeight="1" x14ac:dyDescent="0.25">
      <c r="B27" s="13">
        <v>3</v>
      </c>
      <c r="C27" s="187" t="s">
        <v>150</v>
      </c>
      <c r="D27" s="187"/>
      <c r="E27" s="187"/>
      <c r="F27" s="299" t="str">
        <f>VLOOKUP(R9,'BK &amp; EX &amp; PKL &amp; Press'!$B$9:$Y$66,16,0)</f>
        <v>Ananda AFMALA INSAN QOIRUNISA  menunjukkan ketekunan di dalam mengerjakan pekerjaan, baik di sekolah maupun di rumah.</v>
      </c>
      <c r="G27" s="300"/>
      <c r="H27" s="300"/>
      <c r="I27" s="300"/>
      <c r="J27" s="300"/>
      <c r="K27" s="300"/>
      <c r="L27" s="300"/>
      <c r="M27" s="301"/>
      <c r="N27"/>
      <c r="O27" s="104"/>
      <c r="P27" s="104"/>
      <c r="Q27" s="102"/>
      <c r="R27" s="102"/>
      <c r="S27"/>
    </row>
    <row r="28" spans="2:19" ht="50.25" customHeight="1" x14ac:dyDescent="0.25">
      <c r="B28" s="13">
        <v>4</v>
      </c>
      <c r="C28" s="187" t="s">
        <v>151</v>
      </c>
      <c r="D28" s="187"/>
      <c r="E28" s="187"/>
      <c r="F28" s="299" t="str">
        <f>VLOOKUP(R9,'BK &amp; EX &amp; PKL &amp; Press'!$B$9:$Y$66,20,0)</f>
        <v>Ananda AFMALA INSAN QOIRUNISA  menunjukkan ketekunan di dalam mengerjakan pekerjaan, baik di sekolah maupun di rumah.</v>
      </c>
      <c r="G28" s="300"/>
      <c r="H28" s="300"/>
      <c r="I28" s="300"/>
      <c r="J28" s="300"/>
      <c r="K28" s="300"/>
      <c r="L28" s="300"/>
      <c r="M28" s="301"/>
      <c r="O28" s="104"/>
      <c r="P28" s="104"/>
      <c r="Q28" s="102"/>
      <c r="R28" s="102"/>
    </row>
    <row r="29" spans="2:19" ht="50.25" customHeight="1" x14ac:dyDescent="0.25">
      <c r="B29" s="13">
        <v>5</v>
      </c>
      <c r="C29" s="183" t="s">
        <v>152</v>
      </c>
      <c r="D29" s="183"/>
      <c r="E29" s="183"/>
      <c r="F29" s="299" t="str">
        <f>VLOOKUP(R9,'BK &amp; EX &amp; PKL &amp; Press'!$B$9:$Y$43,24,0)</f>
        <v>Ananda AFMALA INSAN QOIRUNISA  menunjukkan ketekunan di dalam mengerjakan pekerjaan, baik di sekolah maupun di rumah.</v>
      </c>
      <c r="G29" s="300"/>
      <c r="H29" s="300"/>
      <c r="I29" s="300"/>
      <c r="J29" s="300"/>
      <c r="K29" s="300"/>
      <c r="L29" s="300"/>
      <c r="M29" s="301"/>
      <c r="O29" s="104"/>
      <c r="P29" s="104"/>
      <c r="Q29" s="102"/>
      <c r="R29" s="102"/>
    </row>
    <row r="30" spans="2:19" ht="22.5" customHeight="1" x14ac:dyDescent="0.25">
      <c r="B30" s="305" t="s">
        <v>191</v>
      </c>
      <c r="C30" s="306"/>
      <c r="D30" s="306"/>
      <c r="E30" s="306"/>
      <c r="F30" s="306"/>
      <c r="G30" s="306"/>
      <c r="H30" s="306"/>
      <c r="I30" s="306"/>
      <c r="J30" s="306"/>
      <c r="K30" s="306"/>
      <c r="L30" s="306"/>
      <c r="M30" s="307"/>
      <c r="O30" s="102"/>
      <c r="P30" s="102"/>
      <c r="Q30" s="102"/>
      <c r="R30" s="102"/>
    </row>
    <row r="31" spans="2:19" ht="30" customHeight="1" x14ac:dyDescent="0.25">
      <c r="B31" s="312"/>
      <c r="C31" s="313"/>
      <c r="D31" s="313"/>
      <c r="E31" s="313"/>
      <c r="F31" s="313"/>
      <c r="G31" s="313"/>
      <c r="H31" s="313"/>
      <c r="I31" s="313"/>
      <c r="J31" s="313"/>
      <c r="K31" s="313"/>
      <c r="L31" s="313"/>
      <c r="M31" s="314"/>
      <c r="O31" s="103"/>
      <c r="P31" s="103"/>
      <c r="Q31" s="102"/>
      <c r="R31" s="102"/>
    </row>
    <row r="32" spans="2:19" ht="30" customHeight="1" x14ac:dyDescent="0.25">
      <c r="B32" s="315"/>
      <c r="C32" s="316"/>
      <c r="D32" s="316"/>
      <c r="E32" s="316"/>
      <c r="F32" s="316"/>
      <c r="G32" s="316"/>
      <c r="H32" s="316"/>
      <c r="I32" s="316"/>
      <c r="J32" s="316"/>
      <c r="K32" s="316"/>
      <c r="L32" s="316"/>
      <c r="M32" s="317"/>
      <c r="O32" s="103"/>
      <c r="P32" s="103"/>
      <c r="Q32" s="102"/>
      <c r="R32" s="102"/>
    </row>
    <row r="33" spans="2:13" ht="21.75" customHeight="1" x14ac:dyDescent="0.25">
      <c r="B33" s="243" t="s">
        <v>192</v>
      </c>
      <c r="C33" s="244"/>
      <c r="D33" s="244"/>
      <c r="E33" s="244"/>
      <c r="F33" s="244"/>
      <c r="G33" s="244"/>
      <c r="H33" s="244"/>
      <c r="I33" s="244"/>
      <c r="J33" s="244"/>
      <c r="K33" s="244"/>
      <c r="L33" s="244"/>
      <c r="M33" s="245"/>
    </row>
    <row r="34" spans="2:13" ht="15" x14ac:dyDescent="0.25">
      <c r="B34" s="274"/>
      <c r="C34" s="151"/>
      <c r="D34" s="151"/>
      <c r="E34" s="151"/>
      <c r="F34" s="151"/>
      <c r="G34" s="151"/>
      <c r="H34" s="151"/>
      <c r="I34" s="151"/>
      <c r="J34" s="151"/>
      <c r="K34" s="151"/>
      <c r="L34" s="151"/>
      <c r="M34" s="275"/>
    </row>
    <row r="35" spans="2:13" ht="51" customHeight="1" x14ac:dyDescent="0.25">
      <c r="B35" s="276"/>
      <c r="C35" s="277"/>
      <c r="D35" s="277"/>
      <c r="E35" s="277"/>
      <c r="F35" s="277"/>
      <c r="G35" s="277"/>
      <c r="H35" s="277"/>
      <c r="I35" s="277"/>
      <c r="J35" s="277"/>
      <c r="K35" s="277"/>
      <c r="L35" s="277"/>
      <c r="M35" s="278"/>
    </row>
    <row r="36" spans="2:13" ht="15" x14ac:dyDescent="0.25">
      <c r="B36" s="6"/>
      <c r="C36" s="6"/>
      <c r="D36" s="6"/>
      <c r="E36" s="6"/>
      <c r="F36" s="6"/>
      <c r="G36" s="6"/>
      <c r="H36" s="6"/>
      <c r="I36" s="6"/>
      <c r="J36" s="6"/>
      <c r="K36" s="6"/>
      <c r="L36" s="6"/>
      <c r="M36" s="6"/>
    </row>
    <row r="37" spans="2:13" ht="15.75" x14ac:dyDescent="0.25">
      <c r="B37" s="1"/>
      <c r="C37" s="1"/>
      <c r="D37" s="1"/>
      <c r="E37" s="1"/>
      <c r="F37" s="1"/>
      <c r="G37" s="1"/>
      <c r="H37" s="1"/>
      <c r="I37" s="1"/>
      <c r="J37" s="129" t="str">
        <f>ID!G11</f>
        <v>31 MARET 2023</v>
      </c>
      <c r="K37" s="129"/>
      <c r="L37" s="129"/>
      <c r="M37" s="129"/>
    </row>
    <row r="38" spans="2:13" ht="15.75" x14ac:dyDescent="0.25">
      <c r="B38" s="203" t="s">
        <v>180</v>
      </c>
      <c r="C38" s="203"/>
      <c r="D38" s="203"/>
      <c r="E38" s="1"/>
      <c r="F38" s="1" t="s">
        <v>67</v>
      </c>
      <c r="G38" s="1"/>
      <c r="H38" s="1"/>
      <c r="I38" s="1"/>
      <c r="J38" s="1"/>
      <c r="K38" s="1"/>
      <c r="L38" s="1"/>
      <c r="M38" s="1"/>
    </row>
    <row r="39" spans="2:13" ht="15.75" x14ac:dyDescent="0.25">
      <c r="B39" s="1"/>
      <c r="C39" s="1"/>
      <c r="D39" s="1"/>
      <c r="E39" s="203" t="s">
        <v>179</v>
      </c>
      <c r="F39" s="203"/>
      <c r="G39" s="203"/>
      <c r="H39" s="203"/>
      <c r="I39" s="203"/>
      <c r="J39" s="203" t="s">
        <v>62</v>
      </c>
      <c r="K39" s="203"/>
      <c r="L39" s="203"/>
      <c r="M39" s="203"/>
    </row>
    <row r="40" spans="2:13" ht="15.75" x14ac:dyDescent="0.25">
      <c r="B40" s="1"/>
      <c r="C40" s="1"/>
      <c r="D40" s="1"/>
      <c r="E40" s="1"/>
      <c r="F40" s="1"/>
      <c r="G40" s="1"/>
      <c r="H40" s="1"/>
      <c r="I40" s="1"/>
      <c r="J40" s="1"/>
      <c r="K40" s="1"/>
      <c r="L40" s="1"/>
      <c r="M40" s="1"/>
    </row>
    <row r="41" spans="2:13" ht="15.75" x14ac:dyDescent="0.25">
      <c r="B41" s="1"/>
      <c r="C41" s="1"/>
      <c r="D41" s="1"/>
      <c r="E41" s="1"/>
      <c r="F41" s="1"/>
      <c r="G41" s="1"/>
      <c r="H41" s="1"/>
      <c r="I41" s="1"/>
      <c r="J41" s="1"/>
      <c r="K41" s="1"/>
      <c r="L41" s="1"/>
      <c r="M41" s="1"/>
    </row>
    <row r="42" spans="2:13" ht="15.75" x14ac:dyDescent="0.25">
      <c r="B42" s="1"/>
      <c r="C42" s="1"/>
      <c r="D42" s="1"/>
      <c r="E42" s="1"/>
      <c r="F42" s="1"/>
      <c r="G42" s="1"/>
      <c r="H42" s="1"/>
      <c r="I42" s="1"/>
      <c r="J42" s="1"/>
      <c r="K42" s="1"/>
      <c r="L42" s="1"/>
      <c r="M42" s="1"/>
    </row>
    <row r="43" spans="2:13" ht="15.75" x14ac:dyDescent="0.25">
      <c r="B43" s="270" t="s">
        <v>181</v>
      </c>
      <c r="C43" s="270"/>
      <c r="D43" s="270"/>
      <c r="E43" s="204" t="str">
        <f>ID!G6</f>
        <v>Sri Rahayu, S.Pd., SE.</v>
      </c>
      <c r="F43" s="204"/>
      <c r="G43" s="204"/>
      <c r="H43" s="204"/>
      <c r="I43" s="204"/>
      <c r="J43" s="204" t="str">
        <f>ID!G10</f>
        <v>SURADI S.Pd.</v>
      </c>
      <c r="K43" s="204"/>
      <c r="L43" s="204"/>
      <c r="M43" s="204"/>
    </row>
    <row r="44" spans="2:13" ht="15.75" x14ac:dyDescent="0.25">
      <c r="B44" s="4"/>
      <c r="C44" s="4"/>
      <c r="D44" s="4"/>
      <c r="E44" s="4"/>
      <c r="F44" s="1"/>
      <c r="G44" s="1"/>
      <c r="H44" s="4"/>
      <c r="I44" s="4"/>
      <c r="J44" s="4"/>
      <c r="K44" s="4"/>
      <c r="L44" s="4"/>
      <c r="M44" s="4"/>
    </row>
    <row r="45" spans="2:13" s="21" customFormat="1" ht="7.5" customHeight="1" x14ac:dyDescent="0.25"/>
  </sheetData>
  <sheetProtection selectLockedCells="1"/>
  <mergeCells count="74">
    <mergeCell ref="D2:M2"/>
    <mergeCell ref="V2:AC2"/>
    <mergeCell ref="D3:M3"/>
    <mergeCell ref="V3:AC3"/>
    <mergeCell ref="D4:M4"/>
    <mergeCell ref="V4:AC4"/>
    <mergeCell ref="D5:M5"/>
    <mergeCell ref="V5:AC5"/>
    <mergeCell ref="D6:M6"/>
    <mergeCell ref="V6:AC6"/>
    <mergeCell ref="D7:M7"/>
    <mergeCell ref="O7:R8"/>
    <mergeCell ref="V7:AC7"/>
    <mergeCell ref="D8:M8"/>
    <mergeCell ref="V8:AC8"/>
    <mergeCell ref="D9:M9"/>
    <mergeCell ref="P9:Q11"/>
    <mergeCell ref="R9:R11"/>
    <mergeCell ref="V9:AC9"/>
    <mergeCell ref="B10:M10"/>
    <mergeCell ref="B11:M11"/>
    <mergeCell ref="B12:M12"/>
    <mergeCell ref="P12:Q14"/>
    <mergeCell ref="R12:R14"/>
    <mergeCell ref="B14:C14"/>
    <mergeCell ref="E14:F14"/>
    <mergeCell ref="J14:M14"/>
    <mergeCell ref="C20:E20"/>
    <mergeCell ref="F20:I20"/>
    <mergeCell ref="J20:K20"/>
    <mergeCell ref="L20:M20"/>
    <mergeCell ref="B15:C15"/>
    <mergeCell ref="E15:F15"/>
    <mergeCell ref="J15:M15"/>
    <mergeCell ref="B16:C16"/>
    <mergeCell ref="E16:F16"/>
    <mergeCell ref="J16:M16"/>
    <mergeCell ref="B18:M18"/>
    <mergeCell ref="C19:E19"/>
    <mergeCell ref="F19:I19"/>
    <mergeCell ref="J19:K19"/>
    <mergeCell ref="L19:M19"/>
    <mergeCell ref="C26:E26"/>
    <mergeCell ref="F26:M26"/>
    <mergeCell ref="C21:E21"/>
    <mergeCell ref="F21:I21"/>
    <mergeCell ref="J21:K21"/>
    <mergeCell ref="L21:M21"/>
    <mergeCell ref="C22:E22"/>
    <mergeCell ref="F22:I22"/>
    <mergeCell ref="J22:K22"/>
    <mergeCell ref="L22:M22"/>
    <mergeCell ref="B23:M23"/>
    <mergeCell ref="C24:E24"/>
    <mergeCell ref="F24:M24"/>
    <mergeCell ref="C25:E25"/>
    <mergeCell ref="F25:M25"/>
    <mergeCell ref="B38:D38"/>
    <mergeCell ref="C27:E27"/>
    <mergeCell ref="F27:M27"/>
    <mergeCell ref="C28:E28"/>
    <mergeCell ref="F28:M28"/>
    <mergeCell ref="C29:E29"/>
    <mergeCell ref="F29:M29"/>
    <mergeCell ref="B30:M30"/>
    <mergeCell ref="B31:M32"/>
    <mergeCell ref="B33:M33"/>
    <mergeCell ref="B34:M35"/>
    <mergeCell ref="J37:M37"/>
    <mergeCell ref="E39:I39"/>
    <mergeCell ref="J39:M39"/>
    <mergeCell ref="B43:D43"/>
    <mergeCell ref="E43:I43"/>
    <mergeCell ref="J43:M43"/>
  </mergeCells>
  <pageMargins left="0.31496062992125984" right="0.31496062992125984" top="0.35433070866141736" bottom="0.35433070866141736" header="0.31496062992125984" footer="0.31496062992125984"/>
  <pageSetup paperSize="10000" scale="90"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83969" r:id="rId4" name="Spinner 1">
              <controlPr defaultSize="0" autoPict="0">
                <anchor moveWithCells="1" sizeWithCells="1">
                  <from>
                    <xdr:col>14</xdr:col>
                    <xdr:colOff>28575</xdr:colOff>
                    <xdr:row>8</xdr:row>
                    <xdr:rowOff>0</xdr:rowOff>
                  </from>
                  <to>
                    <xdr:col>14</xdr:col>
                    <xdr:colOff>466725</xdr:colOff>
                    <xdr:row>14</xdr:row>
                    <xdr:rowOff>19050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5">
    <tabColor theme="5" tint="0.39997558519241921"/>
  </sheetPr>
  <dimension ref="A1:L24"/>
  <sheetViews>
    <sheetView topLeftCell="A10" workbookViewId="0">
      <selection activeCell="G17" sqref="G17"/>
    </sheetView>
  </sheetViews>
  <sheetFormatPr defaultColWidth="0" defaultRowHeight="15.75" customHeight="1" zeroHeight="1" x14ac:dyDescent="0.25"/>
  <cols>
    <col min="1" max="1" width="1.5703125" style="74" customWidth="1"/>
    <col min="2" max="2" width="0.85546875" style="54" customWidth="1"/>
    <col min="3" max="3" width="4.85546875" style="54" customWidth="1"/>
    <col min="4" max="5" width="9.140625" style="54" customWidth="1"/>
    <col min="6" max="6" width="37.5703125" style="54" customWidth="1"/>
    <col min="7" max="7" width="14.5703125" style="54" customWidth="1"/>
    <col min="8" max="8" width="1" style="54" customWidth="1"/>
    <col min="9" max="9" width="1.42578125" style="74" customWidth="1"/>
    <col min="10" max="12" width="0" style="54" hidden="1" customWidth="1"/>
    <col min="13" max="16384" width="9.140625" style="54" hidden="1"/>
  </cols>
  <sheetData>
    <row r="1" spans="2:9" s="74" customFormat="1" ht="8.25" customHeight="1" x14ac:dyDescent="0.25"/>
    <row r="2" spans="2:9" ht="68.25" customHeight="1" thickBot="1" x14ac:dyDescent="0.3">
      <c r="C2" s="129"/>
      <c r="D2" s="129"/>
      <c r="E2" s="129"/>
      <c r="F2" s="129"/>
      <c r="G2" s="129"/>
    </row>
    <row r="3" spans="2:9" ht="15.75" customHeight="1" thickBot="1" x14ac:dyDescent="0.35">
      <c r="C3" s="184" t="s">
        <v>72</v>
      </c>
      <c r="D3" s="185"/>
      <c r="E3" s="185"/>
      <c r="F3" s="185"/>
      <c r="G3" s="186"/>
    </row>
    <row r="4" spans="2:9" ht="6" customHeight="1" x14ac:dyDescent="0.25"/>
    <row r="5" spans="2:9" x14ac:dyDescent="0.25">
      <c r="C5" s="15" t="s">
        <v>32</v>
      </c>
      <c r="D5" s="190" t="s">
        <v>33</v>
      </c>
      <c r="E5" s="190"/>
      <c r="F5" s="190"/>
      <c r="G5" s="15" t="s">
        <v>34</v>
      </c>
    </row>
    <row r="6" spans="2:9" x14ac:dyDescent="0.25">
      <c r="C6" s="188" t="s">
        <v>37</v>
      </c>
      <c r="D6" s="188"/>
      <c r="E6" s="188"/>
      <c r="F6" s="188"/>
      <c r="G6" s="188"/>
    </row>
    <row r="7" spans="2:9" x14ac:dyDescent="0.25">
      <c r="C7" s="11">
        <v>1</v>
      </c>
      <c r="D7" s="189" t="s">
        <v>38</v>
      </c>
      <c r="E7" s="189"/>
      <c r="F7" s="189"/>
      <c r="G7" s="76">
        <v>60</v>
      </c>
      <c r="I7" s="75"/>
    </row>
    <row r="8" spans="2:9" x14ac:dyDescent="0.25">
      <c r="C8" s="11">
        <v>2</v>
      </c>
      <c r="D8" s="189" t="s">
        <v>39</v>
      </c>
      <c r="E8" s="189"/>
      <c r="F8" s="189"/>
      <c r="G8" s="76">
        <v>60</v>
      </c>
    </row>
    <row r="9" spans="2:9" x14ac:dyDescent="0.25">
      <c r="C9" s="11">
        <v>3</v>
      </c>
      <c r="D9" s="189" t="s">
        <v>40</v>
      </c>
      <c r="E9" s="189"/>
      <c r="F9" s="189"/>
      <c r="G9" s="76">
        <v>60</v>
      </c>
    </row>
    <row r="10" spans="2:9" x14ac:dyDescent="0.25">
      <c r="C10" s="11">
        <v>4</v>
      </c>
      <c r="D10" s="187" t="s">
        <v>41</v>
      </c>
      <c r="E10" s="187"/>
      <c r="F10" s="187"/>
      <c r="G10" s="76">
        <v>60</v>
      </c>
    </row>
    <row r="11" spans="2:9" x14ac:dyDescent="0.25">
      <c r="C11" s="11">
        <v>5</v>
      </c>
      <c r="D11" s="187" t="s">
        <v>43</v>
      </c>
      <c r="E11" s="187"/>
      <c r="F11" s="187"/>
      <c r="G11" s="76">
        <v>60</v>
      </c>
    </row>
    <row r="12" spans="2:9" x14ac:dyDescent="0.25">
      <c r="C12" s="188" t="s">
        <v>44</v>
      </c>
      <c r="D12" s="188"/>
      <c r="E12" s="188"/>
      <c r="F12" s="188"/>
      <c r="G12" s="188"/>
    </row>
    <row r="13" spans="2:9" x14ac:dyDescent="0.25">
      <c r="B13" s="54">
        <v>1</v>
      </c>
      <c r="C13" s="13">
        <v>1</v>
      </c>
      <c r="D13" s="187" t="s">
        <v>47</v>
      </c>
      <c r="E13" s="187"/>
      <c r="F13" s="187"/>
      <c r="G13" s="76">
        <v>60</v>
      </c>
    </row>
    <row r="14" spans="2:9" x14ac:dyDescent="0.25">
      <c r="C14" s="13">
        <v>2</v>
      </c>
      <c r="D14" s="187" t="s">
        <v>48</v>
      </c>
      <c r="E14" s="187"/>
      <c r="F14" s="187"/>
      <c r="G14" s="76">
        <v>60</v>
      </c>
    </row>
    <row r="15" spans="2:9" x14ac:dyDescent="0.25">
      <c r="C15" s="188" t="s">
        <v>49</v>
      </c>
      <c r="D15" s="188"/>
      <c r="E15" s="188"/>
      <c r="F15" s="188"/>
      <c r="G15" s="188"/>
    </row>
    <row r="16" spans="2:9" x14ac:dyDescent="0.25">
      <c r="C16" s="188" t="s">
        <v>78</v>
      </c>
      <c r="D16" s="188"/>
      <c r="E16" s="188"/>
      <c r="F16" s="188"/>
      <c r="G16" s="188"/>
    </row>
    <row r="17" spans="3:7" x14ac:dyDescent="0.25">
      <c r="C17" s="13">
        <v>1</v>
      </c>
      <c r="D17" s="183" t="s">
        <v>85</v>
      </c>
      <c r="E17" s="183"/>
      <c r="F17" s="183"/>
      <c r="G17" s="76">
        <v>70</v>
      </c>
    </row>
    <row r="18" spans="3:7" x14ac:dyDescent="0.25">
      <c r="C18" s="13">
        <v>2</v>
      </c>
      <c r="D18" s="183" t="s">
        <v>86</v>
      </c>
      <c r="E18" s="183"/>
      <c r="F18" s="183"/>
      <c r="G18" s="76">
        <v>70</v>
      </c>
    </row>
    <row r="19" spans="3:7" x14ac:dyDescent="0.25">
      <c r="C19" s="13">
        <v>3</v>
      </c>
      <c r="D19" s="187" t="s">
        <v>87</v>
      </c>
      <c r="E19" s="187"/>
      <c r="F19" s="187"/>
      <c r="G19" s="76">
        <v>70</v>
      </c>
    </row>
    <row r="20" spans="3:7" x14ac:dyDescent="0.25">
      <c r="C20" s="13">
        <v>4</v>
      </c>
      <c r="D20" s="183" t="s">
        <v>83</v>
      </c>
      <c r="E20" s="183"/>
      <c r="F20" s="183"/>
      <c r="G20" s="76">
        <v>70</v>
      </c>
    </row>
    <row r="21" spans="3:7" x14ac:dyDescent="0.25"/>
    <row r="22" spans="3:7" x14ac:dyDescent="0.25"/>
    <row r="23" spans="3:7" s="74" customFormat="1" ht="9.75" customHeight="1" x14ac:dyDescent="0.25"/>
    <row r="24" spans="3:7" hidden="1" x14ac:dyDescent="0.25"/>
  </sheetData>
  <sheetProtection selectLockedCells="1"/>
  <mergeCells count="18">
    <mergeCell ref="D8:F8"/>
    <mergeCell ref="C2:G2"/>
    <mergeCell ref="C3:G3"/>
    <mergeCell ref="D5:F5"/>
    <mergeCell ref="C6:G6"/>
    <mergeCell ref="D7:F7"/>
    <mergeCell ref="D9:F9"/>
    <mergeCell ref="D10:F10"/>
    <mergeCell ref="D11:F11"/>
    <mergeCell ref="C12:G12"/>
    <mergeCell ref="D13:F13"/>
    <mergeCell ref="D19:F19"/>
    <mergeCell ref="D20:F20"/>
    <mergeCell ref="D14:F14"/>
    <mergeCell ref="C15:G15"/>
    <mergeCell ref="C16:G16"/>
    <mergeCell ref="D17:F17"/>
    <mergeCell ref="D18:F18"/>
  </mergeCells>
  <pageMargins left="0.7" right="0.7" top="0.75" bottom="0.75" header="0.3" footer="0.3"/>
  <pageSetup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9">
    <tabColor theme="4" tint="-0.249977111117893"/>
  </sheetPr>
  <dimension ref="A1:BJ46"/>
  <sheetViews>
    <sheetView topLeftCell="A6" zoomScale="55" zoomScaleNormal="55" workbookViewId="0">
      <selection activeCell="F10" sqref="F10"/>
    </sheetView>
  </sheetViews>
  <sheetFormatPr defaultColWidth="0" defaultRowHeight="15.75" customHeight="1" zeroHeight="1" x14ac:dyDescent="0.25"/>
  <cols>
    <col min="1" max="1" width="1.42578125" style="54" customWidth="1"/>
    <col min="2" max="2" width="6.42578125" style="54" customWidth="1"/>
    <col min="3" max="3" width="27.28515625" style="54" customWidth="1"/>
    <col min="4" max="4" width="5.5703125" style="54" bestFit="1" customWidth="1"/>
    <col min="5" max="5" width="13.85546875" style="54" bestFit="1" customWidth="1"/>
    <col min="6" max="38" width="4.7109375" style="55" customWidth="1"/>
    <col min="39" max="44" width="4.7109375" style="55" hidden="1" customWidth="1"/>
    <col min="45" max="59" width="4.7109375" style="55" hidden="1"/>
    <col min="60" max="61" width="9.28515625" style="54" bestFit="1" customWidth="1"/>
    <col min="62" max="62" width="9.140625" style="54" customWidth="1"/>
    <col min="63" max="16384" width="9.140625" style="54" hidden="1"/>
  </cols>
  <sheetData>
    <row r="1" spans="2:61" ht="7.5" customHeight="1" x14ac:dyDescent="0.25"/>
    <row r="2" spans="2:61" ht="78.75" customHeight="1" thickBot="1" x14ac:dyDescent="0.3"/>
    <row r="3" spans="2:61" ht="24" thickBot="1" x14ac:dyDescent="0.4">
      <c r="B3" s="197" t="s">
        <v>95</v>
      </c>
      <c r="C3" s="198"/>
      <c r="D3" s="198"/>
      <c r="E3" s="198"/>
      <c r="F3" s="198"/>
      <c r="G3" s="198"/>
      <c r="H3" s="198"/>
      <c r="I3" s="198"/>
      <c r="J3" s="198"/>
      <c r="K3" s="198"/>
      <c r="L3" s="198"/>
      <c r="M3" s="198"/>
      <c r="N3" s="198"/>
      <c r="O3" s="198"/>
      <c r="P3" s="198"/>
      <c r="Q3" s="198"/>
      <c r="R3" s="198"/>
      <c r="S3" s="198"/>
      <c r="T3" s="198"/>
      <c r="U3" s="198"/>
      <c r="V3" s="198"/>
      <c r="W3" s="198"/>
      <c r="X3" s="198"/>
      <c r="Y3" s="198"/>
      <c r="Z3" s="198"/>
      <c r="AA3" s="198"/>
      <c r="AB3" s="198"/>
      <c r="AC3" s="198"/>
      <c r="AD3" s="198"/>
      <c r="AE3" s="198"/>
      <c r="AF3" s="198"/>
      <c r="AG3" s="198"/>
      <c r="AH3" s="198"/>
      <c r="AI3" s="198"/>
      <c r="AJ3" s="198"/>
      <c r="AK3" s="198"/>
      <c r="AL3" s="198"/>
      <c r="AM3" s="198"/>
      <c r="AN3" s="198"/>
      <c r="AO3" s="198"/>
      <c r="AP3" s="198"/>
      <c r="AQ3" s="198"/>
      <c r="AR3" s="198"/>
      <c r="AS3" s="198"/>
      <c r="AT3" s="198"/>
      <c r="AU3" s="198"/>
      <c r="AV3" s="198"/>
      <c r="AW3" s="198"/>
      <c r="AX3" s="198"/>
      <c r="AY3" s="198"/>
      <c r="AZ3" s="198"/>
      <c r="BA3" s="198"/>
      <c r="BB3" s="198"/>
      <c r="BC3" s="198"/>
      <c r="BD3" s="198"/>
      <c r="BE3" s="198"/>
      <c r="BF3" s="198"/>
      <c r="BG3" s="198"/>
      <c r="BH3" s="198"/>
      <c r="BI3" s="199"/>
    </row>
    <row r="4" spans="2:61" ht="6" customHeight="1" x14ac:dyDescent="0.25"/>
    <row r="5" spans="2:61" x14ac:dyDescent="0.25">
      <c r="B5" s="165" t="s">
        <v>27</v>
      </c>
      <c r="C5" s="165" t="s">
        <v>88</v>
      </c>
      <c r="D5" s="165" t="s">
        <v>29</v>
      </c>
      <c r="E5" s="165" t="s">
        <v>30</v>
      </c>
      <c r="F5" s="56" t="s">
        <v>89</v>
      </c>
      <c r="G5" s="57"/>
      <c r="H5" s="57"/>
      <c r="I5" s="57"/>
      <c r="J5" s="57"/>
      <c r="K5" s="57"/>
      <c r="L5" s="57"/>
      <c r="M5" s="57"/>
      <c r="N5" s="57"/>
      <c r="O5" s="57"/>
      <c r="P5" s="57"/>
      <c r="Q5" s="57"/>
      <c r="R5" s="57"/>
      <c r="S5" s="57"/>
      <c r="T5" s="57"/>
      <c r="U5" s="57"/>
      <c r="V5" s="57"/>
      <c r="W5" s="57"/>
      <c r="X5" s="57"/>
      <c r="Y5" s="57"/>
      <c r="Z5" s="57"/>
      <c r="AA5" s="57"/>
      <c r="AB5" s="57"/>
      <c r="AC5" s="57"/>
      <c r="AD5" s="57"/>
      <c r="AE5" s="57"/>
      <c r="AF5" s="57"/>
      <c r="AG5" s="57"/>
      <c r="AH5" s="57"/>
      <c r="AI5" s="57"/>
      <c r="AJ5" s="57"/>
      <c r="AK5" s="57"/>
      <c r="AL5" s="57"/>
      <c r="AM5" s="57"/>
      <c r="AN5" s="57"/>
      <c r="AO5" s="57"/>
      <c r="AP5" s="57"/>
      <c r="AQ5" s="57"/>
      <c r="AR5" s="57"/>
      <c r="AS5" s="57"/>
      <c r="AT5" s="57"/>
      <c r="AU5" s="57"/>
      <c r="AV5" s="57"/>
      <c r="AW5" s="57"/>
      <c r="AX5" s="57"/>
      <c r="AY5" s="57"/>
      <c r="AZ5" s="57"/>
      <c r="BA5" s="57"/>
      <c r="BB5" s="57"/>
      <c r="BC5" s="57"/>
      <c r="BD5" s="57"/>
      <c r="BE5" s="57"/>
      <c r="BF5" s="57"/>
      <c r="BG5" s="58"/>
      <c r="BH5" s="168" t="s">
        <v>93</v>
      </c>
      <c r="BI5" s="170" t="s">
        <v>94</v>
      </c>
    </row>
    <row r="6" spans="2:61" ht="98.25" customHeight="1" x14ac:dyDescent="0.25">
      <c r="B6" s="166"/>
      <c r="C6" s="166"/>
      <c r="D6" s="166"/>
      <c r="E6" s="166"/>
      <c r="F6" s="194" t="s">
        <v>90</v>
      </c>
      <c r="G6" s="195"/>
      <c r="H6" s="196"/>
      <c r="I6" s="194" t="s">
        <v>92</v>
      </c>
      <c r="J6" s="195"/>
      <c r="K6" s="196"/>
      <c r="L6" s="191" t="s">
        <v>99</v>
      </c>
      <c r="M6" s="192"/>
      <c r="N6" s="193"/>
      <c r="O6" s="194" t="s">
        <v>91</v>
      </c>
      <c r="P6" s="195"/>
      <c r="Q6" s="196"/>
      <c r="R6" s="200" t="s">
        <v>101</v>
      </c>
      <c r="S6" s="201"/>
      <c r="T6" s="202"/>
      <c r="U6" s="191" t="s">
        <v>104</v>
      </c>
      <c r="V6" s="192"/>
      <c r="W6" s="193"/>
      <c r="X6" s="194" t="s">
        <v>105</v>
      </c>
      <c r="Y6" s="195"/>
      <c r="Z6" s="196"/>
      <c r="AA6" s="191" t="s">
        <v>126</v>
      </c>
      <c r="AB6" s="192"/>
      <c r="AC6" s="193"/>
      <c r="AD6" s="194" t="s">
        <v>127</v>
      </c>
      <c r="AE6" s="195"/>
      <c r="AF6" s="196"/>
      <c r="AG6" s="194" t="s">
        <v>128</v>
      </c>
      <c r="AH6" s="195"/>
      <c r="AI6" s="196"/>
      <c r="AJ6" s="200" t="s">
        <v>124</v>
      </c>
      <c r="AK6" s="201"/>
      <c r="AL6" s="202"/>
      <c r="AM6" s="200" t="s">
        <v>124</v>
      </c>
      <c r="AN6" s="201"/>
      <c r="AO6" s="202"/>
      <c r="AP6" s="200" t="s">
        <v>124</v>
      </c>
      <c r="AQ6" s="201"/>
      <c r="AR6" s="202"/>
      <c r="AS6" s="200" t="s">
        <v>124</v>
      </c>
      <c r="AT6" s="201"/>
      <c r="AU6" s="202"/>
      <c r="AV6" s="194" t="s">
        <v>116</v>
      </c>
      <c r="AW6" s="195"/>
      <c r="AX6" s="196"/>
      <c r="AY6" s="191" t="s">
        <v>117</v>
      </c>
      <c r="AZ6" s="192"/>
      <c r="BA6" s="193"/>
      <c r="BB6" s="191" t="s">
        <v>111</v>
      </c>
      <c r="BC6" s="192"/>
      <c r="BD6" s="193"/>
      <c r="BE6" s="191" t="s">
        <v>112</v>
      </c>
      <c r="BF6" s="192"/>
      <c r="BG6" s="193"/>
      <c r="BH6" s="169"/>
      <c r="BI6" s="171"/>
    </row>
    <row r="7" spans="2:61" ht="24" customHeight="1" x14ac:dyDescent="0.25">
      <c r="B7" s="167"/>
      <c r="C7" s="167"/>
      <c r="D7" s="167"/>
      <c r="E7" s="167"/>
      <c r="F7" s="59" t="s">
        <v>96</v>
      </c>
      <c r="G7" s="59" t="s">
        <v>97</v>
      </c>
      <c r="H7" s="59" t="s">
        <v>98</v>
      </c>
      <c r="I7" s="59" t="s">
        <v>96</v>
      </c>
      <c r="J7" s="59" t="s">
        <v>97</v>
      </c>
      <c r="K7" s="59" t="s">
        <v>98</v>
      </c>
      <c r="L7" s="59" t="s">
        <v>96</v>
      </c>
      <c r="M7" s="59" t="s">
        <v>97</v>
      </c>
      <c r="N7" s="59" t="s">
        <v>98</v>
      </c>
      <c r="O7" s="59" t="s">
        <v>96</v>
      </c>
      <c r="P7" s="59" t="s">
        <v>97</v>
      </c>
      <c r="Q7" s="59" t="s">
        <v>98</v>
      </c>
      <c r="R7" s="59" t="s">
        <v>96</v>
      </c>
      <c r="S7" s="59" t="s">
        <v>97</v>
      </c>
      <c r="T7" s="59" t="s">
        <v>98</v>
      </c>
      <c r="U7" s="59" t="s">
        <v>96</v>
      </c>
      <c r="V7" s="59" t="s">
        <v>97</v>
      </c>
      <c r="W7" s="59" t="s">
        <v>98</v>
      </c>
      <c r="X7" s="59" t="s">
        <v>96</v>
      </c>
      <c r="Y7" s="59" t="s">
        <v>97</v>
      </c>
      <c r="Z7" s="59" t="s">
        <v>98</v>
      </c>
      <c r="AA7" s="59" t="s">
        <v>96</v>
      </c>
      <c r="AB7" s="59" t="s">
        <v>97</v>
      </c>
      <c r="AC7" s="59" t="s">
        <v>98</v>
      </c>
      <c r="AD7" s="59" t="s">
        <v>96</v>
      </c>
      <c r="AE7" s="59" t="s">
        <v>97</v>
      </c>
      <c r="AF7" s="59" t="s">
        <v>98</v>
      </c>
      <c r="AG7" s="59" t="s">
        <v>96</v>
      </c>
      <c r="AH7" s="59" t="s">
        <v>97</v>
      </c>
      <c r="AI7" s="59" t="s">
        <v>98</v>
      </c>
      <c r="AJ7" s="59" t="s">
        <v>96</v>
      </c>
      <c r="AK7" s="59" t="s">
        <v>97</v>
      </c>
      <c r="AL7" s="59" t="s">
        <v>98</v>
      </c>
      <c r="AM7" s="59" t="s">
        <v>96</v>
      </c>
      <c r="AN7" s="59" t="s">
        <v>97</v>
      </c>
      <c r="AO7" s="59" t="s">
        <v>98</v>
      </c>
      <c r="AP7" s="59" t="s">
        <v>96</v>
      </c>
      <c r="AQ7" s="59" t="s">
        <v>97</v>
      </c>
      <c r="AR7" s="59" t="s">
        <v>98</v>
      </c>
      <c r="AS7" s="59" t="s">
        <v>96</v>
      </c>
      <c r="AT7" s="59" t="s">
        <v>97</v>
      </c>
      <c r="AU7" s="59" t="s">
        <v>98</v>
      </c>
      <c r="AV7" s="59" t="s">
        <v>96</v>
      </c>
      <c r="AW7" s="59" t="s">
        <v>97</v>
      </c>
      <c r="AX7" s="59" t="s">
        <v>98</v>
      </c>
      <c r="AY7" s="59" t="s">
        <v>96</v>
      </c>
      <c r="AZ7" s="59" t="s">
        <v>97</v>
      </c>
      <c r="BA7" s="59" t="s">
        <v>98</v>
      </c>
      <c r="BB7" s="59" t="s">
        <v>96</v>
      </c>
      <c r="BC7" s="59" t="s">
        <v>97</v>
      </c>
      <c r="BD7" s="59" t="s">
        <v>98</v>
      </c>
      <c r="BE7" s="59" t="s">
        <v>96</v>
      </c>
      <c r="BF7" s="59" t="s">
        <v>97</v>
      </c>
      <c r="BG7" s="59" t="s">
        <v>98</v>
      </c>
      <c r="BH7" s="60"/>
      <c r="BI7" s="61"/>
    </row>
    <row r="8" spans="2:61" x14ac:dyDescent="0.25">
      <c r="B8" s="62">
        <v>1</v>
      </c>
      <c r="C8" s="62">
        <v>2</v>
      </c>
      <c r="D8" s="62">
        <v>3</v>
      </c>
      <c r="E8" s="62">
        <v>4</v>
      </c>
      <c r="F8" s="62">
        <v>5</v>
      </c>
      <c r="G8" s="62">
        <v>6</v>
      </c>
      <c r="H8" s="62">
        <v>7</v>
      </c>
      <c r="I8" s="62">
        <v>8</v>
      </c>
      <c r="J8" s="62">
        <v>9</v>
      </c>
      <c r="K8" s="62">
        <v>10</v>
      </c>
      <c r="L8" s="62">
        <v>11</v>
      </c>
      <c r="M8" s="62">
        <v>12</v>
      </c>
      <c r="N8" s="62">
        <v>13</v>
      </c>
      <c r="O8" s="62">
        <v>14</v>
      </c>
      <c r="P8" s="62">
        <v>15</v>
      </c>
      <c r="Q8" s="62">
        <v>16</v>
      </c>
      <c r="R8" s="62">
        <v>17</v>
      </c>
      <c r="S8" s="62">
        <v>18</v>
      </c>
      <c r="T8" s="62">
        <v>19</v>
      </c>
      <c r="U8" s="62">
        <v>20</v>
      </c>
      <c r="V8" s="62">
        <v>21</v>
      </c>
      <c r="W8" s="62">
        <v>22</v>
      </c>
      <c r="X8" s="62">
        <v>23</v>
      </c>
      <c r="Y8" s="62">
        <v>24</v>
      </c>
      <c r="Z8" s="62">
        <v>25</v>
      </c>
      <c r="AA8" s="62">
        <v>26</v>
      </c>
      <c r="AB8" s="62">
        <v>27</v>
      </c>
      <c r="AC8" s="62">
        <v>28</v>
      </c>
      <c r="AD8" s="62">
        <v>29</v>
      </c>
      <c r="AE8" s="62">
        <v>30</v>
      </c>
      <c r="AF8" s="62">
        <v>31</v>
      </c>
      <c r="AG8" s="62">
        <v>32</v>
      </c>
      <c r="AH8" s="62">
        <v>33</v>
      </c>
      <c r="AI8" s="62">
        <v>34</v>
      </c>
      <c r="AJ8" s="62">
        <v>35</v>
      </c>
      <c r="AK8" s="62">
        <v>36</v>
      </c>
      <c r="AL8" s="62">
        <v>37</v>
      </c>
      <c r="AM8" s="62">
        <v>38</v>
      </c>
      <c r="AN8" s="62">
        <v>39</v>
      </c>
      <c r="AO8" s="62">
        <v>40</v>
      </c>
      <c r="AP8" s="62">
        <v>41</v>
      </c>
      <c r="AQ8" s="62">
        <v>42</v>
      </c>
      <c r="AR8" s="62">
        <v>43</v>
      </c>
      <c r="AS8" s="62">
        <v>44</v>
      </c>
      <c r="AT8" s="62">
        <v>45</v>
      </c>
      <c r="AU8" s="62">
        <v>46</v>
      </c>
      <c r="AV8" s="62">
        <v>47</v>
      </c>
      <c r="AW8" s="62">
        <v>48</v>
      </c>
      <c r="AX8" s="62">
        <v>49</v>
      </c>
      <c r="AY8" s="62">
        <v>50</v>
      </c>
      <c r="AZ8" s="62">
        <v>51</v>
      </c>
      <c r="BA8" s="62">
        <v>52</v>
      </c>
      <c r="BB8" s="62">
        <v>53</v>
      </c>
      <c r="BC8" s="62">
        <v>54</v>
      </c>
      <c r="BD8" s="62">
        <v>55</v>
      </c>
      <c r="BE8" s="62">
        <v>56</v>
      </c>
      <c r="BF8" s="62">
        <v>57</v>
      </c>
      <c r="BG8" s="62">
        <v>58</v>
      </c>
      <c r="BH8" s="62">
        <v>59</v>
      </c>
      <c r="BI8" s="62">
        <v>60</v>
      </c>
    </row>
    <row r="9" spans="2:61" x14ac:dyDescent="0.25">
      <c r="B9" s="63">
        <v>1</v>
      </c>
      <c r="C9" s="64" t="str">
        <f>NOMINATIF!C6</f>
        <v>AFMALA INSAN QOIRUNISA</v>
      </c>
      <c r="D9" s="65">
        <f>NOMINATIF!D6</f>
        <v>4020</v>
      </c>
      <c r="E9" s="65" t="str">
        <f>NOMINATIF!E6</f>
        <v>0059023845</v>
      </c>
      <c r="F9" s="53">
        <v>78</v>
      </c>
      <c r="G9" s="53"/>
      <c r="H9" s="53"/>
      <c r="I9" s="53">
        <f>IFERROR(VLOOKUP(C9,$BO$8:$BP$101,2,0),0)</f>
        <v>0</v>
      </c>
      <c r="J9" s="53"/>
      <c r="K9" s="53"/>
      <c r="L9" s="53">
        <f>IFERROR(VLOOKUP(C9,$BQ$8:$BR$101,2,0),0)</f>
        <v>0</v>
      </c>
      <c r="M9" s="53"/>
      <c r="N9" s="53"/>
      <c r="O9" s="53">
        <f>IFERROR(VLOOKUP(C9,$BS$8:$BT$39,2,0),0)</f>
        <v>0</v>
      </c>
      <c r="P9" s="53"/>
      <c r="Q9" s="53"/>
      <c r="R9" s="53">
        <f>IFERROR(VLOOKUP(C9,$BU$8:$BV$101,2,0),0)</f>
        <v>0</v>
      </c>
      <c r="S9" s="53"/>
      <c r="T9" s="53"/>
      <c r="U9" s="53">
        <f>IFERROR(VLOOKUP(C9,$BW$8:$BX$101,2,0),0)</f>
        <v>0</v>
      </c>
      <c r="V9" s="53"/>
      <c r="W9" s="53"/>
      <c r="X9" s="53">
        <f>IFERROR(VLOOKUP(C9,$BY$8:$BZ$101,2,0),0)</f>
        <v>0</v>
      </c>
      <c r="Y9" s="53"/>
      <c r="Z9" s="53"/>
      <c r="AA9" s="53">
        <f>IFERROR(VLOOKUP(C9,$CA$8:$CB$39,2,0),0)</f>
        <v>0</v>
      </c>
      <c r="AB9" s="53"/>
      <c r="AC9" s="53"/>
      <c r="AD9" s="53">
        <f>IFERROR(VLOOKUP(C9,$CC$8:$CD$101,2,0),0)</f>
        <v>0</v>
      </c>
      <c r="AE9" s="53"/>
      <c r="AF9" s="53"/>
      <c r="AG9" s="53">
        <f>IFERROR(VLOOKUP(C9,$CE$8:$CF$101,2,0),0)</f>
        <v>0</v>
      </c>
      <c r="AH9" s="53"/>
      <c r="AI9" s="53"/>
      <c r="AJ9" s="53">
        <f>IFERROR(VLOOKUP(C9,$CG$8:$CH$101,2,0),0)</f>
        <v>0</v>
      </c>
      <c r="AK9" s="53"/>
      <c r="AL9" s="53"/>
      <c r="AM9" s="66">
        <f>IFERROR(VLOOKUP(C9,$CI$8:$CJ$39,2,0),0)</f>
        <v>0</v>
      </c>
      <c r="AN9" s="66"/>
      <c r="AO9" s="66"/>
      <c r="AP9" s="66">
        <f>IFERROR(VLOOKUP(C9,$CK$8:$CL$101,2,0),0)</f>
        <v>0</v>
      </c>
      <c r="AQ9" s="66"/>
      <c r="AR9" s="66"/>
      <c r="AS9" s="66">
        <f>IFERROR(VLOOKUP(C9,$CM$8:$CN$101,2,0),0)</f>
        <v>0</v>
      </c>
      <c r="AT9" s="66"/>
      <c r="AU9" s="66"/>
      <c r="AV9" s="66">
        <f>IFERROR(VLOOKUP(C9,$CO$8:$CP$101,2,0),0)</f>
        <v>0</v>
      </c>
      <c r="AW9" s="66"/>
      <c r="AX9" s="66"/>
      <c r="AY9" s="66">
        <f>IFERROR(VLOOKUP(C9,$CQ$8:$CR$101,2,0),0)</f>
        <v>0</v>
      </c>
      <c r="AZ9" s="66"/>
      <c r="BA9" s="66"/>
      <c r="BB9" s="66">
        <f>IFERROR(VLOOKUP(C9,$CS$8:$CT$101,2,0),0)</f>
        <v>0</v>
      </c>
      <c r="BC9" s="66"/>
      <c r="BD9" s="66"/>
      <c r="BE9" s="66">
        <f>IFERROR(VLOOKUP(C9,$CU$8:$CV$101,2,0),0)</f>
        <v>0</v>
      </c>
      <c r="BF9" s="66"/>
      <c r="BG9" s="66"/>
      <c r="BH9" s="67">
        <f>SUM(F9:BE9)</f>
        <v>78</v>
      </c>
      <c r="BI9" s="68">
        <f>RANK(BH9,$BH$9:$BH$43)</f>
        <v>2</v>
      </c>
    </row>
    <row r="10" spans="2:61" x14ac:dyDescent="0.25">
      <c r="B10" s="63">
        <v>2</v>
      </c>
      <c r="C10" s="64" t="str">
        <f>NOMINATIF!C7</f>
        <v>Bella Febriyan</v>
      </c>
      <c r="D10" s="65">
        <f>NOMINATIF!D7</f>
        <v>4044</v>
      </c>
      <c r="E10" s="65" t="str">
        <f>NOMINATIF!E7</f>
        <v>0063121607</v>
      </c>
      <c r="F10" s="53">
        <v>90</v>
      </c>
      <c r="G10" s="53"/>
      <c r="H10" s="53"/>
      <c r="I10" s="53">
        <f t="shared" ref="I10:I43" si="0">IFERROR(VLOOKUP(C10,$BO$8:$BP$101,2,0),0)</f>
        <v>0</v>
      </c>
      <c r="J10" s="53"/>
      <c r="K10" s="53"/>
      <c r="L10" s="53">
        <f t="shared" ref="L10:L43" si="1">IFERROR(VLOOKUP(C10,$BQ$8:$BR$101,2,0),0)</f>
        <v>0</v>
      </c>
      <c r="M10" s="53"/>
      <c r="N10" s="53"/>
      <c r="O10" s="53">
        <f t="shared" ref="O10:O43" si="2">IFERROR(VLOOKUP(C10,$BS$8:$BT$39,2,0),0)</f>
        <v>0</v>
      </c>
      <c r="P10" s="53"/>
      <c r="Q10" s="53"/>
      <c r="R10" s="53">
        <f t="shared" ref="R10:R43" si="3">IFERROR(VLOOKUP(C10,$BU$8:$BV$101,2,0),0)</f>
        <v>0</v>
      </c>
      <c r="S10" s="53"/>
      <c r="T10" s="53"/>
      <c r="U10" s="53">
        <f t="shared" ref="U10:U43" si="4">IFERROR(VLOOKUP(C10,$BW$8:$BX$101,2,0),0)</f>
        <v>0</v>
      </c>
      <c r="V10" s="53"/>
      <c r="W10" s="53"/>
      <c r="X10" s="53">
        <f t="shared" ref="X10:X43" si="5">IFERROR(VLOOKUP(C10,$BY$8:$BZ$101,2,0),0)</f>
        <v>0</v>
      </c>
      <c r="Y10" s="53"/>
      <c r="Z10" s="53"/>
      <c r="AA10" s="53">
        <f t="shared" ref="AA10:AA43" si="6">IFERROR(VLOOKUP(C10,$CA$8:$CB$39,2,0),0)</f>
        <v>0</v>
      </c>
      <c r="AB10" s="53"/>
      <c r="AC10" s="53"/>
      <c r="AD10" s="53">
        <f t="shared" ref="AD10:AD43" si="7">IFERROR(VLOOKUP(C10,$CC$8:$CD$101,2,0),0)</f>
        <v>0</v>
      </c>
      <c r="AE10" s="53"/>
      <c r="AF10" s="53"/>
      <c r="AG10" s="53">
        <f t="shared" ref="AG10:AG43" si="8">IFERROR(VLOOKUP(C10,$CE$8:$CF$101,2,0),0)</f>
        <v>0</v>
      </c>
      <c r="AH10" s="53"/>
      <c r="AI10" s="53"/>
      <c r="AJ10" s="53">
        <f t="shared" ref="AJ10:AJ43" si="9">IFERROR(VLOOKUP(C10,$CG$8:$CH$101,2,0),0)</f>
        <v>0</v>
      </c>
      <c r="AK10" s="53"/>
      <c r="AL10" s="53"/>
      <c r="AM10" s="66">
        <f t="shared" ref="AM10:AM43" si="10">IFERROR(VLOOKUP(C10,$CI$8:$CJ$39,2,0),0)</f>
        <v>0</v>
      </c>
      <c r="AN10" s="66"/>
      <c r="AO10" s="66"/>
      <c r="AP10" s="66">
        <f t="shared" ref="AP10:AP43" si="11">IFERROR(VLOOKUP(C10,$CK$8:$CL$101,2,0),0)</f>
        <v>0</v>
      </c>
      <c r="AQ10" s="66"/>
      <c r="AR10" s="66"/>
      <c r="AS10" s="66">
        <f t="shared" ref="AS10:AS43" si="12">IFERROR(VLOOKUP(C10,$CM$8:$CN$101,2,0),0)</f>
        <v>0</v>
      </c>
      <c r="AT10" s="66"/>
      <c r="AU10" s="66"/>
      <c r="AV10" s="66">
        <f t="shared" ref="AV10:AV43" si="13">IFERROR(VLOOKUP(C10,$CO$8:$CP$101,2,0),0)</f>
        <v>0</v>
      </c>
      <c r="AW10" s="66"/>
      <c r="AX10" s="66"/>
      <c r="AY10" s="66">
        <f t="shared" ref="AY10:AY43" si="14">IFERROR(VLOOKUP(C10,$CQ$8:$CR$101,2,0),0)</f>
        <v>0</v>
      </c>
      <c r="AZ10" s="66"/>
      <c r="BA10" s="66"/>
      <c r="BB10" s="66">
        <f t="shared" ref="BB10:BB43" si="15">IFERROR(VLOOKUP(C10,$CS$8:$CT$101,2,0),0)</f>
        <v>0</v>
      </c>
      <c r="BC10" s="66"/>
      <c r="BD10" s="66"/>
      <c r="BE10" s="66">
        <f t="shared" ref="BE10:BE43" si="16">IFERROR(VLOOKUP(C10,$CU$8:$CV$101,2,0),0)</f>
        <v>0</v>
      </c>
      <c r="BF10" s="66"/>
      <c r="BG10" s="66"/>
      <c r="BH10" s="67">
        <f t="shared" ref="BH10:BH43" si="17">SUM(F10:BE10)</f>
        <v>90</v>
      </c>
      <c r="BI10" s="68">
        <f t="shared" ref="BI10:BI43" si="18">RANK(BH10,$BH$9:$BH$43)</f>
        <v>1</v>
      </c>
    </row>
    <row r="11" spans="2:61" x14ac:dyDescent="0.25">
      <c r="B11" s="63">
        <v>3</v>
      </c>
      <c r="C11" s="64" t="str">
        <f>NOMINATIF!C8</f>
        <v>CHINTIA WIDYA PUTRI</v>
      </c>
      <c r="D11" s="65">
        <f>NOMINATIF!D8</f>
        <v>4024</v>
      </c>
      <c r="E11" s="65" t="str">
        <f>NOMINATIF!E8</f>
        <v>0064862293</v>
      </c>
      <c r="F11" s="53">
        <f t="shared" ref="F11:F43" si="19">IFERROR(VLOOKUP(C11,$BM$8:$BN$101,2,0),0)</f>
        <v>0</v>
      </c>
      <c r="G11" s="53"/>
      <c r="H11" s="53"/>
      <c r="I11" s="53">
        <f t="shared" si="0"/>
        <v>0</v>
      </c>
      <c r="J11" s="53"/>
      <c r="K11" s="53"/>
      <c r="L11" s="53">
        <f t="shared" si="1"/>
        <v>0</v>
      </c>
      <c r="M11" s="53"/>
      <c r="N11" s="53"/>
      <c r="O11" s="53">
        <f t="shared" si="2"/>
        <v>0</v>
      </c>
      <c r="P11" s="53"/>
      <c r="Q11" s="53"/>
      <c r="R11" s="53">
        <f t="shared" si="3"/>
        <v>0</v>
      </c>
      <c r="S11" s="53"/>
      <c r="T11" s="53"/>
      <c r="U11" s="53">
        <f t="shared" si="4"/>
        <v>0</v>
      </c>
      <c r="V11" s="53"/>
      <c r="W11" s="53"/>
      <c r="X11" s="53">
        <f t="shared" si="5"/>
        <v>0</v>
      </c>
      <c r="Y11" s="53"/>
      <c r="Z11" s="53"/>
      <c r="AA11" s="53">
        <f t="shared" si="6"/>
        <v>0</v>
      </c>
      <c r="AB11" s="53"/>
      <c r="AC11" s="53"/>
      <c r="AD11" s="53">
        <f t="shared" si="7"/>
        <v>0</v>
      </c>
      <c r="AE11" s="53"/>
      <c r="AF11" s="53"/>
      <c r="AG11" s="53">
        <f t="shared" si="8"/>
        <v>0</v>
      </c>
      <c r="AH11" s="53"/>
      <c r="AI11" s="53"/>
      <c r="AJ11" s="53">
        <f t="shared" si="9"/>
        <v>0</v>
      </c>
      <c r="AK11" s="53"/>
      <c r="AL11" s="53"/>
      <c r="AM11" s="66">
        <f t="shared" si="10"/>
        <v>0</v>
      </c>
      <c r="AN11" s="66"/>
      <c r="AO11" s="66"/>
      <c r="AP11" s="66">
        <f t="shared" si="11"/>
        <v>0</v>
      </c>
      <c r="AQ11" s="66"/>
      <c r="AR11" s="66"/>
      <c r="AS11" s="66">
        <f t="shared" si="12"/>
        <v>0</v>
      </c>
      <c r="AT11" s="66"/>
      <c r="AU11" s="66"/>
      <c r="AV11" s="66">
        <f t="shared" si="13"/>
        <v>0</v>
      </c>
      <c r="AW11" s="66"/>
      <c r="AX11" s="66"/>
      <c r="AY11" s="66">
        <f t="shared" si="14"/>
        <v>0</v>
      </c>
      <c r="AZ11" s="66"/>
      <c r="BA11" s="66"/>
      <c r="BB11" s="66">
        <f t="shared" si="15"/>
        <v>0</v>
      </c>
      <c r="BC11" s="66"/>
      <c r="BD11" s="66"/>
      <c r="BE11" s="66">
        <f t="shared" si="16"/>
        <v>0</v>
      </c>
      <c r="BF11" s="66"/>
      <c r="BG11" s="66"/>
      <c r="BH11" s="67">
        <f t="shared" si="17"/>
        <v>0</v>
      </c>
      <c r="BI11" s="68">
        <f t="shared" si="18"/>
        <v>3</v>
      </c>
    </row>
    <row r="12" spans="2:61" x14ac:dyDescent="0.25">
      <c r="B12" s="63">
        <v>4</v>
      </c>
      <c r="C12" s="64" t="str">
        <f>NOMINATIF!C9</f>
        <v>DAVINA AZAHRA</v>
      </c>
      <c r="D12" s="65">
        <f>NOMINATIF!D9</f>
        <v>4048</v>
      </c>
      <c r="E12" s="65" t="str">
        <f>NOMINATIF!E9</f>
        <v>0063299654</v>
      </c>
      <c r="F12" s="53">
        <f t="shared" si="19"/>
        <v>0</v>
      </c>
      <c r="G12" s="53"/>
      <c r="H12" s="53"/>
      <c r="I12" s="53">
        <f t="shared" si="0"/>
        <v>0</v>
      </c>
      <c r="J12" s="53"/>
      <c r="K12" s="53"/>
      <c r="L12" s="53">
        <f t="shared" si="1"/>
        <v>0</v>
      </c>
      <c r="M12" s="53"/>
      <c r="N12" s="53"/>
      <c r="O12" s="53">
        <f t="shared" si="2"/>
        <v>0</v>
      </c>
      <c r="P12" s="53"/>
      <c r="Q12" s="53"/>
      <c r="R12" s="53">
        <f t="shared" si="3"/>
        <v>0</v>
      </c>
      <c r="S12" s="53"/>
      <c r="T12" s="53"/>
      <c r="U12" s="53">
        <f t="shared" si="4"/>
        <v>0</v>
      </c>
      <c r="V12" s="53"/>
      <c r="W12" s="53"/>
      <c r="X12" s="53">
        <f t="shared" si="5"/>
        <v>0</v>
      </c>
      <c r="Y12" s="53"/>
      <c r="Z12" s="53"/>
      <c r="AA12" s="53">
        <f t="shared" si="6"/>
        <v>0</v>
      </c>
      <c r="AB12" s="53"/>
      <c r="AC12" s="53"/>
      <c r="AD12" s="53">
        <f t="shared" si="7"/>
        <v>0</v>
      </c>
      <c r="AE12" s="53"/>
      <c r="AF12" s="53"/>
      <c r="AG12" s="53">
        <f t="shared" si="8"/>
        <v>0</v>
      </c>
      <c r="AH12" s="53"/>
      <c r="AI12" s="53"/>
      <c r="AJ12" s="53">
        <f t="shared" si="9"/>
        <v>0</v>
      </c>
      <c r="AK12" s="53"/>
      <c r="AL12" s="53"/>
      <c r="AM12" s="66">
        <f t="shared" si="10"/>
        <v>0</v>
      </c>
      <c r="AN12" s="66"/>
      <c r="AO12" s="66"/>
      <c r="AP12" s="66">
        <f t="shared" si="11"/>
        <v>0</v>
      </c>
      <c r="AQ12" s="66"/>
      <c r="AR12" s="66"/>
      <c r="AS12" s="66">
        <f t="shared" si="12"/>
        <v>0</v>
      </c>
      <c r="AT12" s="66"/>
      <c r="AU12" s="66"/>
      <c r="AV12" s="66">
        <f t="shared" si="13"/>
        <v>0</v>
      </c>
      <c r="AW12" s="66"/>
      <c r="AX12" s="66"/>
      <c r="AY12" s="66">
        <f t="shared" si="14"/>
        <v>0</v>
      </c>
      <c r="AZ12" s="66"/>
      <c r="BA12" s="66"/>
      <c r="BB12" s="66">
        <f t="shared" si="15"/>
        <v>0</v>
      </c>
      <c r="BC12" s="66"/>
      <c r="BD12" s="66"/>
      <c r="BE12" s="66">
        <f t="shared" si="16"/>
        <v>0</v>
      </c>
      <c r="BF12" s="66"/>
      <c r="BG12" s="66"/>
      <c r="BH12" s="67">
        <f t="shared" si="17"/>
        <v>0</v>
      </c>
      <c r="BI12" s="68">
        <f t="shared" si="18"/>
        <v>3</v>
      </c>
    </row>
    <row r="13" spans="2:61" x14ac:dyDescent="0.25">
      <c r="B13" s="63">
        <v>5</v>
      </c>
      <c r="C13" s="64" t="str">
        <f>NOMINATIF!C10</f>
        <v>DELIA TRI ASTUTI</v>
      </c>
      <c r="D13" s="65">
        <f>NOMINATIF!D10</f>
        <v>4049</v>
      </c>
      <c r="E13" s="65" t="str">
        <f>NOMINATIF!E10</f>
        <v>0051684703</v>
      </c>
      <c r="F13" s="53">
        <v>0</v>
      </c>
      <c r="G13" s="53"/>
      <c r="H13" s="53"/>
      <c r="I13" s="53">
        <f t="shared" si="0"/>
        <v>0</v>
      </c>
      <c r="J13" s="53"/>
      <c r="K13" s="53"/>
      <c r="L13" s="53">
        <f t="shared" si="1"/>
        <v>0</v>
      </c>
      <c r="M13" s="53"/>
      <c r="N13" s="53"/>
      <c r="O13" s="53">
        <f t="shared" si="2"/>
        <v>0</v>
      </c>
      <c r="P13" s="53"/>
      <c r="Q13" s="53"/>
      <c r="R13" s="53">
        <f t="shared" si="3"/>
        <v>0</v>
      </c>
      <c r="S13" s="53"/>
      <c r="T13" s="53"/>
      <c r="U13" s="53">
        <f t="shared" si="4"/>
        <v>0</v>
      </c>
      <c r="V13" s="53"/>
      <c r="W13" s="53"/>
      <c r="X13" s="53">
        <f t="shared" si="5"/>
        <v>0</v>
      </c>
      <c r="Y13" s="53"/>
      <c r="Z13" s="53"/>
      <c r="AA13" s="53">
        <f t="shared" si="6"/>
        <v>0</v>
      </c>
      <c r="AB13" s="53"/>
      <c r="AC13" s="53"/>
      <c r="AD13" s="53">
        <f t="shared" si="7"/>
        <v>0</v>
      </c>
      <c r="AE13" s="53"/>
      <c r="AF13" s="53"/>
      <c r="AG13" s="53">
        <f t="shared" si="8"/>
        <v>0</v>
      </c>
      <c r="AH13" s="53"/>
      <c r="AI13" s="53"/>
      <c r="AJ13" s="53">
        <f t="shared" si="9"/>
        <v>0</v>
      </c>
      <c r="AK13" s="53"/>
      <c r="AL13" s="53"/>
      <c r="AM13" s="66">
        <f t="shared" si="10"/>
        <v>0</v>
      </c>
      <c r="AN13" s="66"/>
      <c r="AO13" s="66"/>
      <c r="AP13" s="66">
        <f t="shared" si="11"/>
        <v>0</v>
      </c>
      <c r="AQ13" s="66"/>
      <c r="AR13" s="66"/>
      <c r="AS13" s="66">
        <f t="shared" si="12"/>
        <v>0</v>
      </c>
      <c r="AT13" s="66"/>
      <c r="AU13" s="66"/>
      <c r="AV13" s="66">
        <f t="shared" si="13"/>
        <v>0</v>
      </c>
      <c r="AW13" s="66"/>
      <c r="AX13" s="66"/>
      <c r="AY13" s="66">
        <f t="shared" si="14"/>
        <v>0</v>
      </c>
      <c r="AZ13" s="66"/>
      <c r="BA13" s="66"/>
      <c r="BB13" s="66">
        <f t="shared" si="15"/>
        <v>0</v>
      </c>
      <c r="BC13" s="66"/>
      <c r="BD13" s="66"/>
      <c r="BE13" s="66">
        <f t="shared" si="16"/>
        <v>0</v>
      </c>
      <c r="BF13" s="66"/>
      <c r="BG13" s="66"/>
      <c r="BH13" s="67">
        <f t="shared" si="17"/>
        <v>0</v>
      </c>
      <c r="BI13" s="68">
        <f t="shared" si="18"/>
        <v>3</v>
      </c>
    </row>
    <row r="14" spans="2:61" x14ac:dyDescent="0.25">
      <c r="B14" s="63">
        <v>6</v>
      </c>
      <c r="C14" s="64" t="str">
        <f>NOMINATIF!C11</f>
        <v>ELVA AYU SAPUTRI</v>
      </c>
      <c r="D14" s="65">
        <f>NOMINATIF!D11</f>
        <v>4027</v>
      </c>
      <c r="E14" s="65" t="str">
        <f>NOMINATIF!E11</f>
        <v>0067175983</v>
      </c>
      <c r="F14" s="53">
        <f t="shared" si="19"/>
        <v>0</v>
      </c>
      <c r="G14" s="53"/>
      <c r="H14" s="53"/>
      <c r="I14" s="53">
        <f t="shared" si="0"/>
        <v>0</v>
      </c>
      <c r="J14" s="53"/>
      <c r="K14" s="53"/>
      <c r="L14" s="53">
        <f t="shared" si="1"/>
        <v>0</v>
      </c>
      <c r="M14" s="53"/>
      <c r="N14" s="53"/>
      <c r="O14" s="53">
        <f t="shared" si="2"/>
        <v>0</v>
      </c>
      <c r="P14" s="53"/>
      <c r="Q14" s="53"/>
      <c r="R14" s="53">
        <f t="shared" si="3"/>
        <v>0</v>
      </c>
      <c r="S14" s="53"/>
      <c r="T14" s="53"/>
      <c r="U14" s="53">
        <f t="shared" si="4"/>
        <v>0</v>
      </c>
      <c r="V14" s="53"/>
      <c r="W14" s="53"/>
      <c r="X14" s="53">
        <f t="shared" si="5"/>
        <v>0</v>
      </c>
      <c r="Y14" s="53"/>
      <c r="Z14" s="53"/>
      <c r="AA14" s="53">
        <f t="shared" si="6"/>
        <v>0</v>
      </c>
      <c r="AB14" s="53"/>
      <c r="AC14" s="53"/>
      <c r="AD14" s="53">
        <f t="shared" si="7"/>
        <v>0</v>
      </c>
      <c r="AE14" s="53"/>
      <c r="AF14" s="53"/>
      <c r="AG14" s="53">
        <f t="shared" si="8"/>
        <v>0</v>
      </c>
      <c r="AH14" s="53"/>
      <c r="AI14" s="53"/>
      <c r="AJ14" s="53">
        <f t="shared" si="9"/>
        <v>0</v>
      </c>
      <c r="AK14" s="53"/>
      <c r="AL14" s="53"/>
      <c r="AM14" s="66">
        <f t="shared" si="10"/>
        <v>0</v>
      </c>
      <c r="AN14" s="66"/>
      <c r="AO14" s="66"/>
      <c r="AP14" s="66">
        <f t="shared" si="11"/>
        <v>0</v>
      </c>
      <c r="AQ14" s="66"/>
      <c r="AR14" s="66"/>
      <c r="AS14" s="66">
        <f t="shared" si="12"/>
        <v>0</v>
      </c>
      <c r="AT14" s="66"/>
      <c r="AU14" s="66"/>
      <c r="AV14" s="66">
        <f t="shared" si="13"/>
        <v>0</v>
      </c>
      <c r="AW14" s="66"/>
      <c r="AX14" s="66"/>
      <c r="AY14" s="66">
        <f t="shared" si="14"/>
        <v>0</v>
      </c>
      <c r="AZ14" s="66"/>
      <c r="BA14" s="66"/>
      <c r="BB14" s="66">
        <f t="shared" si="15"/>
        <v>0</v>
      </c>
      <c r="BC14" s="66"/>
      <c r="BD14" s="66"/>
      <c r="BE14" s="66">
        <f t="shared" si="16"/>
        <v>0</v>
      </c>
      <c r="BF14" s="66"/>
      <c r="BG14" s="66"/>
      <c r="BH14" s="67">
        <f t="shared" si="17"/>
        <v>0</v>
      </c>
      <c r="BI14" s="68">
        <f t="shared" si="18"/>
        <v>3</v>
      </c>
    </row>
    <row r="15" spans="2:61" x14ac:dyDescent="0.25">
      <c r="B15" s="63">
        <v>7</v>
      </c>
      <c r="C15" s="64" t="str">
        <f>NOMINATIF!C12</f>
        <v>Irlyn May Ardhiyana</v>
      </c>
      <c r="D15" s="65">
        <f>NOMINATIF!D12</f>
        <v>4030</v>
      </c>
      <c r="E15" s="65" t="str">
        <f>NOMINATIF!E12</f>
        <v>0068161646</v>
      </c>
      <c r="F15" s="53">
        <f t="shared" si="19"/>
        <v>0</v>
      </c>
      <c r="G15" s="53"/>
      <c r="H15" s="53"/>
      <c r="I15" s="53">
        <f t="shared" si="0"/>
        <v>0</v>
      </c>
      <c r="J15" s="53"/>
      <c r="K15" s="53"/>
      <c r="L15" s="53">
        <f t="shared" si="1"/>
        <v>0</v>
      </c>
      <c r="M15" s="53"/>
      <c r="N15" s="53"/>
      <c r="O15" s="53">
        <f t="shared" si="2"/>
        <v>0</v>
      </c>
      <c r="P15" s="53"/>
      <c r="Q15" s="53"/>
      <c r="R15" s="53">
        <f t="shared" si="3"/>
        <v>0</v>
      </c>
      <c r="S15" s="53"/>
      <c r="T15" s="53"/>
      <c r="U15" s="53">
        <f t="shared" si="4"/>
        <v>0</v>
      </c>
      <c r="V15" s="53"/>
      <c r="W15" s="53"/>
      <c r="X15" s="53">
        <f t="shared" si="5"/>
        <v>0</v>
      </c>
      <c r="Y15" s="53"/>
      <c r="Z15" s="53"/>
      <c r="AA15" s="53">
        <f t="shared" si="6"/>
        <v>0</v>
      </c>
      <c r="AB15" s="53"/>
      <c r="AC15" s="53"/>
      <c r="AD15" s="53">
        <f t="shared" si="7"/>
        <v>0</v>
      </c>
      <c r="AE15" s="53"/>
      <c r="AF15" s="53"/>
      <c r="AG15" s="53">
        <f t="shared" si="8"/>
        <v>0</v>
      </c>
      <c r="AH15" s="53"/>
      <c r="AI15" s="53"/>
      <c r="AJ15" s="53">
        <f t="shared" si="9"/>
        <v>0</v>
      </c>
      <c r="AK15" s="53"/>
      <c r="AL15" s="53"/>
      <c r="AM15" s="66">
        <f t="shared" si="10"/>
        <v>0</v>
      </c>
      <c r="AN15" s="66"/>
      <c r="AO15" s="66"/>
      <c r="AP15" s="66">
        <f t="shared" si="11"/>
        <v>0</v>
      </c>
      <c r="AQ15" s="66"/>
      <c r="AR15" s="66"/>
      <c r="AS15" s="66">
        <f t="shared" si="12"/>
        <v>0</v>
      </c>
      <c r="AT15" s="66"/>
      <c r="AU15" s="66"/>
      <c r="AV15" s="66">
        <f t="shared" si="13"/>
        <v>0</v>
      </c>
      <c r="AW15" s="66"/>
      <c r="AX15" s="66"/>
      <c r="AY15" s="66">
        <f t="shared" si="14"/>
        <v>0</v>
      </c>
      <c r="AZ15" s="66"/>
      <c r="BA15" s="66"/>
      <c r="BB15" s="66">
        <f t="shared" si="15"/>
        <v>0</v>
      </c>
      <c r="BC15" s="66"/>
      <c r="BD15" s="66"/>
      <c r="BE15" s="66">
        <f t="shared" si="16"/>
        <v>0</v>
      </c>
      <c r="BF15" s="66"/>
      <c r="BG15" s="66"/>
      <c r="BH15" s="67">
        <f t="shared" si="17"/>
        <v>0</v>
      </c>
      <c r="BI15" s="68">
        <f t="shared" si="18"/>
        <v>3</v>
      </c>
    </row>
    <row r="16" spans="2:61" x14ac:dyDescent="0.25">
      <c r="B16" s="63">
        <v>8</v>
      </c>
      <c r="C16" s="64" t="str">
        <f>NOMINATIF!C13</f>
        <v>Milla Safira</v>
      </c>
      <c r="D16" s="65">
        <f>NOMINATIF!D13</f>
        <v>4053</v>
      </c>
      <c r="E16" s="65" t="str">
        <f>NOMINATIF!E13</f>
        <v>0057801643</v>
      </c>
      <c r="F16" s="53">
        <f t="shared" si="19"/>
        <v>0</v>
      </c>
      <c r="G16" s="53"/>
      <c r="H16" s="53"/>
      <c r="I16" s="53">
        <f t="shared" si="0"/>
        <v>0</v>
      </c>
      <c r="J16" s="53"/>
      <c r="K16" s="53"/>
      <c r="L16" s="53">
        <f t="shared" si="1"/>
        <v>0</v>
      </c>
      <c r="M16" s="53"/>
      <c r="N16" s="53"/>
      <c r="O16" s="53">
        <f t="shared" si="2"/>
        <v>0</v>
      </c>
      <c r="P16" s="53"/>
      <c r="Q16" s="53"/>
      <c r="R16" s="53">
        <f t="shared" si="3"/>
        <v>0</v>
      </c>
      <c r="S16" s="53"/>
      <c r="T16" s="53"/>
      <c r="U16" s="53">
        <f t="shared" si="4"/>
        <v>0</v>
      </c>
      <c r="V16" s="53"/>
      <c r="W16" s="53"/>
      <c r="X16" s="53">
        <f t="shared" si="5"/>
        <v>0</v>
      </c>
      <c r="Y16" s="53"/>
      <c r="Z16" s="53"/>
      <c r="AA16" s="53">
        <f t="shared" si="6"/>
        <v>0</v>
      </c>
      <c r="AB16" s="53"/>
      <c r="AC16" s="53"/>
      <c r="AD16" s="53">
        <f t="shared" si="7"/>
        <v>0</v>
      </c>
      <c r="AE16" s="53"/>
      <c r="AF16" s="53"/>
      <c r="AG16" s="53">
        <f t="shared" si="8"/>
        <v>0</v>
      </c>
      <c r="AH16" s="53"/>
      <c r="AI16" s="53"/>
      <c r="AJ16" s="53">
        <f t="shared" si="9"/>
        <v>0</v>
      </c>
      <c r="AK16" s="53"/>
      <c r="AL16" s="53"/>
      <c r="AM16" s="66">
        <f t="shared" si="10"/>
        <v>0</v>
      </c>
      <c r="AN16" s="66"/>
      <c r="AO16" s="66"/>
      <c r="AP16" s="66">
        <f t="shared" si="11"/>
        <v>0</v>
      </c>
      <c r="AQ16" s="66"/>
      <c r="AR16" s="66"/>
      <c r="AS16" s="66">
        <f t="shared" si="12"/>
        <v>0</v>
      </c>
      <c r="AT16" s="66"/>
      <c r="AU16" s="66"/>
      <c r="AV16" s="66">
        <f t="shared" si="13"/>
        <v>0</v>
      </c>
      <c r="AW16" s="66"/>
      <c r="AX16" s="66"/>
      <c r="AY16" s="66">
        <f t="shared" si="14"/>
        <v>0</v>
      </c>
      <c r="AZ16" s="66"/>
      <c r="BA16" s="66"/>
      <c r="BB16" s="66">
        <f t="shared" si="15"/>
        <v>0</v>
      </c>
      <c r="BC16" s="66"/>
      <c r="BD16" s="66"/>
      <c r="BE16" s="66">
        <f t="shared" si="16"/>
        <v>0</v>
      </c>
      <c r="BF16" s="66"/>
      <c r="BG16" s="66"/>
      <c r="BH16" s="67">
        <f t="shared" si="17"/>
        <v>0</v>
      </c>
      <c r="BI16" s="68">
        <f t="shared" si="18"/>
        <v>3</v>
      </c>
    </row>
    <row r="17" spans="2:61" x14ac:dyDescent="0.25">
      <c r="B17" s="63">
        <v>9</v>
      </c>
      <c r="C17" s="64" t="str">
        <f>NOMINATIF!C14</f>
        <v>NATASYA EVI ARIFAH</v>
      </c>
      <c r="D17" s="65">
        <f>NOMINATIF!D14</f>
        <v>4033</v>
      </c>
      <c r="E17" s="65" t="str">
        <f>NOMINATIF!E14</f>
        <v>0066680260</v>
      </c>
      <c r="F17" s="53">
        <f t="shared" si="19"/>
        <v>0</v>
      </c>
      <c r="G17" s="53"/>
      <c r="H17" s="53"/>
      <c r="I17" s="53">
        <f t="shared" si="0"/>
        <v>0</v>
      </c>
      <c r="J17" s="53"/>
      <c r="K17" s="53"/>
      <c r="L17" s="53">
        <f t="shared" si="1"/>
        <v>0</v>
      </c>
      <c r="M17" s="53"/>
      <c r="N17" s="53"/>
      <c r="O17" s="53">
        <f t="shared" si="2"/>
        <v>0</v>
      </c>
      <c r="P17" s="53"/>
      <c r="Q17" s="53"/>
      <c r="R17" s="53">
        <f t="shared" si="3"/>
        <v>0</v>
      </c>
      <c r="S17" s="53"/>
      <c r="T17" s="53"/>
      <c r="U17" s="53">
        <f t="shared" si="4"/>
        <v>0</v>
      </c>
      <c r="V17" s="53"/>
      <c r="W17" s="53"/>
      <c r="X17" s="53">
        <f t="shared" si="5"/>
        <v>0</v>
      </c>
      <c r="Y17" s="53"/>
      <c r="Z17" s="53"/>
      <c r="AA17" s="53">
        <f t="shared" si="6"/>
        <v>0</v>
      </c>
      <c r="AB17" s="53"/>
      <c r="AC17" s="53"/>
      <c r="AD17" s="53">
        <f t="shared" si="7"/>
        <v>0</v>
      </c>
      <c r="AE17" s="53"/>
      <c r="AF17" s="53"/>
      <c r="AG17" s="53">
        <f t="shared" si="8"/>
        <v>0</v>
      </c>
      <c r="AH17" s="53"/>
      <c r="AI17" s="53"/>
      <c r="AJ17" s="53">
        <f t="shared" si="9"/>
        <v>0</v>
      </c>
      <c r="AK17" s="53"/>
      <c r="AL17" s="53"/>
      <c r="AM17" s="66">
        <f t="shared" si="10"/>
        <v>0</v>
      </c>
      <c r="AN17" s="66"/>
      <c r="AO17" s="66"/>
      <c r="AP17" s="66">
        <f t="shared" si="11"/>
        <v>0</v>
      </c>
      <c r="AQ17" s="66"/>
      <c r="AR17" s="66"/>
      <c r="AS17" s="66">
        <f t="shared" si="12"/>
        <v>0</v>
      </c>
      <c r="AT17" s="66"/>
      <c r="AU17" s="66"/>
      <c r="AV17" s="66">
        <f t="shared" si="13"/>
        <v>0</v>
      </c>
      <c r="AW17" s="66"/>
      <c r="AX17" s="66"/>
      <c r="AY17" s="66">
        <f t="shared" si="14"/>
        <v>0</v>
      </c>
      <c r="AZ17" s="66"/>
      <c r="BA17" s="66"/>
      <c r="BB17" s="66">
        <f t="shared" si="15"/>
        <v>0</v>
      </c>
      <c r="BC17" s="66"/>
      <c r="BD17" s="66"/>
      <c r="BE17" s="66">
        <f t="shared" si="16"/>
        <v>0</v>
      </c>
      <c r="BF17" s="66"/>
      <c r="BG17" s="66"/>
      <c r="BH17" s="67">
        <f t="shared" si="17"/>
        <v>0</v>
      </c>
      <c r="BI17" s="68">
        <f t="shared" si="18"/>
        <v>3</v>
      </c>
    </row>
    <row r="18" spans="2:61" x14ac:dyDescent="0.25">
      <c r="B18" s="63">
        <v>10</v>
      </c>
      <c r="C18" s="64" t="str">
        <f>NOMINATIF!C15</f>
        <v>Nensyih Widyawati Maharani</v>
      </c>
      <c r="D18" s="65">
        <f>NOMINATIF!D15</f>
        <v>4054</v>
      </c>
      <c r="E18" s="65" t="str">
        <f>NOMINATIF!E15</f>
        <v>0064476649</v>
      </c>
      <c r="F18" s="53">
        <f t="shared" si="19"/>
        <v>0</v>
      </c>
      <c r="G18" s="53"/>
      <c r="H18" s="53"/>
      <c r="I18" s="53">
        <f t="shared" si="0"/>
        <v>0</v>
      </c>
      <c r="J18" s="53"/>
      <c r="K18" s="53"/>
      <c r="L18" s="53">
        <f t="shared" si="1"/>
        <v>0</v>
      </c>
      <c r="M18" s="53"/>
      <c r="N18" s="53"/>
      <c r="O18" s="53">
        <f t="shared" si="2"/>
        <v>0</v>
      </c>
      <c r="P18" s="53"/>
      <c r="Q18" s="53"/>
      <c r="R18" s="53">
        <f t="shared" si="3"/>
        <v>0</v>
      </c>
      <c r="S18" s="53"/>
      <c r="T18" s="53"/>
      <c r="U18" s="53">
        <f t="shared" si="4"/>
        <v>0</v>
      </c>
      <c r="V18" s="53"/>
      <c r="W18" s="53"/>
      <c r="X18" s="53">
        <f t="shared" si="5"/>
        <v>0</v>
      </c>
      <c r="Y18" s="53"/>
      <c r="Z18" s="53"/>
      <c r="AA18" s="53">
        <f t="shared" si="6"/>
        <v>0</v>
      </c>
      <c r="AB18" s="53"/>
      <c r="AC18" s="53"/>
      <c r="AD18" s="53">
        <f t="shared" si="7"/>
        <v>0</v>
      </c>
      <c r="AE18" s="53"/>
      <c r="AF18" s="53"/>
      <c r="AG18" s="53">
        <f t="shared" si="8"/>
        <v>0</v>
      </c>
      <c r="AH18" s="53"/>
      <c r="AI18" s="53"/>
      <c r="AJ18" s="53">
        <f t="shared" si="9"/>
        <v>0</v>
      </c>
      <c r="AK18" s="53"/>
      <c r="AL18" s="53"/>
      <c r="AM18" s="66">
        <f t="shared" si="10"/>
        <v>0</v>
      </c>
      <c r="AN18" s="66"/>
      <c r="AO18" s="66"/>
      <c r="AP18" s="66">
        <f t="shared" si="11"/>
        <v>0</v>
      </c>
      <c r="AQ18" s="66"/>
      <c r="AR18" s="66"/>
      <c r="AS18" s="66">
        <f t="shared" si="12"/>
        <v>0</v>
      </c>
      <c r="AT18" s="66"/>
      <c r="AU18" s="66"/>
      <c r="AV18" s="66">
        <f t="shared" si="13"/>
        <v>0</v>
      </c>
      <c r="AW18" s="66"/>
      <c r="AX18" s="66"/>
      <c r="AY18" s="66">
        <f t="shared" si="14"/>
        <v>0</v>
      </c>
      <c r="AZ18" s="66"/>
      <c r="BA18" s="66"/>
      <c r="BB18" s="66">
        <f t="shared" si="15"/>
        <v>0</v>
      </c>
      <c r="BC18" s="66"/>
      <c r="BD18" s="66"/>
      <c r="BE18" s="66">
        <f t="shared" si="16"/>
        <v>0</v>
      </c>
      <c r="BF18" s="66"/>
      <c r="BG18" s="66"/>
      <c r="BH18" s="67">
        <f t="shared" si="17"/>
        <v>0</v>
      </c>
      <c r="BI18" s="68">
        <f t="shared" si="18"/>
        <v>3</v>
      </c>
    </row>
    <row r="19" spans="2:61" x14ac:dyDescent="0.25">
      <c r="B19" s="63">
        <v>11</v>
      </c>
      <c r="C19" s="64" t="str">
        <f>NOMINATIF!C16</f>
        <v>Olifah Hiasianjeng Prehatin</v>
      </c>
      <c r="D19" s="65">
        <f>NOMINATIF!D16</f>
        <v>4056</v>
      </c>
      <c r="E19" s="65" t="str">
        <f>NOMINATIF!E16</f>
        <v>0056102322</v>
      </c>
      <c r="F19" s="53">
        <f t="shared" si="19"/>
        <v>0</v>
      </c>
      <c r="G19" s="53"/>
      <c r="H19" s="53"/>
      <c r="I19" s="53">
        <f t="shared" si="0"/>
        <v>0</v>
      </c>
      <c r="J19" s="53"/>
      <c r="K19" s="53"/>
      <c r="L19" s="53">
        <f t="shared" si="1"/>
        <v>0</v>
      </c>
      <c r="M19" s="53"/>
      <c r="N19" s="53"/>
      <c r="O19" s="53">
        <f t="shared" si="2"/>
        <v>0</v>
      </c>
      <c r="P19" s="53"/>
      <c r="Q19" s="53"/>
      <c r="R19" s="53">
        <f t="shared" si="3"/>
        <v>0</v>
      </c>
      <c r="S19" s="53"/>
      <c r="T19" s="53"/>
      <c r="U19" s="53">
        <f t="shared" si="4"/>
        <v>0</v>
      </c>
      <c r="V19" s="53"/>
      <c r="W19" s="53"/>
      <c r="X19" s="53">
        <f t="shared" si="5"/>
        <v>0</v>
      </c>
      <c r="Y19" s="53"/>
      <c r="Z19" s="53"/>
      <c r="AA19" s="53">
        <f t="shared" si="6"/>
        <v>0</v>
      </c>
      <c r="AB19" s="53"/>
      <c r="AC19" s="53"/>
      <c r="AD19" s="53">
        <f t="shared" si="7"/>
        <v>0</v>
      </c>
      <c r="AE19" s="53"/>
      <c r="AF19" s="53"/>
      <c r="AG19" s="53">
        <f t="shared" si="8"/>
        <v>0</v>
      </c>
      <c r="AH19" s="53"/>
      <c r="AI19" s="53"/>
      <c r="AJ19" s="53">
        <f t="shared" si="9"/>
        <v>0</v>
      </c>
      <c r="AK19" s="53"/>
      <c r="AL19" s="53"/>
      <c r="AM19" s="66">
        <f t="shared" si="10"/>
        <v>0</v>
      </c>
      <c r="AN19" s="66"/>
      <c r="AO19" s="66"/>
      <c r="AP19" s="66">
        <f t="shared" si="11"/>
        <v>0</v>
      </c>
      <c r="AQ19" s="66"/>
      <c r="AR19" s="66"/>
      <c r="AS19" s="66">
        <f t="shared" si="12"/>
        <v>0</v>
      </c>
      <c r="AT19" s="66"/>
      <c r="AU19" s="66"/>
      <c r="AV19" s="66">
        <f t="shared" si="13"/>
        <v>0</v>
      </c>
      <c r="AW19" s="66"/>
      <c r="AX19" s="66"/>
      <c r="AY19" s="66">
        <f t="shared" si="14"/>
        <v>0</v>
      </c>
      <c r="AZ19" s="66"/>
      <c r="BA19" s="66"/>
      <c r="BB19" s="66">
        <f t="shared" si="15"/>
        <v>0</v>
      </c>
      <c r="BC19" s="66"/>
      <c r="BD19" s="66"/>
      <c r="BE19" s="66">
        <f t="shared" si="16"/>
        <v>0</v>
      </c>
      <c r="BF19" s="66"/>
      <c r="BG19" s="66"/>
      <c r="BH19" s="67">
        <f t="shared" si="17"/>
        <v>0</v>
      </c>
      <c r="BI19" s="68">
        <f t="shared" si="18"/>
        <v>3</v>
      </c>
    </row>
    <row r="20" spans="2:61" x14ac:dyDescent="0.25">
      <c r="B20" s="63">
        <v>12</v>
      </c>
      <c r="C20" s="64" t="str">
        <f>NOMINATIF!C17</f>
        <v>Putri Wijayanti</v>
      </c>
      <c r="D20" s="65">
        <f>NOMINATIF!D17</f>
        <v>4057</v>
      </c>
      <c r="E20" s="65" t="str">
        <f>NOMINATIF!E17</f>
        <v>0065546535</v>
      </c>
      <c r="F20" s="53">
        <f t="shared" si="19"/>
        <v>0</v>
      </c>
      <c r="G20" s="53"/>
      <c r="H20" s="53"/>
      <c r="I20" s="53">
        <f t="shared" si="0"/>
        <v>0</v>
      </c>
      <c r="J20" s="53"/>
      <c r="K20" s="53"/>
      <c r="L20" s="53">
        <f t="shared" si="1"/>
        <v>0</v>
      </c>
      <c r="M20" s="53"/>
      <c r="N20" s="53"/>
      <c r="O20" s="53">
        <f t="shared" si="2"/>
        <v>0</v>
      </c>
      <c r="P20" s="53"/>
      <c r="Q20" s="53"/>
      <c r="R20" s="53">
        <f t="shared" si="3"/>
        <v>0</v>
      </c>
      <c r="S20" s="53"/>
      <c r="T20" s="53"/>
      <c r="U20" s="53">
        <f t="shared" si="4"/>
        <v>0</v>
      </c>
      <c r="V20" s="53"/>
      <c r="W20" s="53"/>
      <c r="X20" s="53">
        <f t="shared" si="5"/>
        <v>0</v>
      </c>
      <c r="Y20" s="53"/>
      <c r="Z20" s="53"/>
      <c r="AA20" s="53">
        <f t="shared" si="6"/>
        <v>0</v>
      </c>
      <c r="AB20" s="53"/>
      <c r="AC20" s="53"/>
      <c r="AD20" s="53">
        <f t="shared" si="7"/>
        <v>0</v>
      </c>
      <c r="AE20" s="53"/>
      <c r="AF20" s="53"/>
      <c r="AG20" s="53">
        <f t="shared" si="8"/>
        <v>0</v>
      </c>
      <c r="AH20" s="53"/>
      <c r="AI20" s="53"/>
      <c r="AJ20" s="53">
        <f t="shared" si="9"/>
        <v>0</v>
      </c>
      <c r="AK20" s="53"/>
      <c r="AL20" s="53"/>
      <c r="AM20" s="66">
        <f t="shared" si="10"/>
        <v>0</v>
      </c>
      <c r="AN20" s="66"/>
      <c r="AO20" s="66"/>
      <c r="AP20" s="66">
        <f t="shared" si="11"/>
        <v>0</v>
      </c>
      <c r="AQ20" s="66"/>
      <c r="AR20" s="66"/>
      <c r="AS20" s="66">
        <f t="shared" si="12"/>
        <v>0</v>
      </c>
      <c r="AT20" s="66"/>
      <c r="AU20" s="66"/>
      <c r="AV20" s="66">
        <f t="shared" si="13"/>
        <v>0</v>
      </c>
      <c r="AW20" s="66"/>
      <c r="AX20" s="66"/>
      <c r="AY20" s="66">
        <f t="shared" si="14"/>
        <v>0</v>
      </c>
      <c r="AZ20" s="66"/>
      <c r="BA20" s="66"/>
      <c r="BB20" s="66">
        <f t="shared" si="15"/>
        <v>0</v>
      </c>
      <c r="BC20" s="66"/>
      <c r="BD20" s="66"/>
      <c r="BE20" s="66">
        <f t="shared" si="16"/>
        <v>0</v>
      </c>
      <c r="BF20" s="66"/>
      <c r="BG20" s="66"/>
      <c r="BH20" s="67">
        <f t="shared" si="17"/>
        <v>0</v>
      </c>
      <c r="BI20" s="68">
        <f t="shared" si="18"/>
        <v>3</v>
      </c>
    </row>
    <row r="21" spans="2:61" x14ac:dyDescent="0.25">
      <c r="B21" s="63">
        <v>13</v>
      </c>
      <c r="C21" s="64" t="str">
        <f>NOMINATIF!C18</f>
        <v>Rafli Ramadani</v>
      </c>
      <c r="D21" s="65">
        <f>NOMINATIF!D18</f>
        <v>4058</v>
      </c>
      <c r="E21" s="65" t="str">
        <f>NOMINATIF!E18</f>
        <v>0055462823</v>
      </c>
      <c r="F21" s="53">
        <f t="shared" ref="F21:I21" si="20">IFERROR(VLOOKUP(#REF!,$BQ$8:$BR$101,2,0),0)</f>
        <v>0</v>
      </c>
      <c r="G21" s="53"/>
      <c r="H21" s="53"/>
      <c r="I21" s="53">
        <f t="shared" si="20"/>
        <v>0</v>
      </c>
      <c r="J21" s="53"/>
      <c r="K21" s="53"/>
      <c r="L21" s="53">
        <f t="shared" si="1"/>
        <v>0</v>
      </c>
      <c r="M21" s="53"/>
      <c r="N21" s="53"/>
      <c r="O21" s="53">
        <f t="shared" si="2"/>
        <v>0</v>
      </c>
      <c r="P21" s="53"/>
      <c r="Q21" s="53"/>
      <c r="R21" s="53">
        <f t="shared" si="3"/>
        <v>0</v>
      </c>
      <c r="S21" s="53"/>
      <c r="T21" s="53"/>
      <c r="U21" s="53">
        <f t="shared" si="4"/>
        <v>0</v>
      </c>
      <c r="V21" s="53"/>
      <c r="W21" s="53"/>
      <c r="X21" s="53">
        <f t="shared" si="5"/>
        <v>0</v>
      </c>
      <c r="Y21" s="53"/>
      <c r="Z21" s="53"/>
      <c r="AA21" s="53">
        <f t="shared" si="6"/>
        <v>0</v>
      </c>
      <c r="AB21" s="53"/>
      <c r="AC21" s="53"/>
      <c r="AD21" s="53">
        <f t="shared" si="7"/>
        <v>0</v>
      </c>
      <c r="AE21" s="53"/>
      <c r="AF21" s="53"/>
      <c r="AG21" s="53">
        <f t="shared" si="8"/>
        <v>0</v>
      </c>
      <c r="AH21" s="53"/>
      <c r="AI21" s="53"/>
      <c r="AJ21" s="53">
        <f t="shared" si="9"/>
        <v>0</v>
      </c>
      <c r="AK21" s="53"/>
      <c r="AL21" s="53"/>
      <c r="AM21" s="66">
        <f t="shared" si="10"/>
        <v>0</v>
      </c>
      <c r="AN21" s="66"/>
      <c r="AO21" s="66"/>
      <c r="AP21" s="66">
        <f t="shared" si="11"/>
        <v>0</v>
      </c>
      <c r="AQ21" s="66"/>
      <c r="AR21" s="66"/>
      <c r="AS21" s="66">
        <f t="shared" si="12"/>
        <v>0</v>
      </c>
      <c r="AT21" s="66"/>
      <c r="AU21" s="66"/>
      <c r="AV21" s="66">
        <f t="shared" si="13"/>
        <v>0</v>
      </c>
      <c r="AW21" s="66"/>
      <c r="AX21" s="66"/>
      <c r="AY21" s="66">
        <f t="shared" si="14"/>
        <v>0</v>
      </c>
      <c r="AZ21" s="66"/>
      <c r="BA21" s="66"/>
      <c r="BB21" s="66">
        <f t="shared" si="15"/>
        <v>0</v>
      </c>
      <c r="BC21" s="66"/>
      <c r="BD21" s="66"/>
      <c r="BE21" s="66">
        <f t="shared" si="16"/>
        <v>0</v>
      </c>
      <c r="BF21" s="66"/>
      <c r="BG21" s="66"/>
      <c r="BH21" s="67">
        <f t="shared" si="17"/>
        <v>0</v>
      </c>
      <c r="BI21" s="68">
        <f t="shared" si="18"/>
        <v>3</v>
      </c>
    </row>
    <row r="22" spans="2:61" x14ac:dyDescent="0.25">
      <c r="B22" s="63">
        <v>14</v>
      </c>
      <c r="C22" s="64" t="str">
        <f>NOMINATIF!C19</f>
        <v>Rheiva Elfa Rossidah</v>
      </c>
      <c r="D22" s="65">
        <f>NOMINATIF!D19</f>
        <v>4036</v>
      </c>
      <c r="E22" s="65" t="str">
        <f>NOMINATIF!E19</f>
        <v>0072838616</v>
      </c>
      <c r="F22" s="53">
        <f t="shared" si="19"/>
        <v>0</v>
      </c>
      <c r="G22" s="53"/>
      <c r="H22" s="53"/>
      <c r="I22" s="53">
        <f t="shared" si="0"/>
        <v>0</v>
      </c>
      <c r="J22" s="53"/>
      <c r="K22" s="53"/>
      <c r="L22" s="53">
        <f t="shared" si="1"/>
        <v>0</v>
      </c>
      <c r="M22" s="53"/>
      <c r="N22" s="53"/>
      <c r="O22" s="53">
        <f t="shared" si="2"/>
        <v>0</v>
      </c>
      <c r="P22" s="53"/>
      <c r="Q22" s="53"/>
      <c r="R22" s="53">
        <f t="shared" si="3"/>
        <v>0</v>
      </c>
      <c r="S22" s="53"/>
      <c r="T22" s="53"/>
      <c r="U22" s="53">
        <f t="shared" si="4"/>
        <v>0</v>
      </c>
      <c r="V22" s="53"/>
      <c r="W22" s="53"/>
      <c r="X22" s="53">
        <f t="shared" si="5"/>
        <v>0</v>
      </c>
      <c r="Y22" s="53"/>
      <c r="Z22" s="53"/>
      <c r="AA22" s="53">
        <f t="shared" si="6"/>
        <v>0</v>
      </c>
      <c r="AB22" s="53"/>
      <c r="AC22" s="53"/>
      <c r="AD22" s="53">
        <f t="shared" si="7"/>
        <v>0</v>
      </c>
      <c r="AE22" s="53"/>
      <c r="AF22" s="53"/>
      <c r="AG22" s="53">
        <f t="shared" si="8"/>
        <v>0</v>
      </c>
      <c r="AH22" s="53"/>
      <c r="AI22" s="53"/>
      <c r="AJ22" s="53">
        <f t="shared" si="9"/>
        <v>0</v>
      </c>
      <c r="AK22" s="53"/>
      <c r="AL22" s="53"/>
      <c r="AM22" s="66">
        <f t="shared" si="10"/>
        <v>0</v>
      </c>
      <c r="AN22" s="66"/>
      <c r="AO22" s="66"/>
      <c r="AP22" s="66">
        <f t="shared" si="11"/>
        <v>0</v>
      </c>
      <c r="AQ22" s="66"/>
      <c r="AR22" s="66"/>
      <c r="AS22" s="66">
        <f t="shared" si="12"/>
        <v>0</v>
      </c>
      <c r="AT22" s="66"/>
      <c r="AU22" s="66"/>
      <c r="AV22" s="66">
        <f t="shared" si="13"/>
        <v>0</v>
      </c>
      <c r="AW22" s="66"/>
      <c r="AX22" s="66"/>
      <c r="AY22" s="66">
        <f t="shared" si="14"/>
        <v>0</v>
      </c>
      <c r="AZ22" s="66"/>
      <c r="BA22" s="66"/>
      <c r="BB22" s="66">
        <f t="shared" si="15"/>
        <v>0</v>
      </c>
      <c r="BC22" s="66"/>
      <c r="BD22" s="66"/>
      <c r="BE22" s="66">
        <f t="shared" si="16"/>
        <v>0</v>
      </c>
      <c r="BF22" s="66"/>
      <c r="BG22" s="66"/>
      <c r="BH22" s="67">
        <f t="shared" si="17"/>
        <v>0</v>
      </c>
      <c r="BI22" s="68">
        <f t="shared" si="18"/>
        <v>3</v>
      </c>
    </row>
    <row r="23" spans="2:61" x14ac:dyDescent="0.25">
      <c r="B23" s="63">
        <v>15</v>
      </c>
      <c r="C23" s="64" t="str">
        <f>NOMINATIF!C20</f>
        <v>Selvia Indah Fitriani</v>
      </c>
      <c r="D23" s="65">
        <f>NOMINATIF!D20</f>
        <v>4037</v>
      </c>
      <c r="E23" s="65" t="str">
        <f>NOMINATIF!E20</f>
        <v>0052393386</v>
      </c>
      <c r="F23" s="53">
        <f t="shared" si="19"/>
        <v>0</v>
      </c>
      <c r="G23" s="53"/>
      <c r="H23" s="53"/>
      <c r="I23" s="53">
        <f t="shared" si="0"/>
        <v>0</v>
      </c>
      <c r="J23" s="53"/>
      <c r="K23" s="53"/>
      <c r="L23" s="53">
        <f t="shared" si="1"/>
        <v>0</v>
      </c>
      <c r="M23" s="53"/>
      <c r="N23" s="53"/>
      <c r="O23" s="53">
        <f t="shared" si="2"/>
        <v>0</v>
      </c>
      <c r="P23" s="53"/>
      <c r="Q23" s="53"/>
      <c r="R23" s="53">
        <f t="shared" si="3"/>
        <v>0</v>
      </c>
      <c r="S23" s="53"/>
      <c r="T23" s="53"/>
      <c r="U23" s="53">
        <f t="shared" si="4"/>
        <v>0</v>
      </c>
      <c r="V23" s="53"/>
      <c r="W23" s="53"/>
      <c r="X23" s="53">
        <f t="shared" si="5"/>
        <v>0</v>
      </c>
      <c r="Y23" s="53"/>
      <c r="Z23" s="53"/>
      <c r="AA23" s="53">
        <f t="shared" si="6"/>
        <v>0</v>
      </c>
      <c r="AB23" s="53"/>
      <c r="AC23" s="53"/>
      <c r="AD23" s="53">
        <f t="shared" si="7"/>
        <v>0</v>
      </c>
      <c r="AE23" s="53"/>
      <c r="AF23" s="53"/>
      <c r="AG23" s="53">
        <f t="shared" si="8"/>
        <v>0</v>
      </c>
      <c r="AH23" s="53"/>
      <c r="AI23" s="53"/>
      <c r="AJ23" s="53">
        <f t="shared" si="9"/>
        <v>0</v>
      </c>
      <c r="AK23" s="53"/>
      <c r="AL23" s="53"/>
      <c r="AM23" s="66">
        <f t="shared" si="10"/>
        <v>0</v>
      </c>
      <c r="AN23" s="66"/>
      <c r="AO23" s="66"/>
      <c r="AP23" s="66">
        <f t="shared" si="11"/>
        <v>0</v>
      </c>
      <c r="AQ23" s="66"/>
      <c r="AR23" s="66"/>
      <c r="AS23" s="66">
        <f t="shared" si="12"/>
        <v>0</v>
      </c>
      <c r="AT23" s="66"/>
      <c r="AU23" s="66"/>
      <c r="AV23" s="66">
        <f t="shared" si="13"/>
        <v>0</v>
      </c>
      <c r="AW23" s="66"/>
      <c r="AX23" s="66"/>
      <c r="AY23" s="66">
        <f t="shared" si="14"/>
        <v>0</v>
      </c>
      <c r="AZ23" s="66"/>
      <c r="BA23" s="66"/>
      <c r="BB23" s="66">
        <f t="shared" si="15"/>
        <v>0</v>
      </c>
      <c r="BC23" s="66"/>
      <c r="BD23" s="66"/>
      <c r="BE23" s="66">
        <f t="shared" si="16"/>
        <v>0</v>
      </c>
      <c r="BF23" s="66"/>
      <c r="BG23" s="66"/>
      <c r="BH23" s="67">
        <f t="shared" si="17"/>
        <v>0</v>
      </c>
      <c r="BI23" s="68">
        <f t="shared" si="18"/>
        <v>3</v>
      </c>
    </row>
    <row r="24" spans="2:61" x14ac:dyDescent="0.25">
      <c r="B24" s="63">
        <v>16</v>
      </c>
      <c r="C24" s="64" t="str">
        <f>NOMINATIF!C21</f>
        <v>TIA APRILIA</v>
      </c>
      <c r="D24" s="65">
        <f>NOMINATIF!D21</f>
        <v>4038</v>
      </c>
      <c r="E24" s="65" t="str">
        <f>NOMINATIF!E21</f>
        <v>0066060316</v>
      </c>
      <c r="F24" s="53">
        <f t="shared" si="19"/>
        <v>0</v>
      </c>
      <c r="G24" s="53"/>
      <c r="H24" s="53"/>
      <c r="I24" s="53">
        <f t="shared" si="0"/>
        <v>0</v>
      </c>
      <c r="J24" s="53"/>
      <c r="K24" s="53"/>
      <c r="L24" s="53">
        <f t="shared" si="1"/>
        <v>0</v>
      </c>
      <c r="M24" s="53"/>
      <c r="N24" s="53"/>
      <c r="O24" s="53">
        <f t="shared" si="2"/>
        <v>0</v>
      </c>
      <c r="P24" s="53"/>
      <c r="Q24" s="53"/>
      <c r="R24" s="53">
        <f t="shared" si="3"/>
        <v>0</v>
      </c>
      <c r="S24" s="53"/>
      <c r="T24" s="53"/>
      <c r="U24" s="53">
        <f t="shared" si="4"/>
        <v>0</v>
      </c>
      <c r="V24" s="53"/>
      <c r="W24" s="53"/>
      <c r="X24" s="53">
        <f t="shared" si="5"/>
        <v>0</v>
      </c>
      <c r="Y24" s="53"/>
      <c r="Z24" s="53"/>
      <c r="AA24" s="53">
        <f t="shared" si="6"/>
        <v>0</v>
      </c>
      <c r="AB24" s="53"/>
      <c r="AC24" s="53"/>
      <c r="AD24" s="53">
        <f t="shared" si="7"/>
        <v>0</v>
      </c>
      <c r="AE24" s="53"/>
      <c r="AF24" s="53"/>
      <c r="AG24" s="53">
        <f t="shared" si="8"/>
        <v>0</v>
      </c>
      <c r="AH24" s="53"/>
      <c r="AI24" s="53"/>
      <c r="AJ24" s="53">
        <f t="shared" si="9"/>
        <v>0</v>
      </c>
      <c r="AK24" s="53"/>
      <c r="AL24" s="53"/>
      <c r="AM24" s="66">
        <f t="shared" si="10"/>
        <v>0</v>
      </c>
      <c r="AN24" s="66"/>
      <c r="AO24" s="66"/>
      <c r="AP24" s="66">
        <f t="shared" si="11"/>
        <v>0</v>
      </c>
      <c r="AQ24" s="66"/>
      <c r="AR24" s="66"/>
      <c r="AS24" s="66">
        <f t="shared" si="12"/>
        <v>0</v>
      </c>
      <c r="AT24" s="66"/>
      <c r="AU24" s="66"/>
      <c r="AV24" s="66">
        <f t="shared" si="13"/>
        <v>0</v>
      </c>
      <c r="AW24" s="66"/>
      <c r="AX24" s="66"/>
      <c r="AY24" s="66">
        <f t="shared" si="14"/>
        <v>0</v>
      </c>
      <c r="AZ24" s="66"/>
      <c r="BA24" s="66"/>
      <c r="BB24" s="66">
        <f t="shared" si="15"/>
        <v>0</v>
      </c>
      <c r="BC24" s="66"/>
      <c r="BD24" s="66"/>
      <c r="BE24" s="66">
        <f t="shared" si="16"/>
        <v>0</v>
      </c>
      <c r="BF24" s="66"/>
      <c r="BG24" s="66"/>
      <c r="BH24" s="67">
        <f t="shared" si="17"/>
        <v>0</v>
      </c>
      <c r="BI24" s="68">
        <f t="shared" si="18"/>
        <v>3</v>
      </c>
    </row>
    <row r="25" spans="2:61" x14ac:dyDescent="0.25">
      <c r="B25" s="63">
        <v>17</v>
      </c>
      <c r="C25" s="64" t="str">
        <f>NOMINATIF!C22</f>
        <v>Tri Yulianti</v>
      </c>
      <c r="D25" s="65">
        <f>NOMINATIF!D22</f>
        <v>4060</v>
      </c>
      <c r="E25" s="65" t="str">
        <f>NOMINATIF!E22</f>
        <v>0068674216</v>
      </c>
      <c r="F25" s="53">
        <f t="shared" si="19"/>
        <v>0</v>
      </c>
      <c r="G25" s="53"/>
      <c r="H25" s="53"/>
      <c r="I25" s="53">
        <f t="shared" si="0"/>
        <v>0</v>
      </c>
      <c r="J25" s="53"/>
      <c r="K25" s="53"/>
      <c r="L25" s="53">
        <f t="shared" si="1"/>
        <v>0</v>
      </c>
      <c r="M25" s="53"/>
      <c r="N25" s="53"/>
      <c r="O25" s="53">
        <f t="shared" si="2"/>
        <v>0</v>
      </c>
      <c r="P25" s="53"/>
      <c r="Q25" s="53"/>
      <c r="R25" s="53">
        <f t="shared" si="3"/>
        <v>0</v>
      </c>
      <c r="S25" s="53"/>
      <c r="T25" s="53"/>
      <c r="U25" s="53">
        <f t="shared" si="4"/>
        <v>0</v>
      </c>
      <c r="V25" s="53"/>
      <c r="W25" s="53"/>
      <c r="X25" s="53">
        <f t="shared" si="5"/>
        <v>0</v>
      </c>
      <c r="Y25" s="53"/>
      <c r="Z25" s="53"/>
      <c r="AA25" s="53">
        <f t="shared" si="6"/>
        <v>0</v>
      </c>
      <c r="AB25" s="53"/>
      <c r="AC25" s="53"/>
      <c r="AD25" s="53">
        <f t="shared" si="7"/>
        <v>0</v>
      </c>
      <c r="AE25" s="53"/>
      <c r="AF25" s="53"/>
      <c r="AG25" s="53">
        <f t="shared" si="8"/>
        <v>0</v>
      </c>
      <c r="AH25" s="53"/>
      <c r="AI25" s="53"/>
      <c r="AJ25" s="53">
        <f t="shared" si="9"/>
        <v>0</v>
      </c>
      <c r="AK25" s="53"/>
      <c r="AL25" s="53"/>
      <c r="AM25" s="66">
        <f t="shared" si="10"/>
        <v>0</v>
      </c>
      <c r="AN25" s="66"/>
      <c r="AO25" s="66"/>
      <c r="AP25" s="66">
        <f t="shared" si="11"/>
        <v>0</v>
      </c>
      <c r="AQ25" s="66"/>
      <c r="AR25" s="66"/>
      <c r="AS25" s="66">
        <f t="shared" si="12"/>
        <v>0</v>
      </c>
      <c r="AT25" s="66"/>
      <c r="AU25" s="66"/>
      <c r="AV25" s="66">
        <f t="shared" si="13"/>
        <v>0</v>
      </c>
      <c r="AW25" s="66"/>
      <c r="AX25" s="66"/>
      <c r="AY25" s="66">
        <f t="shared" si="14"/>
        <v>0</v>
      </c>
      <c r="AZ25" s="66"/>
      <c r="BA25" s="66"/>
      <c r="BB25" s="66">
        <f t="shared" si="15"/>
        <v>0</v>
      </c>
      <c r="BC25" s="66"/>
      <c r="BD25" s="66"/>
      <c r="BE25" s="66">
        <f t="shared" si="16"/>
        <v>0</v>
      </c>
      <c r="BF25" s="66"/>
      <c r="BG25" s="66"/>
      <c r="BH25" s="67">
        <f t="shared" si="17"/>
        <v>0</v>
      </c>
      <c r="BI25" s="68">
        <f t="shared" si="18"/>
        <v>3</v>
      </c>
    </row>
    <row r="26" spans="2:61" x14ac:dyDescent="0.25">
      <c r="B26" s="63">
        <v>18</v>
      </c>
      <c r="C26" s="64" t="str">
        <f>NOMINATIF!C23</f>
        <v>Triya Wulandari</v>
      </c>
      <c r="D26" s="65">
        <f>NOMINATIF!D23</f>
        <v>4039</v>
      </c>
      <c r="E26" s="65" t="str">
        <f>NOMINATIF!E23</f>
        <v>0051300903</v>
      </c>
      <c r="F26" s="53">
        <f t="shared" si="19"/>
        <v>0</v>
      </c>
      <c r="G26" s="53"/>
      <c r="H26" s="53"/>
      <c r="I26" s="53">
        <f t="shared" si="0"/>
        <v>0</v>
      </c>
      <c r="J26" s="53"/>
      <c r="K26" s="53"/>
      <c r="L26" s="53">
        <f t="shared" si="1"/>
        <v>0</v>
      </c>
      <c r="M26" s="53"/>
      <c r="N26" s="53"/>
      <c r="O26" s="53">
        <f t="shared" si="2"/>
        <v>0</v>
      </c>
      <c r="P26" s="53"/>
      <c r="Q26" s="53"/>
      <c r="R26" s="53">
        <f t="shared" si="3"/>
        <v>0</v>
      </c>
      <c r="S26" s="53"/>
      <c r="T26" s="53"/>
      <c r="U26" s="53">
        <f t="shared" si="4"/>
        <v>0</v>
      </c>
      <c r="V26" s="53"/>
      <c r="W26" s="53"/>
      <c r="X26" s="53">
        <f t="shared" si="5"/>
        <v>0</v>
      </c>
      <c r="Y26" s="53"/>
      <c r="Z26" s="53"/>
      <c r="AA26" s="53">
        <f t="shared" si="6"/>
        <v>0</v>
      </c>
      <c r="AB26" s="53"/>
      <c r="AC26" s="53"/>
      <c r="AD26" s="53">
        <f t="shared" si="7"/>
        <v>0</v>
      </c>
      <c r="AE26" s="53"/>
      <c r="AF26" s="53"/>
      <c r="AG26" s="53">
        <f t="shared" si="8"/>
        <v>0</v>
      </c>
      <c r="AH26" s="53"/>
      <c r="AI26" s="53"/>
      <c r="AJ26" s="53">
        <f t="shared" si="9"/>
        <v>0</v>
      </c>
      <c r="AK26" s="53"/>
      <c r="AL26" s="53"/>
      <c r="AM26" s="66">
        <f t="shared" si="10"/>
        <v>0</v>
      </c>
      <c r="AN26" s="66"/>
      <c r="AO26" s="66"/>
      <c r="AP26" s="66">
        <f t="shared" si="11"/>
        <v>0</v>
      </c>
      <c r="AQ26" s="66"/>
      <c r="AR26" s="66"/>
      <c r="AS26" s="66">
        <f t="shared" si="12"/>
        <v>0</v>
      </c>
      <c r="AT26" s="66"/>
      <c r="AU26" s="66"/>
      <c r="AV26" s="66">
        <f t="shared" si="13"/>
        <v>0</v>
      </c>
      <c r="AW26" s="66"/>
      <c r="AX26" s="66"/>
      <c r="AY26" s="66">
        <f t="shared" si="14"/>
        <v>0</v>
      </c>
      <c r="AZ26" s="66"/>
      <c r="BA26" s="66"/>
      <c r="BB26" s="66">
        <f t="shared" si="15"/>
        <v>0</v>
      </c>
      <c r="BC26" s="66"/>
      <c r="BD26" s="66"/>
      <c r="BE26" s="66">
        <f t="shared" si="16"/>
        <v>0</v>
      </c>
      <c r="BF26" s="66"/>
      <c r="BG26" s="66"/>
      <c r="BH26" s="67">
        <f t="shared" si="17"/>
        <v>0</v>
      </c>
      <c r="BI26" s="68">
        <f t="shared" si="18"/>
        <v>3</v>
      </c>
    </row>
    <row r="27" spans="2:61" x14ac:dyDescent="0.25">
      <c r="B27" s="63">
        <v>19</v>
      </c>
      <c r="C27" s="64" t="str">
        <f>NOMINATIF!C24</f>
        <v>VANESZA PUTRI PATRECIA</v>
      </c>
      <c r="D27" s="65">
        <f>NOMINATIF!D24</f>
        <v>4040</v>
      </c>
      <c r="E27" s="65" t="str">
        <f>NOMINATIF!E24</f>
        <v>0064416027</v>
      </c>
      <c r="F27" s="53">
        <f t="shared" si="19"/>
        <v>0</v>
      </c>
      <c r="G27" s="53"/>
      <c r="H27" s="53"/>
      <c r="I27" s="53">
        <f t="shared" si="0"/>
        <v>0</v>
      </c>
      <c r="J27" s="53"/>
      <c r="K27" s="53"/>
      <c r="L27" s="53">
        <f t="shared" si="1"/>
        <v>0</v>
      </c>
      <c r="M27" s="53"/>
      <c r="N27" s="53"/>
      <c r="O27" s="53">
        <f t="shared" si="2"/>
        <v>0</v>
      </c>
      <c r="P27" s="53"/>
      <c r="Q27" s="53"/>
      <c r="R27" s="53">
        <f t="shared" si="3"/>
        <v>0</v>
      </c>
      <c r="S27" s="53"/>
      <c r="T27" s="53"/>
      <c r="U27" s="53">
        <f t="shared" si="4"/>
        <v>0</v>
      </c>
      <c r="V27" s="53"/>
      <c r="W27" s="53"/>
      <c r="X27" s="53">
        <f t="shared" si="5"/>
        <v>0</v>
      </c>
      <c r="Y27" s="53"/>
      <c r="Z27" s="53"/>
      <c r="AA27" s="53">
        <f t="shared" si="6"/>
        <v>0</v>
      </c>
      <c r="AB27" s="53"/>
      <c r="AC27" s="53"/>
      <c r="AD27" s="53">
        <f t="shared" si="7"/>
        <v>0</v>
      </c>
      <c r="AE27" s="53"/>
      <c r="AF27" s="53"/>
      <c r="AG27" s="53">
        <f t="shared" si="8"/>
        <v>0</v>
      </c>
      <c r="AH27" s="53"/>
      <c r="AI27" s="53"/>
      <c r="AJ27" s="53">
        <f t="shared" si="9"/>
        <v>0</v>
      </c>
      <c r="AK27" s="53"/>
      <c r="AL27" s="53"/>
      <c r="AM27" s="66">
        <f t="shared" si="10"/>
        <v>0</v>
      </c>
      <c r="AN27" s="66"/>
      <c r="AO27" s="66"/>
      <c r="AP27" s="66">
        <f t="shared" si="11"/>
        <v>0</v>
      </c>
      <c r="AQ27" s="66"/>
      <c r="AR27" s="66"/>
      <c r="AS27" s="66">
        <f t="shared" si="12"/>
        <v>0</v>
      </c>
      <c r="AT27" s="66"/>
      <c r="AU27" s="66"/>
      <c r="AV27" s="66">
        <f t="shared" si="13"/>
        <v>0</v>
      </c>
      <c r="AW27" s="66"/>
      <c r="AX27" s="66"/>
      <c r="AY27" s="66">
        <f t="shared" si="14"/>
        <v>0</v>
      </c>
      <c r="AZ27" s="66"/>
      <c r="BA27" s="66"/>
      <c r="BB27" s="66">
        <f t="shared" si="15"/>
        <v>0</v>
      </c>
      <c r="BC27" s="66"/>
      <c r="BD27" s="66"/>
      <c r="BE27" s="66">
        <f t="shared" si="16"/>
        <v>0</v>
      </c>
      <c r="BF27" s="66"/>
      <c r="BG27" s="66"/>
      <c r="BH27" s="67">
        <f t="shared" si="17"/>
        <v>0</v>
      </c>
      <c r="BI27" s="68">
        <f t="shared" si="18"/>
        <v>3</v>
      </c>
    </row>
    <row r="28" spans="2:61" x14ac:dyDescent="0.25">
      <c r="B28" s="63">
        <v>20</v>
      </c>
      <c r="C28" s="64" t="str">
        <f>NOMINATIF!C25</f>
        <v>Yanuar Diah Lestari</v>
      </c>
      <c r="D28" s="65">
        <f>NOMINATIF!D25</f>
        <v>4061</v>
      </c>
      <c r="E28" s="65" t="str">
        <f>NOMINATIF!E25</f>
        <v>0052554227</v>
      </c>
      <c r="F28" s="53">
        <f t="shared" si="19"/>
        <v>0</v>
      </c>
      <c r="G28" s="53"/>
      <c r="H28" s="53"/>
      <c r="I28" s="53">
        <f t="shared" si="0"/>
        <v>0</v>
      </c>
      <c r="J28" s="53"/>
      <c r="K28" s="53"/>
      <c r="L28" s="53">
        <f t="shared" si="1"/>
        <v>0</v>
      </c>
      <c r="M28" s="53"/>
      <c r="N28" s="53"/>
      <c r="O28" s="53">
        <f t="shared" si="2"/>
        <v>0</v>
      </c>
      <c r="P28" s="53"/>
      <c r="Q28" s="53"/>
      <c r="R28" s="53">
        <f t="shared" si="3"/>
        <v>0</v>
      </c>
      <c r="S28" s="53"/>
      <c r="T28" s="53"/>
      <c r="U28" s="53">
        <f t="shared" si="4"/>
        <v>0</v>
      </c>
      <c r="V28" s="53"/>
      <c r="W28" s="53"/>
      <c r="X28" s="53">
        <f t="shared" si="5"/>
        <v>0</v>
      </c>
      <c r="Y28" s="53"/>
      <c r="Z28" s="53"/>
      <c r="AA28" s="53">
        <f t="shared" si="6"/>
        <v>0</v>
      </c>
      <c r="AB28" s="53"/>
      <c r="AC28" s="53"/>
      <c r="AD28" s="53">
        <f t="shared" si="7"/>
        <v>0</v>
      </c>
      <c r="AE28" s="53"/>
      <c r="AF28" s="53"/>
      <c r="AG28" s="53">
        <f t="shared" si="8"/>
        <v>0</v>
      </c>
      <c r="AH28" s="53"/>
      <c r="AI28" s="53"/>
      <c r="AJ28" s="53">
        <f t="shared" si="9"/>
        <v>0</v>
      </c>
      <c r="AK28" s="53"/>
      <c r="AL28" s="53"/>
      <c r="AM28" s="66">
        <f t="shared" si="10"/>
        <v>0</v>
      </c>
      <c r="AN28" s="66"/>
      <c r="AO28" s="66"/>
      <c r="AP28" s="66">
        <f t="shared" si="11"/>
        <v>0</v>
      </c>
      <c r="AQ28" s="66"/>
      <c r="AR28" s="66"/>
      <c r="AS28" s="66">
        <f t="shared" si="12"/>
        <v>0</v>
      </c>
      <c r="AT28" s="66"/>
      <c r="AU28" s="66"/>
      <c r="AV28" s="66">
        <f t="shared" si="13"/>
        <v>0</v>
      </c>
      <c r="AW28" s="66"/>
      <c r="AX28" s="66"/>
      <c r="AY28" s="66">
        <f t="shared" si="14"/>
        <v>0</v>
      </c>
      <c r="AZ28" s="66"/>
      <c r="BA28" s="66"/>
      <c r="BB28" s="66">
        <f t="shared" si="15"/>
        <v>0</v>
      </c>
      <c r="BC28" s="66"/>
      <c r="BD28" s="66"/>
      <c r="BE28" s="66">
        <f t="shared" si="16"/>
        <v>0</v>
      </c>
      <c r="BF28" s="66"/>
      <c r="BG28" s="66"/>
      <c r="BH28" s="67">
        <f t="shared" si="17"/>
        <v>0</v>
      </c>
      <c r="BI28" s="68">
        <f t="shared" si="18"/>
        <v>3</v>
      </c>
    </row>
    <row r="29" spans="2:61" x14ac:dyDescent="0.25">
      <c r="B29" s="63">
        <v>21</v>
      </c>
      <c r="C29" s="64">
        <f>NOMINATIF!C26</f>
        <v>0</v>
      </c>
      <c r="D29" s="65">
        <f>NOMINATIF!D26</f>
        <v>0</v>
      </c>
      <c r="E29" s="65">
        <f>NOMINATIF!E26</f>
        <v>0</v>
      </c>
      <c r="F29" s="53">
        <f t="shared" si="19"/>
        <v>0</v>
      </c>
      <c r="G29" s="53"/>
      <c r="H29" s="53"/>
      <c r="I29" s="53">
        <f t="shared" si="0"/>
        <v>0</v>
      </c>
      <c r="J29" s="53"/>
      <c r="K29" s="53"/>
      <c r="L29" s="53">
        <f t="shared" si="1"/>
        <v>0</v>
      </c>
      <c r="M29" s="53"/>
      <c r="N29" s="53"/>
      <c r="O29" s="53">
        <f t="shared" si="2"/>
        <v>0</v>
      </c>
      <c r="P29" s="53"/>
      <c r="Q29" s="53"/>
      <c r="R29" s="53">
        <f t="shared" si="3"/>
        <v>0</v>
      </c>
      <c r="S29" s="53"/>
      <c r="T29" s="53"/>
      <c r="U29" s="53">
        <f t="shared" si="4"/>
        <v>0</v>
      </c>
      <c r="V29" s="53"/>
      <c r="W29" s="53"/>
      <c r="X29" s="53">
        <f t="shared" si="5"/>
        <v>0</v>
      </c>
      <c r="Y29" s="53"/>
      <c r="Z29" s="53"/>
      <c r="AA29" s="53">
        <f t="shared" si="6"/>
        <v>0</v>
      </c>
      <c r="AB29" s="53"/>
      <c r="AC29" s="53"/>
      <c r="AD29" s="53">
        <f t="shared" si="7"/>
        <v>0</v>
      </c>
      <c r="AE29" s="53"/>
      <c r="AF29" s="53"/>
      <c r="AG29" s="53">
        <f t="shared" si="8"/>
        <v>0</v>
      </c>
      <c r="AH29" s="53"/>
      <c r="AI29" s="53"/>
      <c r="AJ29" s="53">
        <f t="shared" si="9"/>
        <v>0</v>
      </c>
      <c r="AK29" s="53"/>
      <c r="AL29" s="53"/>
      <c r="AM29" s="66">
        <f t="shared" si="10"/>
        <v>0</v>
      </c>
      <c r="AN29" s="66"/>
      <c r="AO29" s="66"/>
      <c r="AP29" s="66">
        <f t="shared" si="11"/>
        <v>0</v>
      </c>
      <c r="AQ29" s="66"/>
      <c r="AR29" s="66"/>
      <c r="AS29" s="66">
        <f t="shared" si="12"/>
        <v>0</v>
      </c>
      <c r="AT29" s="66"/>
      <c r="AU29" s="66"/>
      <c r="AV29" s="66">
        <f t="shared" si="13"/>
        <v>0</v>
      </c>
      <c r="AW29" s="66"/>
      <c r="AX29" s="66"/>
      <c r="AY29" s="66">
        <f t="shared" si="14"/>
        <v>0</v>
      </c>
      <c r="AZ29" s="66"/>
      <c r="BA29" s="66"/>
      <c r="BB29" s="66">
        <f t="shared" si="15"/>
        <v>0</v>
      </c>
      <c r="BC29" s="66"/>
      <c r="BD29" s="66"/>
      <c r="BE29" s="66">
        <f t="shared" si="16"/>
        <v>0</v>
      </c>
      <c r="BF29" s="66"/>
      <c r="BG29" s="66"/>
      <c r="BH29" s="67">
        <f t="shared" si="17"/>
        <v>0</v>
      </c>
      <c r="BI29" s="68">
        <f t="shared" si="18"/>
        <v>3</v>
      </c>
    </row>
    <row r="30" spans="2:61" x14ac:dyDescent="0.25">
      <c r="B30" s="63">
        <v>22</v>
      </c>
      <c r="C30" s="64">
        <f>NOMINATIF!C27</f>
        <v>0</v>
      </c>
      <c r="D30" s="65">
        <f>NOMINATIF!D27</f>
        <v>0</v>
      </c>
      <c r="E30" s="65">
        <f>NOMINATIF!E27</f>
        <v>0</v>
      </c>
      <c r="F30" s="53">
        <f t="shared" si="19"/>
        <v>0</v>
      </c>
      <c r="G30" s="53"/>
      <c r="H30" s="53"/>
      <c r="I30" s="53">
        <f t="shared" si="0"/>
        <v>0</v>
      </c>
      <c r="J30" s="53"/>
      <c r="K30" s="53"/>
      <c r="L30" s="53">
        <f t="shared" si="1"/>
        <v>0</v>
      </c>
      <c r="M30" s="53"/>
      <c r="N30" s="53"/>
      <c r="O30" s="53">
        <f t="shared" si="2"/>
        <v>0</v>
      </c>
      <c r="P30" s="53"/>
      <c r="Q30" s="53"/>
      <c r="R30" s="53">
        <f t="shared" si="3"/>
        <v>0</v>
      </c>
      <c r="S30" s="53"/>
      <c r="T30" s="53"/>
      <c r="U30" s="53">
        <f t="shared" si="4"/>
        <v>0</v>
      </c>
      <c r="V30" s="53"/>
      <c r="W30" s="53"/>
      <c r="X30" s="53">
        <f t="shared" si="5"/>
        <v>0</v>
      </c>
      <c r="Y30" s="53"/>
      <c r="Z30" s="53"/>
      <c r="AA30" s="53">
        <f t="shared" si="6"/>
        <v>0</v>
      </c>
      <c r="AB30" s="53"/>
      <c r="AC30" s="53"/>
      <c r="AD30" s="53">
        <f t="shared" si="7"/>
        <v>0</v>
      </c>
      <c r="AE30" s="53"/>
      <c r="AF30" s="53"/>
      <c r="AG30" s="53">
        <f t="shared" si="8"/>
        <v>0</v>
      </c>
      <c r="AH30" s="53"/>
      <c r="AI30" s="53"/>
      <c r="AJ30" s="53">
        <f t="shared" si="9"/>
        <v>0</v>
      </c>
      <c r="AK30" s="53"/>
      <c r="AL30" s="53"/>
      <c r="AM30" s="66">
        <f t="shared" si="10"/>
        <v>0</v>
      </c>
      <c r="AN30" s="66"/>
      <c r="AO30" s="66"/>
      <c r="AP30" s="66">
        <f t="shared" si="11"/>
        <v>0</v>
      </c>
      <c r="AQ30" s="66"/>
      <c r="AR30" s="66"/>
      <c r="AS30" s="66">
        <f t="shared" si="12"/>
        <v>0</v>
      </c>
      <c r="AT30" s="66"/>
      <c r="AU30" s="66"/>
      <c r="AV30" s="66">
        <f t="shared" si="13"/>
        <v>0</v>
      </c>
      <c r="AW30" s="66"/>
      <c r="AX30" s="66"/>
      <c r="AY30" s="66">
        <f t="shared" si="14"/>
        <v>0</v>
      </c>
      <c r="AZ30" s="66"/>
      <c r="BA30" s="66"/>
      <c r="BB30" s="66">
        <f t="shared" si="15"/>
        <v>0</v>
      </c>
      <c r="BC30" s="66"/>
      <c r="BD30" s="66"/>
      <c r="BE30" s="66">
        <f t="shared" si="16"/>
        <v>0</v>
      </c>
      <c r="BF30" s="66"/>
      <c r="BG30" s="66"/>
      <c r="BH30" s="67">
        <f t="shared" si="17"/>
        <v>0</v>
      </c>
      <c r="BI30" s="68">
        <f t="shared" si="18"/>
        <v>3</v>
      </c>
    </row>
    <row r="31" spans="2:61" x14ac:dyDescent="0.25">
      <c r="B31" s="63">
        <v>23</v>
      </c>
      <c r="C31" s="64">
        <f>NOMINATIF!C28</f>
        <v>0</v>
      </c>
      <c r="D31" s="65">
        <f>NOMINATIF!D28</f>
        <v>0</v>
      </c>
      <c r="E31" s="65">
        <f>NOMINATIF!E28</f>
        <v>0</v>
      </c>
      <c r="F31" s="53">
        <f t="shared" si="19"/>
        <v>0</v>
      </c>
      <c r="G31" s="53"/>
      <c r="H31" s="53"/>
      <c r="I31" s="53">
        <f t="shared" si="0"/>
        <v>0</v>
      </c>
      <c r="J31" s="53"/>
      <c r="K31" s="53"/>
      <c r="L31" s="53">
        <f t="shared" si="1"/>
        <v>0</v>
      </c>
      <c r="M31" s="53"/>
      <c r="N31" s="53"/>
      <c r="O31" s="53">
        <f t="shared" si="2"/>
        <v>0</v>
      </c>
      <c r="P31" s="53"/>
      <c r="Q31" s="53"/>
      <c r="R31" s="53">
        <f t="shared" si="3"/>
        <v>0</v>
      </c>
      <c r="S31" s="53"/>
      <c r="T31" s="53"/>
      <c r="U31" s="53">
        <f t="shared" si="4"/>
        <v>0</v>
      </c>
      <c r="V31" s="53"/>
      <c r="W31" s="53"/>
      <c r="X31" s="53">
        <f t="shared" si="5"/>
        <v>0</v>
      </c>
      <c r="Y31" s="53"/>
      <c r="Z31" s="53"/>
      <c r="AA31" s="53">
        <f t="shared" si="6"/>
        <v>0</v>
      </c>
      <c r="AB31" s="53"/>
      <c r="AC31" s="53"/>
      <c r="AD31" s="53">
        <f t="shared" si="7"/>
        <v>0</v>
      </c>
      <c r="AE31" s="53"/>
      <c r="AF31" s="53"/>
      <c r="AG31" s="53">
        <f t="shared" si="8"/>
        <v>0</v>
      </c>
      <c r="AH31" s="53"/>
      <c r="AI31" s="53"/>
      <c r="AJ31" s="53">
        <f t="shared" si="9"/>
        <v>0</v>
      </c>
      <c r="AK31" s="53"/>
      <c r="AL31" s="53"/>
      <c r="AM31" s="66">
        <f t="shared" si="10"/>
        <v>0</v>
      </c>
      <c r="AN31" s="66"/>
      <c r="AO31" s="66"/>
      <c r="AP31" s="66">
        <f t="shared" si="11"/>
        <v>0</v>
      </c>
      <c r="AQ31" s="66"/>
      <c r="AR31" s="66"/>
      <c r="AS31" s="66">
        <f t="shared" si="12"/>
        <v>0</v>
      </c>
      <c r="AT31" s="66"/>
      <c r="AU31" s="66"/>
      <c r="AV31" s="66">
        <f t="shared" si="13"/>
        <v>0</v>
      </c>
      <c r="AW31" s="66"/>
      <c r="AX31" s="66"/>
      <c r="AY31" s="66">
        <f t="shared" si="14"/>
        <v>0</v>
      </c>
      <c r="AZ31" s="66"/>
      <c r="BA31" s="66"/>
      <c r="BB31" s="66">
        <f t="shared" si="15"/>
        <v>0</v>
      </c>
      <c r="BC31" s="66"/>
      <c r="BD31" s="66"/>
      <c r="BE31" s="66">
        <f t="shared" si="16"/>
        <v>0</v>
      </c>
      <c r="BF31" s="66"/>
      <c r="BG31" s="66"/>
      <c r="BH31" s="67">
        <f t="shared" si="17"/>
        <v>0</v>
      </c>
      <c r="BI31" s="68">
        <f t="shared" si="18"/>
        <v>3</v>
      </c>
    </row>
    <row r="32" spans="2:61" x14ac:dyDescent="0.25">
      <c r="B32" s="63">
        <v>24</v>
      </c>
      <c r="C32" s="64">
        <f>NOMINATIF!C29</f>
        <v>0</v>
      </c>
      <c r="D32" s="65">
        <f>NOMINATIF!D29</f>
        <v>0</v>
      </c>
      <c r="E32" s="65">
        <f>NOMINATIF!E29</f>
        <v>0</v>
      </c>
      <c r="F32" s="53">
        <f t="shared" si="19"/>
        <v>0</v>
      </c>
      <c r="G32" s="53"/>
      <c r="H32" s="53"/>
      <c r="I32" s="53">
        <f t="shared" si="0"/>
        <v>0</v>
      </c>
      <c r="J32" s="53"/>
      <c r="K32" s="53"/>
      <c r="L32" s="53">
        <f t="shared" si="1"/>
        <v>0</v>
      </c>
      <c r="M32" s="53"/>
      <c r="N32" s="53"/>
      <c r="O32" s="53">
        <f t="shared" si="2"/>
        <v>0</v>
      </c>
      <c r="P32" s="53"/>
      <c r="Q32" s="53"/>
      <c r="R32" s="53">
        <f t="shared" si="3"/>
        <v>0</v>
      </c>
      <c r="S32" s="53"/>
      <c r="T32" s="53"/>
      <c r="U32" s="53">
        <f t="shared" si="4"/>
        <v>0</v>
      </c>
      <c r="V32" s="53"/>
      <c r="W32" s="53"/>
      <c r="X32" s="53">
        <f t="shared" si="5"/>
        <v>0</v>
      </c>
      <c r="Y32" s="53"/>
      <c r="Z32" s="53"/>
      <c r="AA32" s="53">
        <f t="shared" si="6"/>
        <v>0</v>
      </c>
      <c r="AB32" s="53"/>
      <c r="AC32" s="53"/>
      <c r="AD32" s="53">
        <f t="shared" si="7"/>
        <v>0</v>
      </c>
      <c r="AE32" s="53"/>
      <c r="AF32" s="53"/>
      <c r="AG32" s="53">
        <f t="shared" si="8"/>
        <v>0</v>
      </c>
      <c r="AH32" s="53"/>
      <c r="AI32" s="53"/>
      <c r="AJ32" s="53">
        <f t="shared" si="9"/>
        <v>0</v>
      </c>
      <c r="AK32" s="53"/>
      <c r="AL32" s="53"/>
      <c r="AM32" s="66">
        <f t="shared" si="10"/>
        <v>0</v>
      </c>
      <c r="AN32" s="66"/>
      <c r="AO32" s="66"/>
      <c r="AP32" s="66">
        <f t="shared" si="11"/>
        <v>0</v>
      </c>
      <c r="AQ32" s="66"/>
      <c r="AR32" s="66"/>
      <c r="AS32" s="66">
        <f t="shared" si="12"/>
        <v>0</v>
      </c>
      <c r="AT32" s="66"/>
      <c r="AU32" s="66"/>
      <c r="AV32" s="66">
        <f t="shared" si="13"/>
        <v>0</v>
      </c>
      <c r="AW32" s="66"/>
      <c r="AX32" s="66"/>
      <c r="AY32" s="66">
        <f t="shared" si="14"/>
        <v>0</v>
      </c>
      <c r="AZ32" s="66"/>
      <c r="BA32" s="66"/>
      <c r="BB32" s="66">
        <f t="shared" si="15"/>
        <v>0</v>
      </c>
      <c r="BC32" s="66"/>
      <c r="BD32" s="66"/>
      <c r="BE32" s="66">
        <f t="shared" si="16"/>
        <v>0</v>
      </c>
      <c r="BF32" s="66"/>
      <c r="BG32" s="66"/>
      <c r="BH32" s="67">
        <f t="shared" si="17"/>
        <v>0</v>
      </c>
      <c r="BI32" s="68">
        <f t="shared" si="18"/>
        <v>3</v>
      </c>
    </row>
    <row r="33" spans="2:61" x14ac:dyDescent="0.25">
      <c r="B33" s="63">
        <v>25</v>
      </c>
      <c r="C33" s="64">
        <f>NOMINATIF!C30</f>
        <v>0</v>
      </c>
      <c r="D33" s="65">
        <f>NOMINATIF!D30</f>
        <v>0</v>
      </c>
      <c r="E33" s="65">
        <f>NOMINATIF!E30</f>
        <v>0</v>
      </c>
      <c r="F33" s="53">
        <f t="shared" si="19"/>
        <v>0</v>
      </c>
      <c r="G33" s="53"/>
      <c r="H33" s="53"/>
      <c r="I33" s="53">
        <f t="shared" si="0"/>
        <v>0</v>
      </c>
      <c r="J33" s="53"/>
      <c r="K33" s="53"/>
      <c r="L33" s="53">
        <f t="shared" si="1"/>
        <v>0</v>
      </c>
      <c r="M33" s="53"/>
      <c r="N33" s="53"/>
      <c r="O33" s="53">
        <f t="shared" si="2"/>
        <v>0</v>
      </c>
      <c r="P33" s="53"/>
      <c r="Q33" s="53"/>
      <c r="R33" s="53">
        <f t="shared" si="3"/>
        <v>0</v>
      </c>
      <c r="S33" s="53"/>
      <c r="T33" s="53"/>
      <c r="U33" s="53">
        <f t="shared" si="4"/>
        <v>0</v>
      </c>
      <c r="V33" s="53"/>
      <c r="W33" s="53"/>
      <c r="X33" s="53">
        <f t="shared" si="5"/>
        <v>0</v>
      </c>
      <c r="Y33" s="53"/>
      <c r="Z33" s="53"/>
      <c r="AA33" s="53">
        <f t="shared" si="6"/>
        <v>0</v>
      </c>
      <c r="AB33" s="53"/>
      <c r="AC33" s="53"/>
      <c r="AD33" s="53">
        <f t="shared" si="7"/>
        <v>0</v>
      </c>
      <c r="AE33" s="53"/>
      <c r="AF33" s="53"/>
      <c r="AG33" s="53">
        <f t="shared" si="8"/>
        <v>0</v>
      </c>
      <c r="AH33" s="53"/>
      <c r="AI33" s="53"/>
      <c r="AJ33" s="53">
        <f t="shared" si="9"/>
        <v>0</v>
      </c>
      <c r="AK33" s="53"/>
      <c r="AL33" s="53"/>
      <c r="AM33" s="66">
        <f t="shared" si="10"/>
        <v>0</v>
      </c>
      <c r="AN33" s="66"/>
      <c r="AO33" s="66"/>
      <c r="AP33" s="66">
        <f t="shared" si="11"/>
        <v>0</v>
      </c>
      <c r="AQ33" s="66"/>
      <c r="AR33" s="66"/>
      <c r="AS33" s="66">
        <f t="shared" si="12"/>
        <v>0</v>
      </c>
      <c r="AT33" s="66"/>
      <c r="AU33" s="66"/>
      <c r="AV33" s="66">
        <f t="shared" si="13"/>
        <v>0</v>
      </c>
      <c r="AW33" s="66"/>
      <c r="AX33" s="66"/>
      <c r="AY33" s="66">
        <f t="shared" si="14"/>
        <v>0</v>
      </c>
      <c r="AZ33" s="66"/>
      <c r="BA33" s="66"/>
      <c r="BB33" s="66">
        <f t="shared" si="15"/>
        <v>0</v>
      </c>
      <c r="BC33" s="66"/>
      <c r="BD33" s="66"/>
      <c r="BE33" s="66">
        <f t="shared" si="16"/>
        <v>0</v>
      </c>
      <c r="BF33" s="66"/>
      <c r="BG33" s="66"/>
      <c r="BH33" s="67">
        <f t="shared" si="17"/>
        <v>0</v>
      </c>
      <c r="BI33" s="68">
        <f t="shared" si="18"/>
        <v>3</v>
      </c>
    </row>
    <row r="34" spans="2:61" x14ac:dyDescent="0.25">
      <c r="B34" s="63">
        <v>26</v>
      </c>
      <c r="C34" s="64">
        <f>NOMINATIF!C31</f>
        <v>0</v>
      </c>
      <c r="D34" s="65">
        <f>NOMINATIF!D31</f>
        <v>0</v>
      </c>
      <c r="E34" s="65">
        <f>NOMINATIF!E31</f>
        <v>0</v>
      </c>
      <c r="F34" s="53">
        <f t="shared" si="19"/>
        <v>0</v>
      </c>
      <c r="G34" s="53"/>
      <c r="H34" s="53"/>
      <c r="I34" s="53">
        <f t="shared" si="0"/>
        <v>0</v>
      </c>
      <c r="J34" s="53"/>
      <c r="K34" s="53"/>
      <c r="L34" s="53">
        <f t="shared" si="1"/>
        <v>0</v>
      </c>
      <c r="M34" s="53"/>
      <c r="N34" s="53"/>
      <c r="O34" s="53">
        <f t="shared" si="2"/>
        <v>0</v>
      </c>
      <c r="P34" s="53"/>
      <c r="Q34" s="53"/>
      <c r="R34" s="53">
        <f t="shared" si="3"/>
        <v>0</v>
      </c>
      <c r="S34" s="53"/>
      <c r="T34" s="53"/>
      <c r="U34" s="53">
        <f t="shared" si="4"/>
        <v>0</v>
      </c>
      <c r="V34" s="53"/>
      <c r="W34" s="53"/>
      <c r="X34" s="53">
        <f t="shared" si="5"/>
        <v>0</v>
      </c>
      <c r="Y34" s="53"/>
      <c r="Z34" s="53"/>
      <c r="AA34" s="53">
        <f t="shared" si="6"/>
        <v>0</v>
      </c>
      <c r="AB34" s="53"/>
      <c r="AC34" s="53"/>
      <c r="AD34" s="53">
        <f t="shared" si="7"/>
        <v>0</v>
      </c>
      <c r="AE34" s="53"/>
      <c r="AF34" s="53"/>
      <c r="AG34" s="53">
        <f t="shared" si="8"/>
        <v>0</v>
      </c>
      <c r="AH34" s="53"/>
      <c r="AI34" s="53"/>
      <c r="AJ34" s="53">
        <f t="shared" si="9"/>
        <v>0</v>
      </c>
      <c r="AK34" s="53"/>
      <c r="AL34" s="53"/>
      <c r="AM34" s="66">
        <f t="shared" si="10"/>
        <v>0</v>
      </c>
      <c r="AN34" s="66"/>
      <c r="AO34" s="66"/>
      <c r="AP34" s="66">
        <f t="shared" si="11"/>
        <v>0</v>
      </c>
      <c r="AQ34" s="66"/>
      <c r="AR34" s="66"/>
      <c r="AS34" s="66">
        <f t="shared" si="12"/>
        <v>0</v>
      </c>
      <c r="AT34" s="66"/>
      <c r="AU34" s="66"/>
      <c r="AV34" s="66">
        <f t="shared" si="13"/>
        <v>0</v>
      </c>
      <c r="AW34" s="66"/>
      <c r="AX34" s="66"/>
      <c r="AY34" s="66">
        <f t="shared" si="14"/>
        <v>0</v>
      </c>
      <c r="AZ34" s="66"/>
      <c r="BA34" s="66"/>
      <c r="BB34" s="66">
        <f t="shared" si="15"/>
        <v>0</v>
      </c>
      <c r="BC34" s="66"/>
      <c r="BD34" s="66"/>
      <c r="BE34" s="66">
        <f t="shared" si="16"/>
        <v>0</v>
      </c>
      <c r="BF34" s="66"/>
      <c r="BG34" s="66"/>
      <c r="BH34" s="67">
        <f t="shared" si="17"/>
        <v>0</v>
      </c>
      <c r="BI34" s="68">
        <f t="shared" si="18"/>
        <v>3</v>
      </c>
    </row>
    <row r="35" spans="2:61" x14ac:dyDescent="0.25">
      <c r="B35" s="63">
        <v>27</v>
      </c>
      <c r="C35" s="64">
        <f>NOMINATIF!C32</f>
        <v>0</v>
      </c>
      <c r="D35" s="65">
        <f>NOMINATIF!D32</f>
        <v>0</v>
      </c>
      <c r="E35" s="65">
        <f>NOMINATIF!E32</f>
        <v>0</v>
      </c>
      <c r="F35" s="53">
        <f t="shared" si="19"/>
        <v>0</v>
      </c>
      <c r="G35" s="53"/>
      <c r="H35" s="53"/>
      <c r="I35" s="53">
        <f t="shared" si="0"/>
        <v>0</v>
      </c>
      <c r="J35" s="53"/>
      <c r="K35" s="53"/>
      <c r="L35" s="53">
        <f t="shared" si="1"/>
        <v>0</v>
      </c>
      <c r="M35" s="53"/>
      <c r="N35" s="53"/>
      <c r="O35" s="53">
        <f t="shared" si="2"/>
        <v>0</v>
      </c>
      <c r="P35" s="53"/>
      <c r="Q35" s="53"/>
      <c r="R35" s="53">
        <f t="shared" si="3"/>
        <v>0</v>
      </c>
      <c r="S35" s="53"/>
      <c r="T35" s="53"/>
      <c r="U35" s="53">
        <f t="shared" si="4"/>
        <v>0</v>
      </c>
      <c r="V35" s="53"/>
      <c r="W35" s="53"/>
      <c r="X35" s="53">
        <f t="shared" si="5"/>
        <v>0</v>
      </c>
      <c r="Y35" s="53"/>
      <c r="Z35" s="53"/>
      <c r="AA35" s="53">
        <f t="shared" si="6"/>
        <v>0</v>
      </c>
      <c r="AB35" s="53"/>
      <c r="AC35" s="53"/>
      <c r="AD35" s="53">
        <f t="shared" si="7"/>
        <v>0</v>
      </c>
      <c r="AE35" s="53"/>
      <c r="AF35" s="53"/>
      <c r="AG35" s="53">
        <f t="shared" si="8"/>
        <v>0</v>
      </c>
      <c r="AH35" s="53"/>
      <c r="AI35" s="53"/>
      <c r="AJ35" s="53">
        <f t="shared" si="9"/>
        <v>0</v>
      </c>
      <c r="AK35" s="53"/>
      <c r="AL35" s="53"/>
      <c r="AM35" s="66">
        <f t="shared" si="10"/>
        <v>0</v>
      </c>
      <c r="AN35" s="66"/>
      <c r="AO35" s="66"/>
      <c r="AP35" s="66">
        <f t="shared" si="11"/>
        <v>0</v>
      </c>
      <c r="AQ35" s="66"/>
      <c r="AR35" s="66"/>
      <c r="AS35" s="66">
        <f t="shared" si="12"/>
        <v>0</v>
      </c>
      <c r="AT35" s="66"/>
      <c r="AU35" s="66"/>
      <c r="AV35" s="66">
        <f t="shared" si="13"/>
        <v>0</v>
      </c>
      <c r="AW35" s="66"/>
      <c r="AX35" s="66"/>
      <c r="AY35" s="66">
        <f t="shared" si="14"/>
        <v>0</v>
      </c>
      <c r="AZ35" s="66"/>
      <c r="BA35" s="66"/>
      <c r="BB35" s="66">
        <f t="shared" si="15"/>
        <v>0</v>
      </c>
      <c r="BC35" s="66"/>
      <c r="BD35" s="66"/>
      <c r="BE35" s="66">
        <f t="shared" si="16"/>
        <v>0</v>
      </c>
      <c r="BF35" s="66"/>
      <c r="BG35" s="66"/>
      <c r="BH35" s="67">
        <f t="shared" si="17"/>
        <v>0</v>
      </c>
      <c r="BI35" s="68">
        <f t="shared" si="18"/>
        <v>3</v>
      </c>
    </row>
    <row r="36" spans="2:61" x14ac:dyDescent="0.25">
      <c r="B36" s="63">
        <v>28</v>
      </c>
      <c r="C36" s="64">
        <f>NOMINATIF!C33</f>
        <v>0</v>
      </c>
      <c r="D36" s="65">
        <f>NOMINATIF!D33</f>
        <v>0</v>
      </c>
      <c r="E36" s="65">
        <f>NOMINATIF!E33</f>
        <v>0</v>
      </c>
      <c r="F36" s="53">
        <f t="shared" si="19"/>
        <v>0</v>
      </c>
      <c r="G36" s="53"/>
      <c r="H36" s="53"/>
      <c r="I36" s="53">
        <f t="shared" si="0"/>
        <v>0</v>
      </c>
      <c r="J36" s="53"/>
      <c r="K36" s="53"/>
      <c r="L36" s="53">
        <f t="shared" si="1"/>
        <v>0</v>
      </c>
      <c r="M36" s="53"/>
      <c r="N36" s="53"/>
      <c r="O36" s="53">
        <f t="shared" si="2"/>
        <v>0</v>
      </c>
      <c r="P36" s="53"/>
      <c r="Q36" s="53"/>
      <c r="R36" s="53">
        <f t="shared" si="3"/>
        <v>0</v>
      </c>
      <c r="S36" s="53"/>
      <c r="T36" s="53"/>
      <c r="U36" s="53">
        <f t="shared" si="4"/>
        <v>0</v>
      </c>
      <c r="V36" s="53"/>
      <c r="W36" s="53"/>
      <c r="X36" s="53">
        <f t="shared" si="5"/>
        <v>0</v>
      </c>
      <c r="Y36" s="53"/>
      <c r="Z36" s="53"/>
      <c r="AA36" s="53">
        <f t="shared" si="6"/>
        <v>0</v>
      </c>
      <c r="AB36" s="53"/>
      <c r="AC36" s="53"/>
      <c r="AD36" s="53">
        <f t="shared" si="7"/>
        <v>0</v>
      </c>
      <c r="AE36" s="53"/>
      <c r="AF36" s="53"/>
      <c r="AG36" s="53">
        <f t="shared" si="8"/>
        <v>0</v>
      </c>
      <c r="AH36" s="53"/>
      <c r="AI36" s="53"/>
      <c r="AJ36" s="53">
        <f t="shared" si="9"/>
        <v>0</v>
      </c>
      <c r="AK36" s="53"/>
      <c r="AL36" s="53"/>
      <c r="AM36" s="66">
        <f t="shared" si="10"/>
        <v>0</v>
      </c>
      <c r="AN36" s="66"/>
      <c r="AO36" s="66"/>
      <c r="AP36" s="66">
        <f t="shared" si="11"/>
        <v>0</v>
      </c>
      <c r="AQ36" s="66"/>
      <c r="AR36" s="66"/>
      <c r="AS36" s="66">
        <f t="shared" si="12"/>
        <v>0</v>
      </c>
      <c r="AT36" s="66"/>
      <c r="AU36" s="66"/>
      <c r="AV36" s="66">
        <f t="shared" si="13"/>
        <v>0</v>
      </c>
      <c r="AW36" s="66"/>
      <c r="AX36" s="66"/>
      <c r="AY36" s="66">
        <f t="shared" si="14"/>
        <v>0</v>
      </c>
      <c r="AZ36" s="66"/>
      <c r="BA36" s="66"/>
      <c r="BB36" s="66">
        <f t="shared" si="15"/>
        <v>0</v>
      </c>
      <c r="BC36" s="66"/>
      <c r="BD36" s="66"/>
      <c r="BE36" s="66">
        <f t="shared" si="16"/>
        <v>0</v>
      </c>
      <c r="BF36" s="66"/>
      <c r="BG36" s="66"/>
      <c r="BH36" s="67">
        <f t="shared" si="17"/>
        <v>0</v>
      </c>
      <c r="BI36" s="68">
        <f t="shared" si="18"/>
        <v>3</v>
      </c>
    </row>
    <row r="37" spans="2:61" x14ac:dyDescent="0.25">
      <c r="B37" s="63">
        <v>29</v>
      </c>
      <c r="C37" s="64">
        <f>NOMINATIF!C34</f>
        <v>0</v>
      </c>
      <c r="D37" s="65">
        <f>NOMINATIF!D34</f>
        <v>0</v>
      </c>
      <c r="E37" s="65">
        <f>NOMINATIF!E34</f>
        <v>0</v>
      </c>
      <c r="F37" s="53">
        <f t="shared" si="19"/>
        <v>0</v>
      </c>
      <c r="G37" s="53"/>
      <c r="H37" s="53"/>
      <c r="I37" s="53">
        <f t="shared" si="0"/>
        <v>0</v>
      </c>
      <c r="J37" s="53"/>
      <c r="K37" s="53"/>
      <c r="L37" s="53">
        <f t="shared" si="1"/>
        <v>0</v>
      </c>
      <c r="M37" s="53"/>
      <c r="N37" s="53"/>
      <c r="O37" s="53">
        <f t="shared" si="2"/>
        <v>0</v>
      </c>
      <c r="P37" s="53"/>
      <c r="Q37" s="53"/>
      <c r="R37" s="53">
        <f t="shared" si="3"/>
        <v>0</v>
      </c>
      <c r="S37" s="53"/>
      <c r="T37" s="53"/>
      <c r="U37" s="53">
        <f t="shared" si="4"/>
        <v>0</v>
      </c>
      <c r="V37" s="53"/>
      <c r="W37" s="53"/>
      <c r="X37" s="53">
        <f t="shared" si="5"/>
        <v>0</v>
      </c>
      <c r="Y37" s="53"/>
      <c r="Z37" s="53"/>
      <c r="AA37" s="53">
        <f t="shared" si="6"/>
        <v>0</v>
      </c>
      <c r="AB37" s="53"/>
      <c r="AC37" s="53"/>
      <c r="AD37" s="53">
        <f t="shared" si="7"/>
        <v>0</v>
      </c>
      <c r="AE37" s="53"/>
      <c r="AF37" s="53"/>
      <c r="AG37" s="53">
        <f t="shared" si="8"/>
        <v>0</v>
      </c>
      <c r="AH37" s="53"/>
      <c r="AI37" s="53"/>
      <c r="AJ37" s="53">
        <f t="shared" si="9"/>
        <v>0</v>
      </c>
      <c r="AK37" s="53"/>
      <c r="AL37" s="53"/>
      <c r="AM37" s="66">
        <f t="shared" si="10"/>
        <v>0</v>
      </c>
      <c r="AN37" s="66"/>
      <c r="AO37" s="66"/>
      <c r="AP37" s="66">
        <f t="shared" si="11"/>
        <v>0</v>
      </c>
      <c r="AQ37" s="66"/>
      <c r="AR37" s="66"/>
      <c r="AS37" s="66">
        <f t="shared" si="12"/>
        <v>0</v>
      </c>
      <c r="AT37" s="66"/>
      <c r="AU37" s="66"/>
      <c r="AV37" s="66">
        <f t="shared" si="13"/>
        <v>0</v>
      </c>
      <c r="AW37" s="66"/>
      <c r="AX37" s="66"/>
      <c r="AY37" s="66">
        <f t="shared" si="14"/>
        <v>0</v>
      </c>
      <c r="AZ37" s="66"/>
      <c r="BA37" s="66"/>
      <c r="BB37" s="66">
        <f t="shared" si="15"/>
        <v>0</v>
      </c>
      <c r="BC37" s="66"/>
      <c r="BD37" s="66"/>
      <c r="BE37" s="66">
        <f t="shared" si="16"/>
        <v>0</v>
      </c>
      <c r="BF37" s="66"/>
      <c r="BG37" s="66"/>
      <c r="BH37" s="67">
        <f t="shared" si="17"/>
        <v>0</v>
      </c>
      <c r="BI37" s="68">
        <f t="shared" si="18"/>
        <v>3</v>
      </c>
    </row>
    <row r="38" spans="2:61" x14ac:dyDescent="0.25">
      <c r="B38" s="63">
        <v>30</v>
      </c>
      <c r="C38" s="64">
        <f>NOMINATIF!C35</f>
        <v>0</v>
      </c>
      <c r="D38" s="65">
        <f>NOMINATIF!D35</f>
        <v>0</v>
      </c>
      <c r="E38" s="65">
        <f>NOMINATIF!E35</f>
        <v>0</v>
      </c>
      <c r="F38" s="53">
        <f t="shared" si="19"/>
        <v>0</v>
      </c>
      <c r="G38" s="53"/>
      <c r="H38" s="53"/>
      <c r="I38" s="53">
        <f t="shared" si="0"/>
        <v>0</v>
      </c>
      <c r="J38" s="53"/>
      <c r="K38" s="53"/>
      <c r="L38" s="53">
        <f t="shared" si="1"/>
        <v>0</v>
      </c>
      <c r="M38" s="53"/>
      <c r="N38" s="53"/>
      <c r="O38" s="53">
        <f t="shared" si="2"/>
        <v>0</v>
      </c>
      <c r="P38" s="53"/>
      <c r="Q38" s="53"/>
      <c r="R38" s="53">
        <f t="shared" si="3"/>
        <v>0</v>
      </c>
      <c r="S38" s="53"/>
      <c r="T38" s="53"/>
      <c r="U38" s="53">
        <f t="shared" si="4"/>
        <v>0</v>
      </c>
      <c r="V38" s="53"/>
      <c r="W38" s="53"/>
      <c r="X38" s="53">
        <f t="shared" si="5"/>
        <v>0</v>
      </c>
      <c r="Y38" s="53"/>
      <c r="Z38" s="53"/>
      <c r="AA38" s="53">
        <f t="shared" si="6"/>
        <v>0</v>
      </c>
      <c r="AB38" s="53"/>
      <c r="AC38" s="53"/>
      <c r="AD38" s="53">
        <f t="shared" si="7"/>
        <v>0</v>
      </c>
      <c r="AE38" s="53"/>
      <c r="AF38" s="53"/>
      <c r="AG38" s="53">
        <f t="shared" si="8"/>
        <v>0</v>
      </c>
      <c r="AH38" s="53"/>
      <c r="AI38" s="53"/>
      <c r="AJ38" s="53">
        <f t="shared" si="9"/>
        <v>0</v>
      </c>
      <c r="AK38" s="53"/>
      <c r="AL38" s="53"/>
      <c r="AM38" s="66">
        <f t="shared" si="10"/>
        <v>0</v>
      </c>
      <c r="AN38" s="66"/>
      <c r="AO38" s="66"/>
      <c r="AP38" s="66">
        <f t="shared" si="11"/>
        <v>0</v>
      </c>
      <c r="AQ38" s="66"/>
      <c r="AR38" s="66"/>
      <c r="AS38" s="66">
        <f t="shared" si="12"/>
        <v>0</v>
      </c>
      <c r="AT38" s="66"/>
      <c r="AU38" s="66"/>
      <c r="AV38" s="66">
        <f t="shared" si="13"/>
        <v>0</v>
      </c>
      <c r="AW38" s="66"/>
      <c r="AX38" s="66"/>
      <c r="AY38" s="66">
        <f t="shared" si="14"/>
        <v>0</v>
      </c>
      <c r="AZ38" s="66"/>
      <c r="BA38" s="66"/>
      <c r="BB38" s="66">
        <f t="shared" si="15"/>
        <v>0</v>
      </c>
      <c r="BC38" s="66"/>
      <c r="BD38" s="66"/>
      <c r="BE38" s="66">
        <f t="shared" si="16"/>
        <v>0</v>
      </c>
      <c r="BF38" s="66"/>
      <c r="BG38" s="66"/>
      <c r="BH38" s="67">
        <f t="shared" si="17"/>
        <v>0</v>
      </c>
      <c r="BI38" s="68">
        <f t="shared" si="18"/>
        <v>3</v>
      </c>
    </row>
    <row r="39" spans="2:61" x14ac:dyDescent="0.25">
      <c r="B39" s="63">
        <v>31</v>
      </c>
      <c r="C39" s="64">
        <f>NOMINATIF!C36</f>
        <v>0</v>
      </c>
      <c r="D39" s="65">
        <f>NOMINATIF!D36</f>
        <v>0</v>
      </c>
      <c r="E39" s="65">
        <f>NOMINATIF!E36</f>
        <v>0</v>
      </c>
      <c r="F39" s="53">
        <f t="shared" si="19"/>
        <v>0</v>
      </c>
      <c r="G39" s="53"/>
      <c r="H39" s="53"/>
      <c r="I39" s="53">
        <f t="shared" si="0"/>
        <v>0</v>
      </c>
      <c r="J39" s="53"/>
      <c r="K39" s="53"/>
      <c r="L39" s="53">
        <f t="shared" si="1"/>
        <v>0</v>
      </c>
      <c r="M39" s="53"/>
      <c r="N39" s="53"/>
      <c r="O39" s="53">
        <f t="shared" si="2"/>
        <v>0</v>
      </c>
      <c r="P39" s="53"/>
      <c r="Q39" s="53"/>
      <c r="R39" s="53">
        <f t="shared" si="3"/>
        <v>0</v>
      </c>
      <c r="S39" s="53"/>
      <c r="T39" s="53"/>
      <c r="U39" s="53">
        <f t="shared" si="4"/>
        <v>0</v>
      </c>
      <c r="V39" s="53"/>
      <c r="W39" s="53"/>
      <c r="X39" s="53">
        <f t="shared" si="5"/>
        <v>0</v>
      </c>
      <c r="Y39" s="53"/>
      <c r="Z39" s="53"/>
      <c r="AA39" s="53">
        <f t="shared" si="6"/>
        <v>0</v>
      </c>
      <c r="AB39" s="53"/>
      <c r="AC39" s="53"/>
      <c r="AD39" s="53">
        <f t="shared" si="7"/>
        <v>0</v>
      </c>
      <c r="AE39" s="53"/>
      <c r="AF39" s="53"/>
      <c r="AG39" s="53">
        <f t="shared" si="8"/>
        <v>0</v>
      </c>
      <c r="AH39" s="53"/>
      <c r="AI39" s="53"/>
      <c r="AJ39" s="53">
        <f t="shared" si="9"/>
        <v>0</v>
      </c>
      <c r="AK39" s="53"/>
      <c r="AL39" s="53"/>
      <c r="AM39" s="66">
        <f t="shared" si="10"/>
        <v>0</v>
      </c>
      <c r="AN39" s="66"/>
      <c r="AO39" s="66"/>
      <c r="AP39" s="66">
        <f t="shared" si="11"/>
        <v>0</v>
      </c>
      <c r="AQ39" s="66"/>
      <c r="AR39" s="66"/>
      <c r="AS39" s="66">
        <f t="shared" si="12"/>
        <v>0</v>
      </c>
      <c r="AT39" s="66"/>
      <c r="AU39" s="66"/>
      <c r="AV39" s="66">
        <f t="shared" si="13"/>
        <v>0</v>
      </c>
      <c r="AW39" s="66"/>
      <c r="AX39" s="66"/>
      <c r="AY39" s="66">
        <f t="shared" si="14"/>
        <v>0</v>
      </c>
      <c r="AZ39" s="66"/>
      <c r="BA39" s="66"/>
      <c r="BB39" s="66">
        <f t="shared" si="15"/>
        <v>0</v>
      </c>
      <c r="BC39" s="66"/>
      <c r="BD39" s="66"/>
      <c r="BE39" s="66">
        <f t="shared" si="16"/>
        <v>0</v>
      </c>
      <c r="BF39" s="66"/>
      <c r="BG39" s="66"/>
      <c r="BH39" s="67">
        <f t="shared" si="17"/>
        <v>0</v>
      </c>
      <c r="BI39" s="68">
        <f t="shared" si="18"/>
        <v>3</v>
      </c>
    </row>
    <row r="40" spans="2:61" x14ac:dyDescent="0.25">
      <c r="B40" s="63">
        <v>32</v>
      </c>
      <c r="C40" s="64">
        <f>NOMINATIF!C37</f>
        <v>0</v>
      </c>
      <c r="D40" s="65">
        <f>NOMINATIF!D37</f>
        <v>0</v>
      </c>
      <c r="E40" s="65">
        <f>NOMINATIF!E37</f>
        <v>0</v>
      </c>
      <c r="F40" s="53">
        <f t="shared" si="19"/>
        <v>0</v>
      </c>
      <c r="G40" s="53"/>
      <c r="H40" s="53"/>
      <c r="I40" s="53">
        <f t="shared" si="0"/>
        <v>0</v>
      </c>
      <c r="J40" s="53"/>
      <c r="K40" s="53"/>
      <c r="L40" s="53">
        <f t="shared" si="1"/>
        <v>0</v>
      </c>
      <c r="M40" s="53"/>
      <c r="N40" s="53"/>
      <c r="O40" s="53">
        <f t="shared" si="2"/>
        <v>0</v>
      </c>
      <c r="P40" s="53"/>
      <c r="Q40" s="53"/>
      <c r="R40" s="53">
        <f t="shared" si="3"/>
        <v>0</v>
      </c>
      <c r="S40" s="53"/>
      <c r="T40" s="53"/>
      <c r="U40" s="53">
        <f t="shared" si="4"/>
        <v>0</v>
      </c>
      <c r="V40" s="53"/>
      <c r="W40" s="53"/>
      <c r="X40" s="53">
        <f t="shared" si="5"/>
        <v>0</v>
      </c>
      <c r="Y40" s="53"/>
      <c r="Z40" s="53"/>
      <c r="AA40" s="53">
        <f t="shared" si="6"/>
        <v>0</v>
      </c>
      <c r="AB40" s="53"/>
      <c r="AC40" s="53"/>
      <c r="AD40" s="53">
        <f t="shared" si="7"/>
        <v>0</v>
      </c>
      <c r="AE40" s="53"/>
      <c r="AF40" s="53"/>
      <c r="AG40" s="53">
        <f t="shared" si="8"/>
        <v>0</v>
      </c>
      <c r="AH40" s="53"/>
      <c r="AI40" s="53"/>
      <c r="AJ40" s="53">
        <f t="shared" si="9"/>
        <v>0</v>
      </c>
      <c r="AK40" s="53"/>
      <c r="AL40" s="53"/>
      <c r="AM40" s="66">
        <f t="shared" si="10"/>
        <v>0</v>
      </c>
      <c r="AN40" s="66"/>
      <c r="AO40" s="66"/>
      <c r="AP40" s="66">
        <f t="shared" si="11"/>
        <v>0</v>
      </c>
      <c r="AQ40" s="66"/>
      <c r="AR40" s="66"/>
      <c r="AS40" s="66">
        <f t="shared" si="12"/>
        <v>0</v>
      </c>
      <c r="AT40" s="66"/>
      <c r="AU40" s="66"/>
      <c r="AV40" s="66">
        <f t="shared" si="13"/>
        <v>0</v>
      </c>
      <c r="AW40" s="66"/>
      <c r="AX40" s="66"/>
      <c r="AY40" s="66">
        <f t="shared" si="14"/>
        <v>0</v>
      </c>
      <c r="AZ40" s="66"/>
      <c r="BA40" s="66"/>
      <c r="BB40" s="66">
        <f t="shared" si="15"/>
        <v>0</v>
      </c>
      <c r="BC40" s="66"/>
      <c r="BD40" s="66"/>
      <c r="BE40" s="66">
        <f t="shared" si="16"/>
        <v>0</v>
      </c>
      <c r="BF40" s="66"/>
      <c r="BG40" s="66"/>
      <c r="BH40" s="67">
        <f t="shared" si="17"/>
        <v>0</v>
      </c>
      <c r="BI40" s="68">
        <f t="shared" si="18"/>
        <v>3</v>
      </c>
    </row>
    <row r="41" spans="2:61" x14ac:dyDescent="0.25">
      <c r="B41" s="63">
        <v>33</v>
      </c>
      <c r="C41" s="64">
        <f>NOMINATIF!C38</f>
        <v>0</v>
      </c>
      <c r="D41" s="65">
        <f>NOMINATIF!D38</f>
        <v>0</v>
      </c>
      <c r="E41" s="65">
        <f>NOMINATIF!E38</f>
        <v>0</v>
      </c>
      <c r="F41" s="53">
        <f t="shared" si="19"/>
        <v>0</v>
      </c>
      <c r="G41" s="53"/>
      <c r="H41" s="53"/>
      <c r="I41" s="53">
        <f t="shared" si="0"/>
        <v>0</v>
      </c>
      <c r="J41" s="53"/>
      <c r="K41" s="53"/>
      <c r="L41" s="53">
        <f t="shared" si="1"/>
        <v>0</v>
      </c>
      <c r="M41" s="53"/>
      <c r="N41" s="53"/>
      <c r="O41" s="53">
        <f t="shared" si="2"/>
        <v>0</v>
      </c>
      <c r="P41" s="53"/>
      <c r="Q41" s="53"/>
      <c r="R41" s="53">
        <f t="shared" si="3"/>
        <v>0</v>
      </c>
      <c r="S41" s="53"/>
      <c r="T41" s="53"/>
      <c r="U41" s="53">
        <f t="shared" si="4"/>
        <v>0</v>
      </c>
      <c r="V41" s="53"/>
      <c r="W41" s="53"/>
      <c r="X41" s="53">
        <f t="shared" si="5"/>
        <v>0</v>
      </c>
      <c r="Y41" s="53"/>
      <c r="Z41" s="53"/>
      <c r="AA41" s="53">
        <f t="shared" si="6"/>
        <v>0</v>
      </c>
      <c r="AB41" s="53"/>
      <c r="AC41" s="53"/>
      <c r="AD41" s="53">
        <f t="shared" si="7"/>
        <v>0</v>
      </c>
      <c r="AE41" s="53"/>
      <c r="AF41" s="53"/>
      <c r="AG41" s="53">
        <f t="shared" si="8"/>
        <v>0</v>
      </c>
      <c r="AH41" s="53"/>
      <c r="AI41" s="53"/>
      <c r="AJ41" s="53">
        <f t="shared" si="9"/>
        <v>0</v>
      </c>
      <c r="AK41" s="53"/>
      <c r="AL41" s="53"/>
      <c r="AM41" s="66">
        <f t="shared" si="10"/>
        <v>0</v>
      </c>
      <c r="AN41" s="66"/>
      <c r="AO41" s="66"/>
      <c r="AP41" s="66">
        <f t="shared" si="11"/>
        <v>0</v>
      </c>
      <c r="AQ41" s="66"/>
      <c r="AR41" s="66"/>
      <c r="AS41" s="66">
        <f t="shared" si="12"/>
        <v>0</v>
      </c>
      <c r="AT41" s="66"/>
      <c r="AU41" s="66"/>
      <c r="AV41" s="66">
        <f t="shared" si="13"/>
        <v>0</v>
      </c>
      <c r="AW41" s="66"/>
      <c r="AX41" s="66"/>
      <c r="AY41" s="66">
        <f t="shared" si="14"/>
        <v>0</v>
      </c>
      <c r="AZ41" s="66"/>
      <c r="BA41" s="66"/>
      <c r="BB41" s="66">
        <f t="shared" si="15"/>
        <v>0</v>
      </c>
      <c r="BC41" s="66"/>
      <c r="BD41" s="66"/>
      <c r="BE41" s="66">
        <f t="shared" si="16"/>
        <v>0</v>
      </c>
      <c r="BF41" s="66"/>
      <c r="BG41" s="66"/>
      <c r="BH41" s="67">
        <f t="shared" si="17"/>
        <v>0</v>
      </c>
      <c r="BI41" s="68">
        <f t="shared" si="18"/>
        <v>3</v>
      </c>
    </row>
    <row r="42" spans="2:61" x14ac:dyDescent="0.25">
      <c r="B42" s="63">
        <v>34</v>
      </c>
      <c r="C42" s="64">
        <f>NOMINATIF!C39</f>
        <v>0</v>
      </c>
      <c r="D42" s="65">
        <f>NOMINATIF!D39</f>
        <v>0</v>
      </c>
      <c r="E42" s="65">
        <f>NOMINATIF!E39</f>
        <v>0</v>
      </c>
      <c r="F42" s="53">
        <f t="shared" si="19"/>
        <v>0</v>
      </c>
      <c r="G42" s="53"/>
      <c r="H42" s="53"/>
      <c r="I42" s="53">
        <f t="shared" si="0"/>
        <v>0</v>
      </c>
      <c r="J42" s="53"/>
      <c r="K42" s="53"/>
      <c r="L42" s="53">
        <f t="shared" si="1"/>
        <v>0</v>
      </c>
      <c r="M42" s="53"/>
      <c r="N42" s="53"/>
      <c r="O42" s="53">
        <f t="shared" si="2"/>
        <v>0</v>
      </c>
      <c r="P42" s="53"/>
      <c r="Q42" s="53"/>
      <c r="R42" s="53">
        <f t="shared" si="3"/>
        <v>0</v>
      </c>
      <c r="S42" s="53"/>
      <c r="T42" s="53"/>
      <c r="U42" s="53">
        <f t="shared" si="4"/>
        <v>0</v>
      </c>
      <c r="V42" s="53"/>
      <c r="W42" s="53"/>
      <c r="X42" s="53">
        <f t="shared" si="5"/>
        <v>0</v>
      </c>
      <c r="Y42" s="53"/>
      <c r="Z42" s="53"/>
      <c r="AA42" s="53">
        <f t="shared" si="6"/>
        <v>0</v>
      </c>
      <c r="AB42" s="53"/>
      <c r="AC42" s="53"/>
      <c r="AD42" s="53">
        <f t="shared" si="7"/>
        <v>0</v>
      </c>
      <c r="AE42" s="53"/>
      <c r="AF42" s="53"/>
      <c r="AG42" s="53">
        <f t="shared" si="8"/>
        <v>0</v>
      </c>
      <c r="AH42" s="53"/>
      <c r="AI42" s="53"/>
      <c r="AJ42" s="53">
        <f t="shared" si="9"/>
        <v>0</v>
      </c>
      <c r="AK42" s="53"/>
      <c r="AL42" s="53"/>
      <c r="AM42" s="66">
        <f t="shared" si="10"/>
        <v>0</v>
      </c>
      <c r="AN42" s="66"/>
      <c r="AO42" s="66"/>
      <c r="AP42" s="66">
        <f t="shared" si="11"/>
        <v>0</v>
      </c>
      <c r="AQ42" s="66"/>
      <c r="AR42" s="66"/>
      <c r="AS42" s="66">
        <f t="shared" si="12"/>
        <v>0</v>
      </c>
      <c r="AT42" s="66"/>
      <c r="AU42" s="66"/>
      <c r="AV42" s="66">
        <f t="shared" si="13"/>
        <v>0</v>
      </c>
      <c r="AW42" s="66"/>
      <c r="AX42" s="66"/>
      <c r="AY42" s="66">
        <f t="shared" si="14"/>
        <v>0</v>
      </c>
      <c r="AZ42" s="66"/>
      <c r="BA42" s="66"/>
      <c r="BB42" s="66">
        <f t="shared" si="15"/>
        <v>0</v>
      </c>
      <c r="BC42" s="66"/>
      <c r="BD42" s="66"/>
      <c r="BE42" s="66">
        <f t="shared" si="16"/>
        <v>0</v>
      </c>
      <c r="BF42" s="66"/>
      <c r="BG42" s="66"/>
      <c r="BH42" s="67">
        <f t="shared" si="17"/>
        <v>0</v>
      </c>
      <c r="BI42" s="68">
        <f t="shared" si="18"/>
        <v>3</v>
      </c>
    </row>
    <row r="43" spans="2:61" x14ac:dyDescent="0.25">
      <c r="B43" s="63">
        <v>35</v>
      </c>
      <c r="C43" s="64">
        <f>NOMINATIF!C40</f>
        <v>0</v>
      </c>
      <c r="D43" s="65">
        <f>NOMINATIF!D40</f>
        <v>0</v>
      </c>
      <c r="E43" s="65">
        <f>NOMINATIF!E40</f>
        <v>0</v>
      </c>
      <c r="F43" s="53">
        <f t="shared" si="19"/>
        <v>0</v>
      </c>
      <c r="G43" s="53"/>
      <c r="H43" s="53"/>
      <c r="I43" s="53">
        <f t="shared" si="0"/>
        <v>0</v>
      </c>
      <c r="J43" s="53"/>
      <c r="K43" s="53"/>
      <c r="L43" s="53">
        <f t="shared" si="1"/>
        <v>0</v>
      </c>
      <c r="M43" s="53"/>
      <c r="N43" s="53"/>
      <c r="O43" s="53">
        <f t="shared" si="2"/>
        <v>0</v>
      </c>
      <c r="P43" s="53"/>
      <c r="Q43" s="53"/>
      <c r="R43" s="53">
        <f t="shared" si="3"/>
        <v>0</v>
      </c>
      <c r="S43" s="53"/>
      <c r="T43" s="53"/>
      <c r="U43" s="53">
        <f t="shared" si="4"/>
        <v>0</v>
      </c>
      <c r="V43" s="53"/>
      <c r="W43" s="53"/>
      <c r="X43" s="53">
        <f t="shared" si="5"/>
        <v>0</v>
      </c>
      <c r="Y43" s="53"/>
      <c r="Z43" s="53"/>
      <c r="AA43" s="53">
        <f t="shared" si="6"/>
        <v>0</v>
      </c>
      <c r="AB43" s="53"/>
      <c r="AC43" s="53"/>
      <c r="AD43" s="53">
        <f t="shared" si="7"/>
        <v>0</v>
      </c>
      <c r="AE43" s="53"/>
      <c r="AF43" s="53"/>
      <c r="AG43" s="53">
        <f t="shared" si="8"/>
        <v>0</v>
      </c>
      <c r="AH43" s="53"/>
      <c r="AI43" s="53"/>
      <c r="AJ43" s="53">
        <f t="shared" si="9"/>
        <v>0</v>
      </c>
      <c r="AK43" s="53"/>
      <c r="AL43" s="53"/>
      <c r="AM43" s="66">
        <f t="shared" si="10"/>
        <v>0</v>
      </c>
      <c r="AN43" s="66"/>
      <c r="AO43" s="66"/>
      <c r="AP43" s="66">
        <f t="shared" si="11"/>
        <v>0</v>
      </c>
      <c r="AQ43" s="66"/>
      <c r="AR43" s="66"/>
      <c r="AS43" s="66">
        <f t="shared" si="12"/>
        <v>0</v>
      </c>
      <c r="AT43" s="66"/>
      <c r="AU43" s="66"/>
      <c r="AV43" s="66">
        <f t="shared" si="13"/>
        <v>0</v>
      </c>
      <c r="AW43" s="66"/>
      <c r="AX43" s="66"/>
      <c r="AY43" s="66">
        <f t="shared" si="14"/>
        <v>0</v>
      </c>
      <c r="AZ43" s="66"/>
      <c r="BA43" s="66"/>
      <c r="BB43" s="66">
        <f t="shared" si="15"/>
        <v>0</v>
      </c>
      <c r="BC43" s="66"/>
      <c r="BD43" s="66"/>
      <c r="BE43" s="66">
        <f t="shared" si="16"/>
        <v>0</v>
      </c>
      <c r="BF43" s="66"/>
      <c r="BG43" s="66"/>
      <c r="BH43" s="67">
        <f t="shared" si="17"/>
        <v>0</v>
      </c>
      <c r="BI43" s="68">
        <f t="shared" si="18"/>
        <v>3</v>
      </c>
    </row>
    <row r="44" spans="2:61" x14ac:dyDescent="0.25"/>
    <row r="45" spans="2:61" x14ac:dyDescent="0.25"/>
    <row r="46" spans="2:61" x14ac:dyDescent="0.25"/>
  </sheetData>
  <sheetProtection selectLockedCells="1"/>
  <mergeCells count="25">
    <mergeCell ref="AD6:AF6"/>
    <mergeCell ref="B3:BI3"/>
    <mergeCell ref="B5:B7"/>
    <mergeCell ref="C5:C7"/>
    <mergeCell ref="D5:D7"/>
    <mergeCell ref="E5:E7"/>
    <mergeCell ref="BH5:BH6"/>
    <mergeCell ref="BI5:BI6"/>
    <mergeCell ref="F6:H6"/>
    <mergeCell ref="I6:K6"/>
    <mergeCell ref="L6:N6"/>
    <mergeCell ref="O6:Q6"/>
    <mergeCell ref="R6:T6"/>
    <mergeCell ref="U6:W6"/>
    <mergeCell ref="X6:Z6"/>
    <mergeCell ref="AA6:AC6"/>
    <mergeCell ref="AY6:BA6"/>
    <mergeCell ref="BB6:BD6"/>
    <mergeCell ref="BE6:BG6"/>
    <mergeCell ref="AG6:AI6"/>
    <mergeCell ref="AJ6:AL6"/>
    <mergeCell ref="AM6:AO6"/>
    <mergeCell ref="AP6:AR6"/>
    <mergeCell ref="AS6:AU6"/>
    <mergeCell ref="AV6:AX6"/>
  </mergeCell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7">
    <tabColor rgb="FF00B0F0"/>
  </sheetPr>
  <dimension ref="A1:AC57"/>
  <sheetViews>
    <sheetView topLeftCell="A25" zoomScale="70" zoomScaleNormal="70" workbookViewId="0">
      <selection activeCell="O38" sqref="O38:P47"/>
    </sheetView>
  </sheetViews>
  <sheetFormatPr defaultColWidth="0" defaultRowHeight="0" customHeight="1" zeroHeight="1" x14ac:dyDescent="0.25"/>
  <cols>
    <col min="1" max="1" width="1.5703125" style="12" customWidth="1"/>
    <col min="2" max="2" width="3.85546875" customWidth="1"/>
    <col min="3" max="3" width="16.7109375" customWidth="1"/>
    <col min="4" max="4" width="1.140625" customWidth="1"/>
    <col min="5" max="5" width="22.42578125" customWidth="1"/>
    <col min="6" max="6" width="9.42578125" customWidth="1"/>
    <col min="7" max="7" width="2.140625" customWidth="1"/>
    <col min="8" max="8" width="16.42578125" customWidth="1"/>
    <col min="9" max="9" width="2.28515625" customWidth="1"/>
    <col min="10" max="10" width="16.140625" hidden="1" customWidth="1"/>
    <col min="11" max="11" width="1.85546875" hidden="1" customWidth="1"/>
    <col min="12" max="12" width="5.140625" customWidth="1"/>
    <col min="13" max="13" width="32.5703125" customWidth="1"/>
    <col min="14" max="14" width="1.7109375" customWidth="1"/>
    <col min="15" max="16" width="9.140625" customWidth="1"/>
    <col min="17" max="17" width="2.42578125" customWidth="1"/>
    <col min="18" max="18" width="16.7109375" customWidth="1"/>
    <col min="19" max="19" width="1" customWidth="1"/>
    <col min="20" max="20" width="1.7109375" style="12" customWidth="1"/>
    <col min="21" max="29" width="0" hidden="1" customWidth="1"/>
    <col min="30" max="16384" width="9.140625" hidden="1"/>
  </cols>
  <sheetData>
    <row r="1" spans="2:29" s="12" customFormat="1" ht="7.5" customHeight="1" x14ac:dyDescent="0.25">
      <c r="S1"/>
    </row>
    <row r="2" spans="2:29" ht="15.75" x14ac:dyDescent="0.25">
      <c r="C2" s="3"/>
      <c r="D2" s="204" t="s">
        <v>11</v>
      </c>
      <c r="E2" s="204"/>
      <c r="F2" s="204"/>
      <c r="G2" s="204"/>
      <c r="H2" s="204"/>
      <c r="I2" s="204"/>
      <c r="J2" s="204"/>
      <c r="K2" s="204"/>
      <c r="L2" s="204"/>
      <c r="M2" s="204"/>
      <c r="V2" s="204"/>
      <c r="W2" s="204"/>
      <c r="X2" s="204"/>
      <c r="Y2" s="204"/>
      <c r="Z2" s="204"/>
      <c r="AA2" s="204"/>
      <c r="AB2" s="204"/>
      <c r="AC2" s="204"/>
    </row>
    <row r="3" spans="2:29" ht="15.75" x14ac:dyDescent="0.25">
      <c r="C3" s="3"/>
      <c r="D3" s="204" t="s">
        <v>12</v>
      </c>
      <c r="E3" s="204"/>
      <c r="F3" s="204"/>
      <c r="G3" s="204"/>
      <c r="H3" s="204"/>
      <c r="I3" s="204"/>
      <c r="J3" s="204"/>
      <c r="K3" s="204"/>
      <c r="L3" s="204"/>
      <c r="M3" s="204"/>
      <c r="V3" s="204"/>
      <c r="W3" s="204"/>
      <c r="X3" s="204"/>
      <c r="Y3" s="204"/>
      <c r="Z3" s="204"/>
      <c r="AA3" s="204"/>
      <c r="AB3" s="204"/>
      <c r="AC3" s="204"/>
    </row>
    <row r="4" spans="2:29" ht="15.75" x14ac:dyDescent="0.25">
      <c r="C4" s="1"/>
      <c r="D4" s="203" t="s">
        <v>13</v>
      </c>
      <c r="E4" s="203"/>
      <c r="F4" s="203"/>
      <c r="G4" s="203"/>
      <c r="H4" s="203"/>
      <c r="I4" s="203"/>
      <c r="J4" s="203"/>
      <c r="K4" s="203"/>
      <c r="L4" s="203"/>
      <c r="M4" s="203"/>
      <c r="V4" s="203"/>
      <c r="W4" s="203"/>
      <c r="X4" s="203"/>
      <c r="Y4" s="203"/>
      <c r="Z4" s="203"/>
      <c r="AA4" s="203"/>
      <c r="AB4" s="203"/>
      <c r="AC4" s="203"/>
    </row>
    <row r="5" spans="2:29" ht="15.75" x14ac:dyDescent="0.25">
      <c r="C5" s="1"/>
      <c r="D5" s="203" t="s">
        <v>14</v>
      </c>
      <c r="E5" s="203"/>
      <c r="F5" s="203"/>
      <c r="G5" s="203"/>
      <c r="H5" s="203"/>
      <c r="I5" s="203"/>
      <c r="J5" s="203"/>
      <c r="K5" s="203"/>
      <c r="L5" s="203"/>
      <c r="M5" s="203"/>
      <c r="V5" s="203"/>
      <c r="W5" s="203"/>
      <c r="X5" s="203"/>
      <c r="Y5" s="203"/>
      <c r="Z5" s="203"/>
      <c r="AA5" s="203"/>
      <c r="AB5" s="203"/>
      <c r="AC5" s="203"/>
    </row>
    <row r="6" spans="2:29" ht="16.5" thickBot="1" x14ac:dyDescent="0.3">
      <c r="C6" s="3"/>
      <c r="D6" s="204" t="s">
        <v>1</v>
      </c>
      <c r="E6" s="204"/>
      <c r="F6" s="204"/>
      <c r="G6" s="204"/>
      <c r="H6" s="204"/>
      <c r="I6" s="204"/>
      <c r="J6" s="204"/>
      <c r="K6" s="204"/>
      <c r="L6" s="204"/>
      <c r="M6" s="204"/>
      <c r="V6" s="204"/>
      <c r="W6" s="204"/>
      <c r="X6" s="204"/>
      <c r="Y6" s="204"/>
      <c r="Z6" s="204"/>
      <c r="AA6" s="204"/>
      <c r="AB6" s="204"/>
      <c r="AC6" s="204"/>
    </row>
    <row r="7" spans="2:29" ht="15.75" x14ac:dyDescent="0.25">
      <c r="C7" s="1"/>
      <c r="D7" s="203" t="s">
        <v>15</v>
      </c>
      <c r="E7" s="203"/>
      <c r="F7" s="203"/>
      <c r="G7" s="203"/>
      <c r="H7" s="203"/>
      <c r="I7" s="203"/>
      <c r="J7" s="203"/>
      <c r="K7" s="203"/>
      <c r="L7" s="203"/>
      <c r="M7" s="203"/>
      <c r="O7" s="326" t="s">
        <v>69</v>
      </c>
      <c r="P7" s="327"/>
      <c r="Q7" s="327"/>
      <c r="R7" s="328"/>
      <c r="S7" s="19"/>
      <c r="V7" s="203"/>
      <c r="W7" s="203"/>
      <c r="X7" s="203"/>
      <c r="Y7" s="203"/>
      <c r="Z7" s="203"/>
      <c r="AA7" s="203"/>
      <c r="AB7" s="203"/>
      <c r="AC7" s="203"/>
    </row>
    <row r="8" spans="2:29" ht="15.75" x14ac:dyDescent="0.25">
      <c r="C8" s="1"/>
      <c r="D8" s="203" t="s">
        <v>16</v>
      </c>
      <c r="E8" s="203"/>
      <c r="F8" s="203"/>
      <c r="G8" s="203"/>
      <c r="H8" s="203"/>
      <c r="I8" s="203"/>
      <c r="J8" s="203"/>
      <c r="K8" s="203"/>
      <c r="L8" s="203"/>
      <c r="M8" s="203"/>
      <c r="O8" s="329"/>
      <c r="P8" s="330"/>
      <c r="Q8" s="330"/>
      <c r="R8" s="331"/>
      <c r="V8" s="203"/>
      <c r="W8" s="203"/>
      <c r="X8" s="203"/>
      <c r="Y8" s="203"/>
      <c r="Z8" s="203"/>
      <c r="AA8" s="203"/>
      <c r="AB8" s="203"/>
      <c r="AC8" s="203"/>
    </row>
    <row r="9" spans="2:29" ht="16.5" thickBot="1" x14ac:dyDescent="0.3">
      <c r="C9" s="2"/>
      <c r="D9" s="230" t="s">
        <v>17</v>
      </c>
      <c r="E9" s="230"/>
      <c r="F9" s="230"/>
      <c r="G9" s="230"/>
      <c r="H9" s="230"/>
      <c r="I9" s="230"/>
      <c r="J9" s="230"/>
      <c r="K9" s="230"/>
      <c r="L9" s="230"/>
      <c r="M9" s="230"/>
      <c r="O9" s="22"/>
      <c r="P9" s="325" t="s">
        <v>70</v>
      </c>
      <c r="Q9" s="325"/>
      <c r="R9" s="228">
        <v>1</v>
      </c>
      <c r="V9" s="230"/>
      <c r="W9" s="230"/>
      <c r="X9" s="230"/>
      <c r="Y9" s="230"/>
      <c r="Z9" s="230"/>
      <c r="AA9" s="230"/>
      <c r="AB9" s="230"/>
      <c r="AC9" s="230"/>
    </row>
    <row r="10" spans="2:29" ht="5.25" customHeight="1" thickTop="1" x14ac:dyDescent="0.25">
      <c r="B10" s="231"/>
      <c r="C10" s="232"/>
      <c r="D10" s="232"/>
      <c r="E10" s="232"/>
      <c r="F10" s="232"/>
      <c r="G10" s="232"/>
      <c r="H10" s="232"/>
      <c r="I10" s="232"/>
      <c r="J10" s="232"/>
      <c r="K10" s="232"/>
      <c r="L10" s="232"/>
      <c r="M10" s="232"/>
      <c r="O10" s="22"/>
      <c r="P10" s="325"/>
      <c r="Q10" s="325"/>
      <c r="R10" s="228"/>
    </row>
    <row r="11" spans="2:29" ht="15.75" x14ac:dyDescent="0.25">
      <c r="B11" s="226" t="str">
        <f>HOME!G6</f>
        <v>HASIL PENILAIAN TENGAH SEMESTER GENAP</v>
      </c>
      <c r="C11" s="226"/>
      <c r="D11" s="226"/>
      <c r="E11" s="226"/>
      <c r="F11" s="226"/>
      <c r="G11" s="226"/>
      <c r="H11" s="226"/>
      <c r="I11" s="226"/>
      <c r="J11" s="226"/>
      <c r="K11" s="226"/>
      <c r="L11" s="226"/>
      <c r="M11" s="226"/>
      <c r="O11" s="22"/>
      <c r="P11" s="325"/>
      <c r="Q11" s="325"/>
      <c r="R11" s="228"/>
    </row>
    <row r="12" spans="2:29" ht="15.75" x14ac:dyDescent="0.25">
      <c r="B12" s="226" t="str">
        <f>"TAHUN PELAJARAN " &amp; HOME!G7</f>
        <v>TAHUN PELAJARAN 2022/2023</v>
      </c>
      <c r="C12" s="226"/>
      <c r="D12" s="226"/>
      <c r="E12" s="226"/>
      <c r="F12" s="226"/>
      <c r="G12" s="226"/>
      <c r="H12" s="226"/>
      <c r="I12" s="226"/>
      <c r="J12" s="226"/>
      <c r="K12" s="226"/>
      <c r="L12" s="226"/>
      <c r="M12" s="226"/>
      <c r="O12" s="22"/>
      <c r="P12" s="325" t="s">
        <v>71</v>
      </c>
      <c r="Q12" s="325"/>
      <c r="R12" s="228">
        <f>COUNTA(NOMINATIF!C6:C40)</f>
        <v>20</v>
      </c>
    </row>
    <row r="13" spans="2:29" ht="8.25" customHeight="1" x14ac:dyDescent="0.25">
      <c r="B13" s="16"/>
      <c r="C13" s="4"/>
      <c r="D13" s="4"/>
      <c r="E13" s="4"/>
      <c r="F13" s="4"/>
      <c r="G13" s="4"/>
      <c r="H13" s="4"/>
      <c r="I13" s="4"/>
      <c r="J13" s="4"/>
      <c r="K13" s="4"/>
      <c r="L13" s="4"/>
      <c r="M13" s="4"/>
      <c r="O13" s="22"/>
      <c r="P13" s="325"/>
      <c r="Q13" s="325"/>
      <c r="R13" s="228"/>
    </row>
    <row r="14" spans="2:29" ht="15.75" x14ac:dyDescent="0.25">
      <c r="B14" s="224" t="s">
        <v>18</v>
      </c>
      <c r="C14" s="224"/>
      <c r="D14" s="1" t="s">
        <v>6</v>
      </c>
      <c r="E14" s="229" t="str">
        <f>VLOOKUP(R9,'L XII RPL'!$B$9:$BI$43,2)</f>
        <v>AFMALA INSAN QOIRUNISA</v>
      </c>
      <c r="F14" s="229"/>
      <c r="G14" s="18"/>
      <c r="H14" s="1" t="s">
        <v>63</v>
      </c>
      <c r="I14" t="s">
        <v>6</v>
      </c>
      <c r="J14" s="225" t="str">
        <f>HOME!G9</f>
        <v>Teknik Komputer dan Informatika</v>
      </c>
      <c r="K14" s="225"/>
      <c r="L14" s="225"/>
      <c r="M14" s="225"/>
      <c r="O14" s="22"/>
      <c r="P14" s="325"/>
      <c r="Q14" s="325"/>
      <c r="R14" s="228"/>
    </row>
    <row r="15" spans="2:29" ht="15.75" x14ac:dyDescent="0.25">
      <c r="B15" s="224" t="s">
        <v>19</v>
      </c>
      <c r="C15" s="224"/>
      <c r="D15" s="1" t="s">
        <v>6</v>
      </c>
      <c r="E15" s="224" t="str">
        <f>VLOOKUP(R9,'L XII RPL'!$B$9:$BI$43,3) &amp; "/" &amp; VLOOKUP(R9,'L XII RPL'!$B$9:$BI$43,4)</f>
        <v>4020/0059023845</v>
      </c>
      <c r="F15" s="224"/>
      <c r="G15" s="17"/>
      <c r="H15" s="1" t="s">
        <v>10</v>
      </c>
      <c r="I15" t="s">
        <v>6</v>
      </c>
      <c r="J15" s="225" t="str">
        <f>ID!G7</f>
        <v>Akuntansi dan Keuangan Lembaga</v>
      </c>
      <c r="K15" s="225"/>
      <c r="L15" s="225"/>
      <c r="M15" s="225"/>
      <c r="O15" s="22"/>
      <c r="R15" s="23"/>
    </row>
    <row r="16" spans="2:29" ht="15.75" x14ac:dyDescent="0.25">
      <c r="B16" s="224" t="s">
        <v>9</v>
      </c>
      <c r="C16" s="224"/>
      <c r="D16" s="1" t="s">
        <v>6</v>
      </c>
      <c r="E16" s="224" t="str">
        <f>ID!G8</f>
        <v>XII AKL 1</v>
      </c>
      <c r="F16" s="224"/>
      <c r="G16" s="17"/>
      <c r="H16" s="1" t="s">
        <v>20</v>
      </c>
      <c r="I16" t="s">
        <v>6</v>
      </c>
      <c r="J16" s="225" t="str">
        <f>ID!G9</f>
        <v>4/GENAP</v>
      </c>
      <c r="K16" s="225"/>
      <c r="L16" s="225"/>
      <c r="M16" s="225"/>
      <c r="O16" s="22"/>
      <c r="R16" s="23"/>
    </row>
    <row r="17" spans="2:19" s="12" customFormat="1" ht="15" x14ac:dyDescent="0.25">
      <c r="B17"/>
      <c r="C17"/>
      <c r="D17"/>
      <c r="E17"/>
      <c r="F17"/>
      <c r="G17"/>
      <c r="H17"/>
      <c r="I17"/>
      <c r="J17"/>
      <c r="K17"/>
      <c r="L17"/>
      <c r="M17"/>
      <c r="N17"/>
      <c r="O17" s="22"/>
      <c r="P17"/>
      <c r="Q17"/>
      <c r="R17" s="23"/>
      <c r="S17"/>
    </row>
    <row r="18" spans="2:19" s="12" customFormat="1" ht="31.5" customHeight="1" x14ac:dyDescent="0.25">
      <c r="B18" s="15" t="s">
        <v>32</v>
      </c>
      <c r="C18" s="190" t="s">
        <v>33</v>
      </c>
      <c r="D18" s="190"/>
      <c r="E18" s="190"/>
      <c r="F18" s="222" t="s">
        <v>34</v>
      </c>
      <c r="G18" s="223"/>
      <c r="H18" s="222" t="s">
        <v>35</v>
      </c>
      <c r="I18" s="223"/>
      <c r="J18" s="222" t="s">
        <v>66</v>
      </c>
      <c r="K18" s="223"/>
      <c r="L18" s="15" t="s">
        <v>98</v>
      </c>
      <c r="M18" s="15" t="s">
        <v>36</v>
      </c>
      <c r="N18"/>
      <c r="O18" s="22"/>
      <c r="P18"/>
      <c r="Q18"/>
      <c r="R18" s="23"/>
      <c r="S18"/>
    </row>
    <row r="19" spans="2:19" s="12" customFormat="1" ht="15.75" x14ac:dyDescent="0.25">
      <c r="B19" s="188" t="s">
        <v>37</v>
      </c>
      <c r="C19" s="188"/>
      <c r="D19" s="188"/>
      <c r="E19" s="188"/>
      <c r="F19" s="188"/>
      <c r="G19" s="188"/>
      <c r="H19" s="188"/>
      <c r="I19" s="188"/>
      <c r="J19" s="188"/>
      <c r="K19" s="188"/>
      <c r="L19" s="188"/>
      <c r="M19" s="188"/>
      <c r="N19"/>
      <c r="O19" s="22"/>
      <c r="P19"/>
      <c r="Q19"/>
      <c r="R19" s="23"/>
      <c r="S19"/>
    </row>
    <row r="20" spans="2:19" s="12" customFormat="1" ht="15.75" x14ac:dyDescent="0.25">
      <c r="B20" s="11">
        <v>1</v>
      </c>
      <c r="C20" s="189" t="s">
        <v>38</v>
      </c>
      <c r="D20" s="189"/>
      <c r="E20" s="189"/>
      <c r="F20" s="209">
        <f>'MP XII RPL'!G7</f>
        <v>60</v>
      </c>
      <c r="G20" s="210"/>
      <c r="H20" s="211">
        <f>VLOOKUP(R9,'L XII RPL'!$B$9:$BI$43,5)</f>
        <v>78</v>
      </c>
      <c r="I20" s="212"/>
      <c r="J20" s="211">
        <f>VLOOKUP(R9,'L XII RPL'!$B$9:$BI$43,6)</f>
        <v>0</v>
      </c>
      <c r="K20" s="212"/>
      <c r="L20" s="14">
        <f>IF(J20=0,H20,AVERAGE(H20:K20))</f>
        <v>78</v>
      </c>
      <c r="M20" s="14" t="str">
        <f>IF(F20=60,IF(AND(L20&gt;$O$25,L20&lt;$P$25),$R$25,IF(AND(L20&gt;=$O$26,L20&lt;=$P$26),$R$26,IF(AND(L20&gt;=$O$27,L20&lt;=$P$27),$R$27,IF(AND(L20&gt;=$O$28,L20&lt;=$P$28),$R$28,IF(AND(L20&gt;=$O$29,L20&lt;=$P$29),$R$29,IF(AND(L20&gt;=$O$30,L20&lt;=$P$30),$R$30,IF(AND(L20&gt;=$O$31,L20&lt;=$P$31),$R$31,IF(AND(L20&gt;=$O$32,L20&lt;$P$32),$R$32,IF(AND(L20&gt;$O$33,L20&lt;$P$33),$R$33,IF(AND(L20&lt;=$P$34),$R$34,0)))))))))),IF(F20=70,IF(AND(L20&gt;$O$38,L20&lt;$P$38),$R$38,IF(AND(L20&gt;=$O$39,L20&lt;=$P$39),$R$39,IF(AND(L20&gt;=$O$40,L20&lt;=$P$40),$R$40,IF(AND(L20&gt;=$O$41,L20&lt;=$P$41),$R$41,IF(AND(L20&gt;=$O$42,L20&lt;=$P$42),$R$42,IF(AND(L20&gt;=$O$43,L20&lt;=$P$43),$R$43,IF(AND(L20&gt;=$O$44,L20&lt;=$P$44),$R$44,IF(AND(L20&gt;=$O$45,L20&lt;$P$45),$R$45,IF(AND(L20&gt;$O$46,L20&lt;$P$46),$R$46,IF(AND(L20&lt;=$P$47),$R$47,0))))))))))))</f>
        <v>B</v>
      </c>
      <c r="N20"/>
      <c r="O20" s="22"/>
      <c r="P20"/>
      <c r="Q20"/>
      <c r="R20" s="23"/>
      <c r="S20"/>
    </row>
    <row r="21" spans="2:19" s="12" customFormat="1" ht="16.5" thickBot="1" x14ac:dyDescent="0.3">
      <c r="B21" s="11">
        <v>2</v>
      </c>
      <c r="C21" s="189" t="s">
        <v>39</v>
      </c>
      <c r="D21" s="189"/>
      <c r="E21" s="189"/>
      <c r="F21" s="209">
        <f>'MP XII RPL'!G8</f>
        <v>60</v>
      </c>
      <c r="G21" s="210"/>
      <c r="H21" s="211">
        <f>VLOOKUP(R9,'L XII RPL'!$B$9:$BI$43,8)</f>
        <v>0</v>
      </c>
      <c r="I21" s="212"/>
      <c r="J21" s="211">
        <f>VLOOKUP(R9,'L XII RPL'!$B$9:$BI$43,9)</f>
        <v>0</v>
      </c>
      <c r="K21" s="212"/>
      <c r="L21" s="14">
        <f t="shared" ref="L21:L24" si="0">IF(J21=0,H21,AVERAGE(H21:K21))</f>
        <v>0</v>
      </c>
      <c r="M21" s="14" t="str">
        <f t="shared" ref="M21:M24" si="1">IF(F21=60,IF(AND(L21&gt;$O$25,L21&lt;$P$25),$R$25,IF(AND(L21&gt;=$O$26,L21&lt;=$P$26),$R$26,IF(AND(L21&gt;=$O$27,L21&lt;=$P$27),$R$27,IF(AND(L21&gt;=$O$28,L21&lt;=$P$28),$R$28,IF(AND(L21&gt;=$O$29,L21&lt;=$P$29),$R$29,IF(AND(L21&gt;=$O$30,L21&lt;=$P$30),$R$30,IF(AND(L21&gt;=$O$31,L21&lt;=$P$31),$R$31,IF(AND(L21&gt;=$O$32,L21&lt;$P$32),$R$32,IF(AND(L21&gt;$O$33,L21&lt;$P$33),$R$33,IF(AND(L21&lt;=$P$34),$R$34,0)))))))))),IF(F21=70,IF(AND(L21&gt;$O$38,L21&lt;$P$38),$R$38,IF(AND(L21&gt;=$O$39,L21&lt;=$P$39),$R$39,IF(AND(L21&gt;=$O$40,L21&lt;=$P$40),$R$40,IF(AND(L21&gt;=$O$41,L21&lt;=$P$41),$R$41,IF(AND(L21&gt;=$O$42,L21&lt;=$P$42),$R$42,IF(AND(L21&gt;=$O$43,L21&lt;=$P$43),$R$43,IF(AND(L21&gt;=$O$44,L21&lt;=$P$44),$R$44,IF(AND(L21&gt;=$O$45,L21&lt;$P$45),$R$45,IF(AND(L21&gt;$O$46,L21&lt;$P$46),$R$46,IF(AND(L21&lt;=$P$47),$R$47,0))))))))))))</f>
        <v>D</v>
      </c>
      <c r="N21"/>
      <c r="O21" s="25"/>
      <c r="P21" s="26"/>
      <c r="Q21" s="26"/>
      <c r="R21" s="27"/>
      <c r="S21"/>
    </row>
    <row r="22" spans="2:19" s="12" customFormat="1" ht="16.5" thickBot="1" x14ac:dyDescent="0.3">
      <c r="B22" s="11">
        <v>3</v>
      </c>
      <c r="C22" s="189" t="s">
        <v>40</v>
      </c>
      <c r="D22" s="189"/>
      <c r="E22" s="189"/>
      <c r="F22" s="209">
        <f>'MP XII RPL'!G9</f>
        <v>60</v>
      </c>
      <c r="G22" s="210"/>
      <c r="H22" s="211">
        <f>VLOOKUP(R9,'L XII RPL'!$B$9:$BI$43,11)</f>
        <v>0</v>
      </c>
      <c r="I22" s="212"/>
      <c r="J22" s="211">
        <f>VLOOKUP(R9,'L XII RPL'!$B$9:$BI$43,12)</f>
        <v>0</v>
      </c>
      <c r="K22" s="212"/>
      <c r="L22" s="14">
        <f t="shared" si="0"/>
        <v>0</v>
      </c>
      <c r="M22" s="14" t="str">
        <f t="shared" si="1"/>
        <v>D</v>
      </c>
      <c r="N22"/>
      <c r="O22"/>
      <c r="P22"/>
      <c r="Q22"/>
      <c r="R22"/>
      <c r="S22"/>
    </row>
    <row r="23" spans="2:19" s="12" customFormat="1" ht="15.75" x14ac:dyDescent="0.25">
      <c r="B23" s="11">
        <v>4</v>
      </c>
      <c r="C23" s="187" t="s">
        <v>41</v>
      </c>
      <c r="D23" s="187"/>
      <c r="E23" s="187"/>
      <c r="F23" s="209">
        <f>'MP XII RPL'!G10</f>
        <v>60</v>
      </c>
      <c r="G23" s="210"/>
      <c r="H23" s="211">
        <f>VLOOKUP(R9,'L XII RPL'!$B$9:$BI$43,14)</f>
        <v>0</v>
      </c>
      <c r="I23" s="212"/>
      <c r="J23" s="211">
        <f>VLOOKUP(R9,'L XII RPL'!$B$9:$BI$43,15)</f>
        <v>0</v>
      </c>
      <c r="K23" s="212"/>
      <c r="L23" s="14">
        <f t="shared" si="0"/>
        <v>0</v>
      </c>
      <c r="M23" s="14" t="str">
        <f t="shared" si="1"/>
        <v>D</v>
      </c>
      <c r="N23"/>
      <c r="O23" s="320" t="s">
        <v>139</v>
      </c>
      <c r="P23" s="323"/>
      <c r="Q23" s="323"/>
      <c r="R23" s="324"/>
      <c r="S23"/>
    </row>
    <row r="24" spans="2:19" s="12" customFormat="1" ht="16.5" thickBot="1" x14ac:dyDescent="0.3">
      <c r="B24" s="11">
        <v>5</v>
      </c>
      <c r="C24" s="187" t="s">
        <v>43</v>
      </c>
      <c r="D24" s="187"/>
      <c r="E24" s="187"/>
      <c r="F24" s="209">
        <v>60</v>
      </c>
      <c r="G24" s="210"/>
      <c r="H24" s="211">
        <f>VLOOKUP(R9,'L XII RPL'!$B$9:$BI$43,17)</f>
        <v>0</v>
      </c>
      <c r="I24" s="212"/>
      <c r="J24" s="211">
        <f>VLOOKUP(R9,'L XII RPL'!$B$9:$BI$43,18)</f>
        <v>0</v>
      </c>
      <c r="K24" s="212"/>
      <c r="L24" s="14">
        <f t="shared" si="0"/>
        <v>0</v>
      </c>
      <c r="M24" s="14" t="str">
        <f t="shared" si="1"/>
        <v>D</v>
      </c>
      <c r="N24"/>
      <c r="O24" s="48" t="s">
        <v>141</v>
      </c>
      <c r="P24" s="49" t="s">
        <v>142</v>
      </c>
      <c r="Q24" s="49"/>
      <c r="R24" s="50" t="s">
        <v>138</v>
      </c>
      <c r="S24"/>
    </row>
    <row r="25" spans="2:19" s="12" customFormat="1" ht="15.75" x14ac:dyDescent="0.25">
      <c r="B25" s="188" t="s">
        <v>44</v>
      </c>
      <c r="C25" s="188"/>
      <c r="D25" s="188"/>
      <c r="E25" s="188"/>
      <c r="F25" s="188"/>
      <c r="G25" s="188"/>
      <c r="H25" s="188"/>
      <c r="I25" s="188"/>
      <c r="J25" s="188"/>
      <c r="K25" s="188"/>
      <c r="L25" s="188"/>
      <c r="M25" s="188"/>
      <c r="N25"/>
      <c r="O25" s="40">
        <v>95</v>
      </c>
      <c r="P25" s="41">
        <v>100</v>
      </c>
      <c r="Q25" s="45" t="s">
        <v>6</v>
      </c>
      <c r="R25" s="51" t="s">
        <v>137</v>
      </c>
      <c r="S25"/>
    </row>
    <row r="26" spans="2:19" s="12" customFormat="1" ht="15.75" x14ac:dyDescent="0.25">
      <c r="B26" s="13">
        <v>1</v>
      </c>
      <c r="C26" s="187" t="s">
        <v>47</v>
      </c>
      <c r="D26" s="187"/>
      <c r="E26" s="187"/>
      <c r="F26" s="209">
        <f>'MP XII RPL'!G13</f>
        <v>60</v>
      </c>
      <c r="G26" s="210"/>
      <c r="H26" s="211">
        <f>VLOOKUP(R9,'L XII RPL'!$B$9:$BI$43,20)</f>
        <v>0</v>
      </c>
      <c r="I26" s="212"/>
      <c r="J26" s="211">
        <f>VLOOKUP(R9,'L XII RPL'!$B$9:$BI$43,21)</f>
        <v>0</v>
      </c>
      <c r="K26" s="212"/>
      <c r="L26" s="14">
        <f>IF(J26=0,H26,AVERAGE(H26:K26))</f>
        <v>0</v>
      </c>
      <c r="M26" s="14" t="str">
        <f>IF(F26=60,IF(AND(L26&gt;$O$25,L26&lt;$P$25),$R$25,IF(AND(L26&gt;=$O$26,L26&lt;=$P$26),$R$26,IF(AND(L26&gt;=$O$27,L26&lt;=$P$27),$R$27,IF(AND(L26&gt;=$O$28,L26&lt;=$P$28),$R$28,IF(AND(L26&gt;=$O$29,L26&lt;=$P$29),$R$29,IF(AND(L26&gt;=$O$30,L26&lt;=$P$30),$R$30,IF(AND(L26&gt;=$O$31,L26&lt;=$P$31),$R$31,IF(AND(L26&gt;=$O$32,L26&lt;$P$32),$R$32,IF(AND(L26&gt;$O$33,L26&lt;$P$33),$R$33,IF(AND(L26&lt;=$P$34),$R$34,0)))))))))),IF(F26=70,IF(AND(L26&gt;$O$38,L26&lt;$P$38),$R$38,IF(AND(L26&gt;=$O$39,L26&lt;=$P$39),$R$39,IF(AND(L26&gt;=$O$40,L26&lt;=$P$40),$R$40,IF(AND(L26&gt;=$O$41,L26&lt;=$P$41),$R$41,IF(AND(L26&gt;=$O$42,L26&lt;=$P$42),$R$42,IF(AND(L26&gt;=$O$43,L26&lt;=$P$43),$R$43,IF(AND(L26&gt;=$O$44,L26&lt;=$P$44),$R$44,IF(AND(L26&gt;=$O$45,L26&lt;$P$45),$R$45,IF(AND(L26&gt;$O$46,L26&lt;$P$46),$R$46,IF(AND(L26&lt;=$P$47),$R$47,0))))))))))))</f>
        <v>D</v>
      </c>
      <c r="N26"/>
      <c r="O26" s="42">
        <v>90</v>
      </c>
      <c r="P26" s="110">
        <v>94.99</v>
      </c>
      <c r="Q26" s="47" t="s">
        <v>6</v>
      </c>
      <c r="R26" s="52" t="s">
        <v>136</v>
      </c>
      <c r="S26"/>
    </row>
    <row r="27" spans="2:19" s="12" customFormat="1" ht="15.75" x14ac:dyDescent="0.25">
      <c r="B27" s="13">
        <v>2</v>
      </c>
      <c r="C27" s="187" t="s">
        <v>48</v>
      </c>
      <c r="D27" s="187"/>
      <c r="E27" s="187"/>
      <c r="F27" s="209">
        <f>'MP XII RPL'!G14</f>
        <v>60</v>
      </c>
      <c r="G27" s="210"/>
      <c r="H27" s="211">
        <f>VLOOKUP(R9,'L XII RPL'!$B$9:$BI$43,23)</f>
        <v>0</v>
      </c>
      <c r="I27" s="212"/>
      <c r="J27" s="211">
        <f>VLOOKUP(R9,'L XII RPL'!$B$9:$BI$43,24)</f>
        <v>0</v>
      </c>
      <c r="K27" s="212"/>
      <c r="L27" s="14">
        <f t="shared" ref="L27" si="2">IF(J27=0,H27,AVERAGE(H27:K27))</f>
        <v>0</v>
      </c>
      <c r="M27" s="14" t="str">
        <f>IF(F27=60,IF(AND(L27&gt;$O$25,L27&lt;$P$25),$R$25,IF(AND(L27&gt;=$O$26,L27&lt;=$P$26),$R$26,IF(AND(L27&gt;=$O$27,L27&lt;=$P$27),$R$27,IF(AND(L27&gt;=$O$28,L27&lt;=$P$28),$R$28,IF(AND(L27&gt;=$O$29,L27&lt;=$P$29),$R$29,IF(AND(L27&gt;=$O$30,L27&lt;=$P$30),$R$30,IF(AND(L27&gt;=$O$31,L27&lt;=$P$31),$R$31,IF(AND(L27&gt;=$O$32,L27&lt;$P$32),$R$32,IF(AND(L27&gt;$O$33,L27&lt;$P$33),$R$33,IF(AND(L27&lt;=$P$34),$R$34,0)))))))))),IF(F27=70,IF(AND(L27&gt;$O$38,L27&lt;$P$38),$R$38,IF(AND(L27&gt;=$O$39,L27&lt;=$P$39),$R$39,IF(AND(L27&gt;=$O$40,L27&lt;=$P$40),$R$40,IF(AND(L27&gt;=$O$41,L27&lt;=$P$41),$R$41,IF(AND(L27&gt;=$O$42,L27&lt;=$P$42),$R$42,IF(AND(L27&gt;=$O$43,L27&lt;=$P$43),$R$43,IF(AND(L27&gt;=$O$44,L27&lt;=$P$44),$R$44,IF(AND(L27&gt;=$O$45,L27&lt;$P$45),$R$45,IF(AND(L27&gt;$O$46,L27&lt;$P$46),$R$46,IF(AND(L27&lt;=$P$47),$R$47,0))))))))))))</f>
        <v>D</v>
      </c>
      <c r="N27"/>
      <c r="O27" s="42">
        <v>85</v>
      </c>
      <c r="P27" s="110">
        <v>89.99</v>
      </c>
      <c r="Q27" s="47" t="s">
        <v>6</v>
      </c>
      <c r="R27" s="52" t="s">
        <v>135</v>
      </c>
      <c r="S27"/>
    </row>
    <row r="28" spans="2:19" s="12" customFormat="1" ht="15.75" x14ac:dyDescent="0.25">
      <c r="B28" s="188" t="s">
        <v>49</v>
      </c>
      <c r="C28" s="188"/>
      <c r="D28" s="188"/>
      <c r="E28" s="188"/>
      <c r="F28" s="188"/>
      <c r="G28" s="188"/>
      <c r="H28" s="188"/>
      <c r="I28" s="188"/>
      <c r="J28" s="188"/>
      <c r="K28" s="188"/>
      <c r="L28" s="188"/>
      <c r="M28" s="188"/>
      <c r="N28"/>
      <c r="O28" s="42">
        <v>80</v>
      </c>
      <c r="P28" s="110">
        <v>84.99</v>
      </c>
      <c r="Q28" s="47" t="s">
        <v>6</v>
      </c>
      <c r="R28" s="52" t="s">
        <v>134</v>
      </c>
      <c r="S28"/>
    </row>
    <row r="29" spans="2:19" s="12" customFormat="1" ht="15.75" x14ac:dyDescent="0.25">
      <c r="B29" s="188" t="s">
        <v>78</v>
      </c>
      <c r="C29" s="188"/>
      <c r="D29" s="188"/>
      <c r="E29" s="188"/>
      <c r="F29" s="188"/>
      <c r="G29" s="188"/>
      <c r="H29" s="188"/>
      <c r="I29" s="188"/>
      <c r="J29" s="188"/>
      <c r="K29" s="188"/>
      <c r="L29" s="188"/>
      <c r="M29" s="188"/>
      <c r="N29"/>
      <c r="O29" s="42">
        <v>75</v>
      </c>
      <c r="P29" s="110">
        <v>79.989999999999995</v>
      </c>
      <c r="Q29" s="47" t="s">
        <v>6</v>
      </c>
      <c r="R29" s="52" t="s">
        <v>118</v>
      </c>
      <c r="S29"/>
    </row>
    <row r="30" spans="2:19" s="12" customFormat="1" ht="15.75" customHeight="1" x14ac:dyDescent="0.25">
      <c r="B30" s="13">
        <v>1</v>
      </c>
      <c r="C30" s="183" t="s">
        <v>85</v>
      </c>
      <c r="D30" s="183"/>
      <c r="E30" s="183"/>
      <c r="F30" s="209">
        <f>'MP XII RPL'!G17</f>
        <v>70</v>
      </c>
      <c r="G30" s="210"/>
      <c r="H30" s="211">
        <f>VLOOKUP(R9,'L XII RPL'!$B$9:$BI$43,26)</f>
        <v>0</v>
      </c>
      <c r="I30" s="212"/>
      <c r="J30" s="211">
        <f>VLOOKUP(R9,'L XII RPL'!$B$9:$BI$43,27)</f>
        <v>0</v>
      </c>
      <c r="K30" s="212"/>
      <c r="L30" s="14">
        <f>IF(J30=0,H30,AVERAGE(H30:K30))</f>
        <v>0</v>
      </c>
      <c r="M30" s="14" t="str">
        <f>IF(F30=60,IF(AND(L30&gt;$O$25,L30&lt;$P$25),$R$25,IF(AND(L30&gt;=$O$26,L30&lt;=$P$26),$R$26,IF(AND(L30&gt;=$O$27,L30&lt;=$P$27),$R$27,IF(AND(L30&gt;=$O$28,L30&lt;=$P$28),$R$28,IF(AND(L30&gt;=$O$29,L30&lt;=$P$29),$R$29,IF(AND(L30&gt;=$O$30,L30&lt;=$P$30),$R$30,IF(AND(L30&gt;=$O$31,L30&lt;=$P$31),$R$31,IF(AND(L30&gt;=$O$32,L30&lt;$P$32),$R$32,IF(AND(L30&gt;$O$33,L30&lt;$P$33),$R$33,IF(AND(L30&lt;=$P$34),$R$34,0)))))))))),IF(F30=70,IF(AND(L30&gt;$O$38,L30&lt;$P$38),$R$38,IF(AND(L30&gt;=$O$39,L30&lt;=$P$39),$R$39,IF(AND(L30&gt;=$O$40,L30&lt;=$P$40),$R$40,IF(AND(L30&gt;=$O$41,L30&lt;=$P$41),$R$41,IF(AND(L30&gt;=$O$42,L30&lt;=$P$42),$R$42,IF(AND(L30&gt;=$O$43,L30&lt;=$P$43),$R$43,IF(AND(L30&gt;=$O$44,L30&lt;=$P$44),$R$44,IF(AND(L30&gt;=$O$45,L30&lt;$P$45),$R$45,IF(AND(L30&gt;$O$46,L30&lt;$P$46),$R$46,IF(AND(L30&lt;=$P$47),$R$47,0))))))))))))</f>
        <v>D</v>
      </c>
      <c r="N30"/>
      <c r="O30" s="42">
        <v>70</v>
      </c>
      <c r="P30" s="110">
        <v>74.989999999999995</v>
      </c>
      <c r="Q30" s="47" t="s">
        <v>6</v>
      </c>
      <c r="R30" s="52" t="s">
        <v>133</v>
      </c>
      <c r="S30"/>
    </row>
    <row r="31" spans="2:19" s="12" customFormat="1" ht="15.75" x14ac:dyDescent="0.25">
      <c r="B31" s="13">
        <v>2</v>
      </c>
      <c r="C31" s="183" t="s">
        <v>86</v>
      </c>
      <c r="D31" s="183"/>
      <c r="E31" s="183"/>
      <c r="F31" s="209">
        <f>'MP XII RPL'!G18</f>
        <v>70</v>
      </c>
      <c r="G31" s="210"/>
      <c r="H31" s="211">
        <f>VLOOKUP(R9,'L XII RPL'!$B$9:$BI$43,29)</f>
        <v>0</v>
      </c>
      <c r="I31" s="212"/>
      <c r="J31" s="211">
        <f>VLOOKUP(R9,'L XII RPL'!$B$9:$BI$43,30)</f>
        <v>0</v>
      </c>
      <c r="K31" s="212"/>
      <c r="L31" s="14">
        <f t="shared" ref="L31:L33" si="3">IF(J31=0,H31,AVERAGE(H31:K31))</f>
        <v>0</v>
      </c>
      <c r="M31" s="14" t="str">
        <f t="shared" ref="M31:M33" si="4">IF(F31=60,IF(AND(L31&gt;$O$25,L31&lt;$P$25),$R$25,IF(AND(L31&gt;=$O$26,L31&lt;=$P$26),$R$26,IF(AND(L31&gt;=$O$27,L31&lt;=$P$27),$R$27,IF(AND(L31&gt;=$O$28,L31&lt;=$P$28),$R$28,IF(AND(L31&gt;=$O$29,L31&lt;=$P$29),$R$29,IF(AND(L31&gt;=$O$30,L31&lt;=$P$30),$R$30,IF(AND(L31&gt;=$O$31,L31&lt;=$P$31),$R$31,IF(AND(L31&gt;=$O$32,L31&lt;$P$32),$R$32,IF(AND(L31&gt;$O$33,L31&lt;$P$33),$R$33,IF(AND(L31&lt;=$P$34),$R$34,0)))))))))),IF(F31=70,IF(AND(L31&gt;$O$38,L31&lt;$P$38),$R$38,IF(AND(L31&gt;=$O$39,L31&lt;=$P$39),$R$39,IF(AND(L31&gt;=$O$40,L31&lt;=$P$40),$R$40,IF(AND(L31&gt;=$O$41,L31&lt;=$P$41),$R$41,IF(AND(L31&gt;=$O$42,L31&lt;=$P$42),$R$42,IF(AND(L31&gt;=$O$43,L31&lt;=$P$43),$R$43,IF(AND(L31&gt;=$O$44,L31&lt;=$P$44),$R$44,IF(AND(L31&gt;=$O$45,L31&lt;$P$45),$R$45,IF(AND(L31&gt;$O$46,L31&lt;$P$46),$R$46,IF(AND(L31&lt;=$P$47),$R$47,0))))))))))))</f>
        <v>D</v>
      </c>
      <c r="N31"/>
      <c r="O31" s="42">
        <v>65</v>
      </c>
      <c r="P31" s="110">
        <v>69.989999999999995</v>
      </c>
      <c r="Q31" s="47" t="s">
        <v>6</v>
      </c>
      <c r="R31" s="52" t="s">
        <v>132</v>
      </c>
      <c r="S31"/>
    </row>
    <row r="32" spans="2:19" s="12" customFormat="1" ht="15.75" x14ac:dyDescent="0.25">
      <c r="B32" s="13">
        <v>3</v>
      </c>
      <c r="C32" s="187" t="s">
        <v>87</v>
      </c>
      <c r="D32" s="187"/>
      <c r="E32" s="187"/>
      <c r="F32" s="209">
        <f>'MP XII RPL'!G19</f>
        <v>70</v>
      </c>
      <c r="G32" s="210"/>
      <c r="H32" s="211">
        <f>VLOOKUP(R9,'L XII RPL'!$B$9:$BI$43,32)</f>
        <v>0</v>
      </c>
      <c r="I32" s="212"/>
      <c r="J32" s="211">
        <f>VLOOKUP(R9,'L XII RPL'!$B$9:$BI$43,33)</f>
        <v>0</v>
      </c>
      <c r="K32" s="212"/>
      <c r="L32" s="14">
        <f t="shared" si="3"/>
        <v>0</v>
      </c>
      <c r="M32" s="14" t="str">
        <f t="shared" si="4"/>
        <v>D</v>
      </c>
      <c r="N32"/>
      <c r="O32" s="42">
        <v>60</v>
      </c>
      <c r="P32" s="110">
        <v>64.989999999999995</v>
      </c>
      <c r="Q32" s="47" t="s">
        <v>6</v>
      </c>
      <c r="R32" s="52" t="s">
        <v>131</v>
      </c>
      <c r="S32"/>
    </row>
    <row r="33" spans="2:18" ht="15.75" x14ac:dyDescent="0.25">
      <c r="B33" s="13">
        <v>4</v>
      </c>
      <c r="C33" s="183" t="s">
        <v>83</v>
      </c>
      <c r="D33" s="183"/>
      <c r="E33" s="183"/>
      <c r="F33" s="209">
        <f>'MP XII RPL'!G20</f>
        <v>70</v>
      </c>
      <c r="G33" s="210"/>
      <c r="H33" s="211">
        <f>VLOOKUP(R9,'L XII RPL'!$B$9:$BI$43,35)</f>
        <v>0</v>
      </c>
      <c r="I33" s="212"/>
      <c r="J33" s="211">
        <f>VLOOKUP(R9,'L XII RPL'!$B$9:$BI$43,36)</f>
        <v>0</v>
      </c>
      <c r="K33" s="212"/>
      <c r="L33" s="14">
        <f t="shared" si="3"/>
        <v>0</v>
      </c>
      <c r="M33" s="14" t="str">
        <f t="shared" si="4"/>
        <v>D</v>
      </c>
      <c r="O33" s="42">
        <v>55</v>
      </c>
      <c r="P33" s="110">
        <v>59.99</v>
      </c>
      <c r="Q33" s="47" t="s">
        <v>6</v>
      </c>
      <c r="R33" s="52" t="s">
        <v>130</v>
      </c>
    </row>
    <row r="34" spans="2:18" ht="16.5" thickBot="1" x14ac:dyDescent="0.3">
      <c r="B34" s="213" t="s">
        <v>60</v>
      </c>
      <c r="C34" s="214"/>
      <c r="D34" s="214"/>
      <c r="E34" s="214"/>
      <c r="F34" s="214"/>
      <c r="G34" s="215"/>
      <c r="H34" s="216">
        <f>VLOOKUP(R9,'L XII RPL'!$B$9:$BI$43,59)</f>
        <v>78</v>
      </c>
      <c r="I34" s="216"/>
      <c r="J34" s="216"/>
      <c r="K34" s="216"/>
      <c r="L34" s="216"/>
      <c r="M34" s="216"/>
      <c r="O34" s="43">
        <v>50</v>
      </c>
      <c r="P34" s="111">
        <v>54.99</v>
      </c>
      <c r="Q34" s="49" t="s">
        <v>6</v>
      </c>
      <c r="R34" s="50" t="s">
        <v>129</v>
      </c>
    </row>
    <row r="35" spans="2:18" ht="16.5" thickBot="1" x14ac:dyDescent="0.3">
      <c r="B35" s="205" t="s">
        <v>61</v>
      </c>
      <c r="C35" s="206"/>
      <c r="D35" s="206"/>
      <c r="E35" s="206"/>
      <c r="F35" s="206"/>
      <c r="G35" s="207"/>
      <c r="H35" s="208">
        <f>VLOOKUP(R9,'L XII RPL'!$B$9:$BI$43,60)</f>
        <v>2</v>
      </c>
      <c r="I35" s="208"/>
      <c r="J35" s="208"/>
      <c r="K35" s="208"/>
      <c r="L35" s="208"/>
      <c r="M35" s="208"/>
      <c r="O35" s="20"/>
      <c r="P35" s="20"/>
      <c r="Q35" s="20"/>
      <c r="R35" s="20"/>
    </row>
    <row r="36" spans="2:18" ht="15.75" x14ac:dyDescent="0.25">
      <c r="B36" s="1"/>
      <c r="C36" s="1"/>
      <c r="D36" s="1"/>
      <c r="E36" s="1"/>
      <c r="F36" s="1"/>
      <c r="G36" s="1"/>
      <c r="H36" s="1"/>
      <c r="I36" s="1"/>
      <c r="J36" s="1"/>
      <c r="K36" s="1"/>
      <c r="L36" s="1"/>
      <c r="M36" s="1"/>
      <c r="O36" s="320" t="s">
        <v>140</v>
      </c>
      <c r="P36" s="321"/>
      <c r="Q36" s="321"/>
      <c r="R36" s="322"/>
    </row>
    <row r="37" spans="2:18" ht="16.5" thickBot="1" x14ac:dyDescent="0.3">
      <c r="B37" s="1"/>
      <c r="C37" s="1"/>
      <c r="D37" s="1"/>
      <c r="E37" s="1"/>
      <c r="F37" s="1"/>
      <c r="G37" s="1"/>
      <c r="H37" s="203" t="str">
        <f>ID!G11</f>
        <v>31 MARET 2023</v>
      </c>
      <c r="I37" s="203"/>
      <c r="J37" s="203"/>
      <c r="K37" s="203"/>
      <c r="L37" s="203"/>
      <c r="M37" s="203"/>
      <c r="O37" s="48" t="s">
        <v>141</v>
      </c>
      <c r="P37" s="49" t="s">
        <v>142</v>
      </c>
      <c r="Q37" s="49"/>
      <c r="R37" s="50" t="s">
        <v>138</v>
      </c>
    </row>
    <row r="38" spans="2:18" ht="15.75" x14ac:dyDescent="0.25">
      <c r="B38" s="203" t="s">
        <v>67</v>
      </c>
      <c r="C38" s="203"/>
      <c r="D38" s="203"/>
      <c r="E38" s="203"/>
      <c r="F38" s="1"/>
      <c r="G38" s="1"/>
      <c r="H38" s="1"/>
      <c r="I38" s="1"/>
      <c r="J38" s="1"/>
      <c r="K38" s="1"/>
      <c r="L38" s="1"/>
      <c r="M38" s="1"/>
      <c r="O38" s="44">
        <v>98</v>
      </c>
      <c r="P38" s="45">
        <v>100</v>
      </c>
      <c r="Q38" s="45" t="s">
        <v>6</v>
      </c>
      <c r="R38" s="51" t="s">
        <v>137</v>
      </c>
    </row>
    <row r="39" spans="2:18" ht="15.75" x14ac:dyDescent="0.25">
      <c r="B39" s="203" t="str">
        <f>"Kepala " &amp; ID!G5</f>
        <v>Kepala SMK Pancasila 8 Slogohimo</v>
      </c>
      <c r="C39" s="203"/>
      <c r="D39" s="203"/>
      <c r="E39" s="203"/>
      <c r="F39" s="1"/>
      <c r="G39" s="1"/>
      <c r="H39" s="203" t="s">
        <v>62</v>
      </c>
      <c r="I39" s="203"/>
      <c r="J39" s="203"/>
      <c r="K39" s="203"/>
      <c r="L39" s="203"/>
      <c r="M39" s="203"/>
      <c r="O39" s="46">
        <v>94</v>
      </c>
      <c r="P39" s="47">
        <v>97.99</v>
      </c>
      <c r="Q39" s="47" t="s">
        <v>6</v>
      </c>
      <c r="R39" s="52" t="s">
        <v>136</v>
      </c>
    </row>
    <row r="40" spans="2:18" ht="15.75" x14ac:dyDescent="0.25">
      <c r="B40" s="1"/>
      <c r="C40" s="1"/>
      <c r="D40" s="1"/>
      <c r="E40" s="1"/>
      <c r="F40" s="1"/>
      <c r="G40" s="1"/>
      <c r="H40" s="203"/>
      <c r="I40" s="203"/>
      <c r="J40" s="203"/>
      <c r="K40" s="203"/>
      <c r="L40" s="203"/>
      <c r="M40" s="203"/>
      <c r="O40" s="46">
        <v>90</v>
      </c>
      <c r="P40" s="47">
        <v>93.99</v>
      </c>
      <c r="Q40" s="47" t="s">
        <v>6</v>
      </c>
      <c r="R40" s="52" t="s">
        <v>135</v>
      </c>
    </row>
    <row r="41" spans="2:18" ht="15.75" x14ac:dyDescent="0.25">
      <c r="B41" s="1"/>
      <c r="C41" s="1"/>
      <c r="D41" s="1"/>
      <c r="E41" s="1"/>
      <c r="F41" s="1"/>
      <c r="G41" s="1"/>
      <c r="H41" s="203"/>
      <c r="I41" s="203"/>
      <c r="J41" s="203"/>
      <c r="K41" s="203"/>
      <c r="L41" s="203"/>
      <c r="M41" s="203"/>
      <c r="O41" s="46">
        <v>86</v>
      </c>
      <c r="P41" s="47">
        <v>89.99</v>
      </c>
      <c r="Q41" s="47" t="s">
        <v>6</v>
      </c>
      <c r="R41" s="52" t="s">
        <v>134</v>
      </c>
    </row>
    <row r="42" spans="2:18" ht="15.75" x14ac:dyDescent="0.25">
      <c r="B42" s="1"/>
      <c r="C42" s="1"/>
      <c r="D42" s="1"/>
      <c r="E42" s="1"/>
      <c r="F42" s="1"/>
      <c r="G42" s="1"/>
      <c r="H42" s="203"/>
      <c r="I42" s="203"/>
      <c r="J42" s="203"/>
      <c r="K42" s="203"/>
      <c r="L42" s="203"/>
      <c r="M42" s="203"/>
      <c r="O42" s="46">
        <v>82</v>
      </c>
      <c r="P42" s="47">
        <v>85.99</v>
      </c>
      <c r="Q42" s="47" t="s">
        <v>6</v>
      </c>
      <c r="R42" s="52" t="s">
        <v>118</v>
      </c>
    </row>
    <row r="43" spans="2:18" ht="15.75" x14ac:dyDescent="0.25">
      <c r="B43" s="204" t="str">
        <f>ID!G6</f>
        <v>Sri Rahayu, S.Pd., SE.</v>
      </c>
      <c r="C43" s="204"/>
      <c r="D43" s="204"/>
      <c r="E43" s="204"/>
      <c r="F43" s="1"/>
      <c r="G43" s="1"/>
      <c r="H43" s="204" t="str">
        <f>ID!G10</f>
        <v>SURADI S.Pd.</v>
      </c>
      <c r="I43" s="204"/>
      <c r="J43" s="204"/>
      <c r="K43" s="204"/>
      <c r="L43" s="204"/>
      <c r="M43" s="204"/>
      <c r="O43" s="46">
        <v>78</v>
      </c>
      <c r="P43" s="47">
        <v>81.99</v>
      </c>
      <c r="Q43" s="47" t="s">
        <v>6</v>
      </c>
      <c r="R43" s="52" t="s">
        <v>133</v>
      </c>
    </row>
    <row r="44" spans="2:18" ht="15.75" x14ac:dyDescent="0.25">
      <c r="B44" s="4"/>
      <c r="C44" s="4"/>
      <c r="D44" s="4"/>
      <c r="E44" s="4"/>
      <c r="F44" s="1"/>
      <c r="G44" s="1"/>
      <c r="H44" s="4"/>
      <c r="I44" s="4"/>
      <c r="J44" s="4"/>
      <c r="K44" s="4"/>
      <c r="L44" s="4"/>
      <c r="M44" s="4"/>
      <c r="O44" s="46">
        <v>74</v>
      </c>
      <c r="P44" s="47">
        <v>77.989999999999995</v>
      </c>
      <c r="Q44" s="47" t="s">
        <v>6</v>
      </c>
      <c r="R44" s="52" t="s">
        <v>132</v>
      </c>
    </row>
    <row r="45" spans="2:18" ht="15.75" x14ac:dyDescent="0.25">
      <c r="B45" s="4"/>
      <c r="C45" s="4"/>
      <c r="D45" s="4"/>
      <c r="E45" s="4"/>
      <c r="F45" s="1"/>
      <c r="G45" s="1"/>
      <c r="H45" s="4"/>
      <c r="I45" s="4"/>
      <c r="J45" s="4"/>
      <c r="K45" s="4"/>
      <c r="L45" s="4"/>
      <c r="M45" s="4"/>
      <c r="O45" s="46">
        <v>70</v>
      </c>
      <c r="P45" s="47">
        <v>73.989999999999995</v>
      </c>
      <c r="Q45" s="47" t="s">
        <v>6</v>
      </c>
      <c r="R45" s="52" t="s">
        <v>131</v>
      </c>
    </row>
    <row r="46" spans="2:18" ht="15.75" x14ac:dyDescent="0.25">
      <c r="B46" s="4"/>
      <c r="C46" s="4"/>
      <c r="D46" s="4"/>
      <c r="E46" s="4"/>
      <c r="F46" s="1"/>
      <c r="G46" s="1"/>
      <c r="H46" s="4"/>
      <c r="I46" s="4"/>
      <c r="J46" s="4"/>
      <c r="K46" s="4"/>
      <c r="L46" s="4"/>
      <c r="M46" s="4"/>
      <c r="O46" s="46">
        <v>65</v>
      </c>
      <c r="P46" s="47">
        <v>69.989999999999995</v>
      </c>
      <c r="Q46" s="47" t="s">
        <v>6</v>
      </c>
      <c r="R46" s="52" t="s">
        <v>130</v>
      </c>
    </row>
    <row r="47" spans="2:18" ht="16.5" thickBot="1" x14ac:dyDescent="0.3">
      <c r="B47" s="4"/>
      <c r="C47" s="4"/>
      <c r="D47" s="4"/>
      <c r="E47" s="4"/>
      <c r="F47" s="1"/>
      <c r="G47" s="1"/>
      <c r="H47" s="4"/>
      <c r="I47" s="4"/>
      <c r="J47" s="4"/>
      <c r="K47" s="4"/>
      <c r="L47" s="4"/>
      <c r="M47" s="4"/>
      <c r="O47" s="48">
        <v>60</v>
      </c>
      <c r="P47" s="49">
        <v>64.989999999999995</v>
      </c>
      <c r="Q47" s="49" t="s">
        <v>6</v>
      </c>
      <c r="R47" s="50" t="s">
        <v>129</v>
      </c>
    </row>
    <row r="48" spans="2:18" ht="15.75" x14ac:dyDescent="0.25">
      <c r="B48" s="4"/>
      <c r="C48" s="4"/>
      <c r="D48" s="4"/>
      <c r="E48" s="4"/>
      <c r="F48" s="1"/>
      <c r="G48" s="1"/>
      <c r="H48" s="4"/>
      <c r="I48" s="4"/>
      <c r="J48" s="4"/>
      <c r="K48" s="4"/>
      <c r="L48" s="4"/>
      <c r="M48" s="4"/>
    </row>
    <row r="49" spans="2:19" s="12" customFormat="1" ht="7.5" customHeight="1" x14ac:dyDescent="0.25">
      <c r="S49"/>
    </row>
    <row r="50" spans="2:19" s="12" customFormat="1" ht="0" hidden="1" customHeight="1" x14ac:dyDescent="0.25">
      <c r="B50"/>
      <c r="C50"/>
      <c r="D50"/>
      <c r="E50"/>
      <c r="F50"/>
      <c r="G50"/>
      <c r="H50"/>
      <c r="I50"/>
      <c r="J50"/>
      <c r="K50"/>
      <c r="L50"/>
      <c r="M50"/>
      <c r="N50"/>
      <c r="O50"/>
      <c r="P50"/>
      <c r="Q50"/>
      <c r="R50"/>
      <c r="S50"/>
    </row>
    <row r="51" spans="2:19" s="12" customFormat="1" ht="0" hidden="1" customHeight="1" x14ac:dyDescent="0.25">
      <c r="B51"/>
      <c r="C51"/>
      <c r="D51"/>
      <c r="E51"/>
      <c r="F51"/>
      <c r="G51"/>
      <c r="H51"/>
      <c r="I51"/>
      <c r="J51"/>
      <c r="K51"/>
      <c r="L51"/>
      <c r="M51"/>
      <c r="N51"/>
      <c r="O51"/>
      <c r="P51"/>
      <c r="Q51"/>
      <c r="R51"/>
      <c r="S51"/>
    </row>
    <row r="52" spans="2:19" s="12" customFormat="1" ht="0" hidden="1" customHeight="1" x14ac:dyDescent="0.25">
      <c r="B52"/>
      <c r="C52"/>
      <c r="D52"/>
      <c r="E52"/>
      <c r="F52"/>
      <c r="G52"/>
      <c r="H52"/>
      <c r="I52"/>
      <c r="J52"/>
      <c r="K52"/>
      <c r="L52"/>
      <c r="M52"/>
      <c r="N52"/>
      <c r="O52"/>
      <c r="P52"/>
      <c r="Q52"/>
      <c r="R52"/>
      <c r="S52"/>
    </row>
    <row r="53" spans="2:19" s="12" customFormat="1" ht="0" hidden="1" customHeight="1" x14ac:dyDescent="0.25">
      <c r="B53"/>
      <c r="C53"/>
      <c r="D53"/>
      <c r="E53"/>
      <c r="F53"/>
      <c r="G53"/>
      <c r="H53"/>
      <c r="I53"/>
      <c r="J53"/>
      <c r="K53"/>
      <c r="L53"/>
      <c r="M53"/>
      <c r="N53"/>
      <c r="O53"/>
      <c r="P53"/>
      <c r="Q53"/>
      <c r="R53"/>
      <c r="S53"/>
    </row>
    <row r="54" spans="2:19" s="12" customFormat="1" ht="0" hidden="1" customHeight="1" x14ac:dyDescent="0.25">
      <c r="B54"/>
      <c r="C54"/>
      <c r="D54"/>
      <c r="E54"/>
      <c r="F54"/>
      <c r="G54"/>
      <c r="H54"/>
      <c r="I54"/>
      <c r="J54"/>
      <c r="K54"/>
      <c r="L54"/>
      <c r="M54"/>
      <c r="N54"/>
      <c r="O54"/>
      <c r="P54"/>
      <c r="Q54"/>
      <c r="R54"/>
      <c r="S54"/>
    </row>
    <row r="55" spans="2:19" s="12" customFormat="1" ht="0" hidden="1" customHeight="1" x14ac:dyDescent="0.25">
      <c r="B55"/>
      <c r="C55"/>
      <c r="D55"/>
      <c r="E55"/>
      <c r="F55"/>
      <c r="G55"/>
      <c r="H55"/>
      <c r="I55"/>
      <c r="J55"/>
      <c r="K55"/>
      <c r="L55"/>
      <c r="M55"/>
      <c r="N55"/>
      <c r="O55"/>
      <c r="P55"/>
      <c r="Q55"/>
      <c r="R55"/>
      <c r="S55"/>
    </row>
    <row r="56" spans="2:19" s="12" customFormat="1" ht="0" hidden="1" customHeight="1" x14ac:dyDescent="0.25">
      <c r="B56"/>
      <c r="C56"/>
      <c r="D56"/>
      <c r="E56"/>
      <c r="F56"/>
      <c r="G56"/>
      <c r="H56"/>
      <c r="I56"/>
      <c r="J56"/>
      <c r="K56"/>
      <c r="L56"/>
      <c r="M56"/>
      <c r="N56"/>
      <c r="O56"/>
      <c r="P56"/>
      <c r="Q56"/>
      <c r="R56"/>
      <c r="S56"/>
    </row>
    <row r="57" spans="2:19" s="12" customFormat="1" ht="0" hidden="1" customHeight="1" x14ac:dyDescent="0.25">
      <c r="B57"/>
      <c r="C57"/>
      <c r="D57"/>
      <c r="E57"/>
      <c r="F57"/>
      <c r="G57"/>
      <c r="H57"/>
      <c r="I57"/>
      <c r="J57"/>
      <c r="K57"/>
      <c r="L57"/>
      <c r="M57"/>
      <c r="N57"/>
      <c r="O57"/>
      <c r="P57"/>
      <c r="Q57"/>
      <c r="R57"/>
      <c r="S57"/>
    </row>
  </sheetData>
  <sheetProtection selectLockedCells="1"/>
  <mergeCells count="98">
    <mergeCell ref="D2:M2"/>
    <mergeCell ref="V2:AC2"/>
    <mergeCell ref="D3:M3"/>
    <mergeCell ref="V3:AC3"/>
    <mergeCell ref="D4:M4"/>
    <mergeCell ref="V4:AC4"/>
    <mergeCell ref="D5:M5"/>
    <mergeCell ref="V5:AC5"/>
    <mergeCell ref="D6:M6"/>
    <mergeCell ref="V6:AC6"/>
    <mergeCell ref="D7:M7"/>
    <mergeCell ref="O7:R8"/>
    <mergeCell ref="V7:AC7"/>
    <mergeCell ref="D8:M8"/>
    <mergeCell ref="V8:AC8"/>
    <mergeCell ref="D9:M9"/>
    <mergeCell ref="P9:Q11"/>
    <mergeCell ref="R9:R11"/>
    <mergeCell ref="V9:AC9"/>
    <mergeCell ref="B10:M10"/>
    <mergeCell ref="B11:M11"/>
    <mergeCell ref="B12:M12"/>
    <mergeCell ref="P12:Q14"/>
    <mergeCell ref="R12:R14"/>
    <mergeCell ref="B14:C14"/>
    <mergeCell ref="E14:F14"/>
    <mergeCell ref="J14:M14"/>
    <mergeCell ref="C20:E20"/>
    <mergeCell ref="F20:G20"/>
    <mergeCell ref="H20:I20"/>
    <mergeCell ref="J20:K20"/>
    <mergeCell ref="B15:C15"/>
    <mergeCell ref="E15:F15"/>
    <mergeCell ref="J15:M15"/>
    <mergeCell ref="B16:C16"/>
    <mergeCell ref="E16:F16"/>
    <mergeCell ref="J16:M16"/>
    <mergeCell ref="C18:E18"/>
    <mergeCell ref="F18:G18"/>
    <mergeCell ref="H18:I18"/>
    <mergeCell ref="J18:K18"/>
    <mergeCell ref="B19:M19"/>
    <mergeCell ref="C21:E21"/>
    <mergeCell ref="F21:G21"/>
    <mergeCell ref="H21:I21"/>
    <mergeCell ref="J21:K21"/>
    <mergeCell ref="C22:E22"/>
    <mergeCell ref="F22:G22"/>
    <mergeCell ref="H22:I22"/>
    <mergeCell ref="J22:K22"/>
    <mergeCell ref="O23:R23"/>
    <mergeCell ref="C24:E24"/>
    <mergeCell ref="F24:G24"/>
    <mergeCell ref="H24:I24"/>
    <mergeCell ref="J24:K24"/>
    <mergeCell ref="C27:E27"/>
    <mergeCell ref="F27:G27"/>
    <mergeCell ref="H27:I27"/>
    <mergeCell ref="J27:K27"/>
    <mergeCell ref="C23:E23"/>
    <mergeCell ref="F23:G23"/>
    <mergeCell ref="H23:I23"/>
    <mergeCell ref="J23:K23"/>
    <mergeCell ref="B25:M25"/>
    <mergeCell ref="C26:E26"/>
    <mergeCell ref="F26:G26"/>
    <mergeCell ref="H26:I26"/>
    <mergeCell ref="J26:K26"/>
    <mergeCell ref="B28:M28"/>
    <mergeCell ref="B29:M29"/>
    <mergeCell ref="C30:E30"/>
    <mergeCell ref="F30:G30"/>
    <mergeCell ref="H30:I30"/>
    <mergeCell ref="J30:K30"/>
    <mergeCell ref="C31:E31"/>
    <mergeCell ref="F31:G31"/>
    <mergeCell ref="H31:I31"/>
    <mergeCell ref="J31:K31"/>
    <mergeCell ref="C32:E32"/>
    <mergeCell ref="F32:G32"/>
    <mergeCell ref="H32:I32"/>
    <mergeCell ref="J32:K32"/>
    <mergeCell ref="C33:E33"/>
    <mergeCell ref="F33:G33"/>
    <mergeCell ref="H33:I33"/>
    <mergeCell ref="J33:K33"/>
    <mergeCell ref="B34:G34"/>
    <mergeCell ref="H34:M34"/>
    <mergeCell ref="O36:R36"/>
    <mergeCell ref="H37:M37"/>
    <mergeCell ref="B38:E38"/>
    <mergeCell ref="B39:E39"/>
    <mergeCell ref="H39:M39"/>
    <mergeCell ref="H40:M42"/>
    <mergeCell ref="B43:E43"/>
    <mergeCell ref="H43:M43"/>
    <mergeCell ref="B35:G35"/>
    <mergeCell ref="H35:M35"/>
  </mergeCells>
  <printOptions horizontalCentered="1"/>
  <pageMargins left="0" right="0" top="0.35433070866141736" bottom="0.15748031496062992" header="0.31496062992125984" footer="0.31496062992125984"/>
  <pageSetup paperSize="10000" scale="90" fitToWidth="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Spinner 1">
              <controlPr defaultSize="0" autoPict="0">
                <anchor moveWithCells="1" sizeWithCells="1">
                  <from>
                    <xdr:col>14</xdr:col>
                    <xdr:colOff>28575</xdr:colOff>
                    <xdr:row>8</xdr:row>
                    <xdr:rowOff>0</xdr:rowOff>
                  </from>
                  <to>
                    <xdr:col>14</xdr:col>
                    <xdr:colOff>466725</xdr:colOff>
                    <xdr:row>14</xdr:row>
                    <xdr:rowOff>19050</xdr:rowOff>
                  </to>
                </anchor>
              </controlPr>
            </control>
          </mc:Choice>
        </mc:AlternateContent>
        <mc:AlternateContent xmlns:mc="http://schemas.openxmlformats.org/markup-compatibility/2006">
          <mc:Choice Requires="x14">
            <control shapeId="27650" r:id="rId5" name="Spinner 2">
              <controlPr defaultSize="0" autoPict="0">
                <anchor moveWithCells="1" sizeWithCells="1">
                  <from>
                    <xdr:col>14</xdr:col>
                    <xdr:colOff>28575</xdr:colOff>
                    <xdr:row>8</xdr:row>
                    <xdr:rowOff>0</xdr:rowOff>
                  </from>
                  <to>
                    <xdr:col>14</xdr:col>
                    <xdr:colOff>466725</xdr:colOff>
                    <xdr:row>14</xdr:row>
                    <xdr:rowOff>19050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1">
    <tabColor rgb="FF00B0F0"/>
  </sheetPr>
  <dimension ref="A1:AC64"/>
  <sheetViews>
    <sheetView workbookViewId="0">
      <selection activeCell="O27" sqref="O27"/>
    </sheetView>
  </sheetViews>
  <sheetFormatPr defaultColWidth="0" defaultRowHeight="0" customHeight="1" zeroHeight="1" x14ac:dyDescent="0.25"/>
  <cols>
    <col min="1" max="1" width="1.5703125" style="12" customWidth="1"/>
    <col min="2" max="2" width="3.85546875" customWidth="1"/>
    <col min="3" max="3" width="16.7109375" customWidth="1"/>
    <col min="4" max="4" width="1.140625" customWidth="1"/>
    <col min="5" max="5" width="22.42578125" customWidth="1"/>
    <col min="6" max="6" width="9.42578125" customWidth="1"/>
    <col min="7" max="7" width="4.140625" customWidth="1"/>
    <col min="8" max="8" width="16.42578125" customWidth="1"/>
    <col min="9" max="9" width="2.28515625" customWidth="1"/>
    <col min="10" max="10" width="16.140625" customWidth="1"/>
    <col min="11" max="11" width="1.85546875" customWidth="1"/>
    <col min="12" max="12" width="4.85546875" customWidth="1"/>
    <col min="13" max="13" width="13.7109375" customWidth="1"/>
    <col min="14" max="14" width="1.7109375" customWidth="1"/>
    <col min="15" max="16" width="9.140625" customWidth="1"/>
    <col min="17" max="17" width="2.42578125" customWidth="1"/>
    <col min="18" max="18" width="16.7109375" customWidth="1"/>
    <col min="19" max="19" width="1" customWidth="1"/>
    <col min="20" max="20" width="1.7109375" style="12" customWidth="1"/>
    <col min="21" max="29" width="0" hidden="1" customWidth="1"/>
    <col min="30" max="16384" width="9.140625" hidden="1"/>
  </cols>
  <sheetData>
    <row r="1" spans="2:29" s="12" customFormat="1" ht="7.5" customHeight="1" x14ac:dyDescent="0.25">
      <c r="S1"/>
    </row>
    <row r="2" spans="2:29" ht="15.75" x14ac:dyDescent="0.25">
      <c r="C2" s="3"/>
      <c r="D2" s="204" t="s">
        <v>11</v>
      </c>
      <c r="E2" s="204"/>
      <c r="F2" s="204"/>
      <c r="G2" s="204"/>
      <c r="H2" s="204"/>
      <c r="I2" s="204"/>
      <c r="J2" s="204"/>
      <c r="K2" s="204"/>
      <c r="L2" s="204"/>
      <c r="M2" s="204"/>
      <c r="V2" s="204"/>
      <c r="W2" s="204"/>
      <c r="X2" s="204"/>
      <c r="Y2" s="204"/>
      <c r="Z2" s="204"/>
      <c r="AA2" s="204"/>
      <c r="AB2" s="204"/>
      <c r="AC2" s="204"/>
    </row>
    <row r="3" spans="2:29" ht="15.75" x14ac:dyDescent="0.25">
      <c r="C3" s="3"/>
      <c r="D3" s="204" t="s">
        <v>12</v>
      </c>
      <c r="E3" s="204"/>
      <c r="F3" s="204"/>
      <c r="G3" s="204"/>
      <c r="H3" s="204"/>
      <c r="I3" s="204"/>
      <c r="J3" s="204"/>
      <c r="K3" s="204"/>
      <c r="L3" s="204"/>
      <c r="M3" s="204"/>
      <c r="V3" s="204"/>
      <c r="W3" s="204"/>
      <c r="X3" s="204"/>
      <c r="Y3" s="204"/>
      <c r="Z3" s="204"/>
      <c r="AA3" s="204"/>
      <c r="AB3" s="204"/>
      <c r="AC3" s="204"/>
    </row>
    <row r="4" spans="2:29" ht="15.75" x14ac:dyDescent="0.25">
      <c r="C4" s="1"/>
      <c r="D4" s="203" t="s">
        <v>13</v>
      </c>
      <c r="E4" s="203"/>
      <c r="F4" s="203"/>
      <c r="G4" s="203"/>
      <c r="H4" s="203"/>
      <c r="I4" s="203"/>
      <c r="J4" s="203"/>
      <c r="K4" s="203"/>
      <c r="L4" s="203"/>
      <c r="M4" s="203"/>
      <c r="V4" s="203"/>
      <c r="W4" s="203"/>
      <c r="X4" s="203"/>
      <c r="Y4" s="203"/>
      <c r="Z4" s="203"/>
      <c r="AA4" s="203"/>
      <c r="AB4" s="203"/>
      <c r="AC4" s="203"/>
    </row>
    <row r="5" spans="2:29" ht="15.75" x14ac:dyDescent="0.25">
      <c r="C5" s="1"/>
      <c r="D5" s="203" t="s">
        <v>14</v>
      </c>
      <c r="E5" s="203"/>
      <c r="F5" s="203"/>
      <c r="G5" s="203"/>
      <c r="H5" s="203"/>
      <c r="I5" s="203"/>
      <c r="J5" s="203"/>
      <c r="K5" s="203"/>
      <c r="L5" s="203"/>
      <c r="M5" s="203"/>
      <c r="V5" s="203"/>
      <c r="W5" s="203"/>
      <c r="X5" s="203"/>
      <c r="Y5" s="203"/>
      <c r="Z5" s="203"/>
      <c r="AA5" s="203"/>
      <c r="AB5" s="203"/>
      <c r="AC5" s="203"/>
    </row>
    <row r="6" spans="2:29" ht="16.5" thickBot="1" x14ac:dyDescent="0.3">
      <c r="C6" s="3"/>
      <c r="D6" s="204" t="s">
        <v>1</v>
      </c>
      <c r="E6" s="204"/>
      <c r="F6" s="204"/>
      <c r="G6" s="204"/>
      <c r="H6" s="204"/>
      <c r="I6" s="204"/>
      <c r="J6" s="204"/>
      <c r="K6" s="204"/>
      <c r="L6" s="204"/>
      <c r="M6" s="204"/>
      <c r="V6" s="204"/>
      <c r="W6" s="204"/>
      <c r="X6" s="204"/>
      <c r="Y6" s="204"/>
      <c r="Z6" s="204"/>
      <c r="AA6" s="204"/>
      <c r="AB6" s="204"/>
      <c r="AC6" s="204"/>
    </row>
    <row r="7" spans="2:29" ht="15.75" x14ac:dyDescent="0.25">
      <c r="C7" s="1"/>
      <c r="D7" s="203" t="s">
        <v>15</v>
      </c>
      <c r="E7" s="203"/>
      <c r="F7" s="203"/>
      <c r="G7" s="203"/>
      <c r="H7" s="203"/>
      <c r="I7" s="203"/>
      <c r="J7" s="203"/>
      <c r="K7" s="203"/>
      <c r="L7" s="203"/>
      <c r="M7" s="203"/>
      <c r="O7" s="326" t="s">
        <v>69</v>
      </c>
      <c r="P7" s="327"/>
      <c r="Q7" s="327"/>
      <c r="R7" s="328"/>
      <c r="S7" s="19"/>
      <c r="V7" s="203"/>
      <c r="W7" s="203"/>
      <c r="X7" s="203"/>
      <c r="Y7" s="203"/>
      <c r="Z7" s="203"/>
      <c r="AA7" s="203"/>
      <c r="AB7" s="203"/>
      <c r="AC7" s="203"/>
    </row>
    <row r="8" spans="2:29" ht="15.75" x14ac:dyDescent="0.25">
      <c r="C8" s="1"/>
      <c r="D8" s="203" t="s">
        <v>16</v>
      </c>
      <c r="E8" s="203"/>
      <c r="F8" s="203"/>
      <c r="G8" s="203"/>
      <c r="H8" s="203"/>
      <c r="I8" s="203"/>
      <c r="J8" s="203"/>
      <c r="K8" s="203"/>
      <c r="L8" s="203"/>
      <c r="M8" s="203"/>
      <c r="O8" s="329"/>
      <c r="P8" s="330"/>
      <c r="Q8" s="330"/>
      <c r="R8" s="331"/>
      <c r="V8" s="203"/>
      <c r="W8" s="203"/>
      <c r="X8" s="203"/>
      <c r="Y8" s="203"/>
      <c r="Z8" s="203"/>
      <c r="AA8" s="203"/>
      <c r="AB8" s="203"/>
      <c r="AC8" s="203"/>
    </row>
    <row r="9" spans="2:29" ht="16.5" thickBot="1" x14ac:dyDescent="0.3">
      <c r="C9" s="2"/>
      <c r="D9" s="230" t="s">
        <v>17</v>
      </c>
      <c r="E9" s="230"/>
      <c r="F9" s="230"/>
      <c r="G9" s="230"/>
      <c r="H9" s="230"/>
      <c r="I9" s="230"/>
      <c r="J9" s="230"/>
      <c r="K9" s="230"/>
      <c r="L9" s="230"/>
      <c r="M9" s="230"/>
      <c r="O9" s="22"/>
      <c r="P9" s="325" t="s">
        <v>70</v>
      </c>
      <c r="Q9" s="325"/>
      <c r="R9" s="228">
        <v>1</v>
      </c>
      <c r="V9" s="230"/>
      <c r="W9" s="230"/>
      <c r="X9" s="230"/>
      <c r="Y9" s="230"/>
      <c r="Z9" s="230"/>
      <c r="AA9" s="230"/>
      <c r="AB9" s="230"/>
      <c r="AC9" s="230"/>
    </row>
    <row r="10" spans="2:29" ht="5.25" customHeight="1" thickTop="1" x14ac:dyDescent="0.25">
      <c r="B10" s="231"/>
      <c r="C10" s="232"/>
      <c r="D10" s="232"/>
      <c r="E10" s="232"/>
      <c r="F10" s="232"/>
      <c r="G10" s="232"/>
      <c r="H10" s="232"/>
      <c r="I10" s="232"/>
      <c r="J10" s="232"/>
      <c r="K10" s="232"/>
      <c r="L10" s="232"/>
      <c r="M10" s="232"/>
      <c r="O10" s="22"/>
      <c r="P10" s="325"/>
      <c r="Q10" s="325"/>
      <c r="R10" s="228"/>
    </row>
    <row r="11" spans="2:29" ht="15.75" x14ac:dyDescent="0.25">
      <c r="B11" s="226" t="str">
        <f>HOME!G6</f>
        <v>HASIL PENILAIAN TENGAH SEMESTER GENAP</v>
      </c>
      <c r="C11" s="226"/>
      <c r="D11" s="226"/>
      <c r="E11" s="226"/>
      <c r="F11" s="226"/>
      <c r="G11" s="226"/>
      <c r="H11" s="226"/>
      <c r="I11" s="226"/>
      <c r="J11" s="226"/>
      <c r="K11" s="226"/>
      <c r="L11" s="226"/>
      <c r="M11" s="226"/>
      <c r="O11" s="22"/>
      <c r="P11" s="325"/>
      <c r="Q11" s="325"/>
      <c r="R11" s="228"/>
    </row>
    <row r="12" spans="2:29" ht="15.75" x14ac:dyDescent="0.25">
      <c r="B12" s="226" t="str">
        <f>"TAHUN PELAJARAN " &amp; HOME!G7</f>
        <v>TAHUN PELAJARAN 2022/2023</v>
      </c>
      <c r="C12" s="226"/>
      <c r="D12" s="226"/>
      <c r="E12" s="226"/>
      <c r="F12" s="226"/>
      <c r="G12" s="226"/>
      <c r="H12" s="226"/>
      <c r="I12" s="226"/>
      <c r="J12" s="226"/>
      <c r="K12" s="226"/>
      <c r="L12" s="226"/>
      <c r="M12" s="226"/>
      <c r="O12" s="22"/>
      <c r="P12" s="325" t="s">
        <v>71</v>
      </c>
      <c r="Q12" s="325"/>
      <c r="R12" s="228">
        <f>COUNTA(NOMINATIF!C6:C40)</f>
        <v>20</v>
      </c>
    </row>
    <row r="13" spans="2:29" ht="8.25" customHeight="1" x14ac:dyDescent="0.25">
      <c r="B13" s="16"/>
      <c r="C13" s="4"/>
      <c r="D13" s="4"/>
      <c r="E13" s="4"/>
      <c r="F13" s="4"/>
      <c r="G13" s="4"/>
      <c r="H13" s="4"/>
      <c r="I13" s="4"/>
      <c r="J13" s="4"/>
      <c r="K13" s="4"/>
      <c r="L13" s="4"/>
      <c r="M13" s="4"/>
      <c r="O13" s="22"/>
      <c r="P13" s="325"/>
      <c r="Q13" s="325"/>
      <c r="R13" s="228"/>
    </row>
    <row r="14" spans="2:29" ht="15.75" x14ac:dyDescent="0.25">
      <c r="B14" s="224" t="s">
        <v>18</v>
      </c>
      <c r="C14" s="224"/>
      <c r="D14" s="1" t="s">
        <v>6</v>
      </c>
      <c r="E14" s="229" t="str">
        <f>VLOOKUP(R9,'L XII RPL'!$B$9:$BI$43,2)</f>
        <v>AFMALA INSAN QOIRUNISA</v>
      </c>
      <c r="F14" s="229"/>
      <c r="G14" s="18"/>
      <c r="H14" s="1" t="s">
        <v>63</v>
      </c>
      <c r="I14" t="s">
        <v>6</v>
      </c>
      <c r="J14" s="225" t="str">
        <f>HOME!G9</f>
        <v>Teknik Komputer dan Informatika</v>
      </c>
      <c r="K14" s="225"/>
      <c r="L14" s="225"/>
      <c r="M14" s="225"/>
      <c r="O14" s="22"/>
      <c r="P14" s="325"/>
      <c r="Q14" s="325"/>
      <c r="R14" s="228"/>
    </row>
    <row r="15" spans="2:29" ht="15.75" x14ac:dyDescent="0.25">
      <c r="B15" s="224" t="s">
        <v>19</v>
      </c>
      <c r="C15" s="224"/>
      <c r="D15" s="1" t="s">
        <v>6</v>
      </c>
      <c r="E15" s="224" t="str">
        <f>VLOOKUP(R9,'L XII RPL'!$B$9:$BI$43,3) &amp; "/" &amp; VLOOKUP(R9,'L XII RPL'!$B$9:$BI$43,4)</f>
        <v>4020/0059023845</v>
      </c>
      <c r="F15" s="224"/>
      <c r="G15" s="17"/>
      <c r="H15" s="1" t="s">
        <v>10</v>
      </c>
      <c r="I15" t="s">
        <v>6</v>
      </c>
      <c r="J15" s="225" t="str">
        <f>ID!G7</f>
        <v>Akuntansi dan Keuangan Lembaga</v>
      </c>
      <c r="K15" s="225"/>
      <c r="L15" s="225"/>
      <c r="M15" s="225"/>
      <c r="O15" s="22"/>
      <c r="R15" s="23"/>
    </row>
    <row r="16" spans="2:29" ht="15.75" x14ac:dyDescent="0.25">
      <c r="B16" s="224" t="s">
        <v>9</v>
      </c>
      <c r="C16" s="224"/>
      <c r="D16" s="1" t="s">
        <v>6</v>
      </c>
      <c r="E16" s="224" t="str">
        <f>ID!G8</f>
        <v>XII AKL 1</v>
      </c>
      <c r="F16" s="224"/>
      <c r="G16" s="17"/>
      <c r="H16" s="1" t="s">
        <v>20</v>
      </c>
      <c r="I16" t="s">
        <v>6</v>
      </c>
      <c r="J16" s="225" t="str">
        <f>ID!G9</f>
        <v>4/GENAP</v>
      </c>
      <c r="K16" s="225"/>
      <c r="L16" s="225"/>
      <c r="M16" s="225"/>
      <c r="O16" s="22"/>
      <c r="R16" s="23"/>
    </row>
    <row r="17" spans="2:18" ht="15" x14ac:dyDescent="0.25">
      <c r="O17" s="22"/>
      <c r="R17" s="23"/>
    </row>
    <row r="18" spans="2:18" ht="31.5" customHeight="1" x14ac:dyDescent="0.25">
      <c r="B18" s="15" t="s">
        <v>32</v>
      </c>
      <c r="C18" s="190" t="s">
        <v>33</v>
      </c>
      <c r="D18" s="190"/>
      <c r="E18" s="190"/>
      <c r="F18" s="222" t="s">
        <v>34</v>
      </c>
      <c r="G18" s="223"/>
      <c r="H18" s="222" t="s">
        <v>35</v>
      </c>
      <c r="I18" s="223"/>
      <c r="J18" s="222" t="s">
        <v>66</v>
      </c>
      <c r="K18" s="223"/>
      <c r="L18" s="15" t="s">
        <v>98</v>
      </c>
      <c r="M18" s="15" t="s">
        <v>36</v>
      </c>
      <c r="O18" s="22"/>
      <c r="R18" s="23"/>
    </row>
    <row r="19" spans="2:18" ht="15.75" x14ac:dyDescent="0.25">
      <c r="B19" s="188" t="s">
        <v>37</v>
      </c>
      <c r="C19" s="188"/>
      <c r="D19" s="188"/>
      <c r="E19" s="188"/>
      <c r="F19" s="188"/>
      <c r="G19" s="188"/>
      <c r="H19" s="188"/>
      <c r="I19" s="188"/>
      <c r="J19" s="188"/>
      <c r="K19" s="188"/>
      <c r="L19" s="188"/>
      <c r="M19" s="188"/>
      <c r="O19" s="22"/>
      <c r="R19" s="23"/>
    </row>
    <row r="20" spans="2:18" ht="15.75" x14ac:dyDescent="0.25">
      <c r="B20" s="11">
        <v>1</v>
      </c>
      <c r="C20" s="189" t="s">
        <v>38</v>
      </c>
      <c r="D20" s="189"/>
      <c r="E20" s="189"/>
      <c r="F20" s="209">
        <f>'MP XII RPL'!G7</f>
        <v>60</v>
      </c>
      <c r="G20" s="210"/>
      <c r="H20" s="211">
        <f>VLOOKUP(R9,'L XII RPL'!$B$9:$BI$43,5)</f>
        <v>78</v>
      </c>
      <c r="I20" s="212"/>
      <c r="J20" s="211">
        <f>VLOOKUP(R9,'L XII RPL'!$B$9:$BI$43,6)</f>
        <v>0</v>
      </c>
      <c r="K20" s="212"/>
      <c r="L20" s="13">
        <f>IF(J20=0,H20,AVERAGE(H20:K20))</f>
        <v>78</v>
      </c>
      <c r="M20" s="13" t="str">
        <f>IF(F20=60,IF(AND(L20&gt;$O$25,L20&lt;$P$25),$R$25,IF(AND(L20&gt;=$O$26,L20&lt;=$P$26),$R$26,IF(AND(L20&gt;=$O$27,L20&lt;=$P$27),$R$27,IF(AND(L20&gt;=$O$28,L20&lt;=$P$28),$R$28,IF(AND(L20&gt;=$O$29,L20&lt;=$P$29),$R$29,IF(AND(L20&gt;=$O$30,L20&lt;=$P$30),$R$30,IF(AND(L20&gt;=$O$31,L20&lt;=$P$31),$R$31,IF(AND(L20&gt;=$O$32,L20&lt;$P$32),$R$32,IF(AND(L20&gt;$O$33,L20&lt;$P$33),$R$33,IF(AND(L20&lt;=$P$34),$R$34,0)))))))))),IF(F20=70,IF(AND(L20&gt;$O$38,L20&lt;$P$38),$R$38,IF(AND(L20&gt;=$O$39,L20&lt;=$P$39),$R$39,IF(AND(L20&gt;=$O$40,L20&lt;=$P$40),$R$40,IF(AND(L20&gt;=$O$41,L20&lt;=$P$41),$R$41,IF(AND(L20&gt;=$O$42,L20&lt;=$P$42),$R$42,IF(AND(L20&gt;=$O$43,L20&lt;=$P$43),$R$43,IF(AND(L20&gt;=$O$44,L20&lt;=$P$44),$R$44,IF(AND(L20&gt;=$O$45,L20&lt;$P$45),$R$45,IF(AND(L20&gt;$O$46,L20&lt;$P$46),$R$46,IF(AND(L20&lt;=$P$47),$R$47,0))))))))))))</f>
        <v>B</v>
      </c>
      <c r="O20" s="22"/>
      <c r="R20" s="23"/>
    </row>
    <row r="21" spans="2:18" ht="16.5" thickBot="1" x14ac:dyDescent="0.3">
      <c r="B21" s="11">
        <v>2</v>
      </c>
      <c r="C21" s="189" t="s">
        <v>39</v>
      </c>
      <c r="D21" s="189"/>
      <c r="E21" s="189"/>
      <c r="F21" s="209">
        <f>'MP XII RPL'!G8</f>
        <v>60</v>
      </c>
      <c r="G21" s="210"/>
      <c r="H21" s="211">
        <f>VLOOKUP(R9,'L XII RPL'!$B$9:$BI$43,8)</f>
        <v>0</v>
      </c>
      <c r="I21" s="212"/>
      <c r="J21" s="211">
        <f>VLOOKUP(R9,'L XII RPL'!$B$9:$BI$43,9)</f>
        <v>0</v>
      </c>
      <c r="K21" s="212"/>
      <c r="L21" s="13">
        <f t="shared" ref="L21:L24" si="0">IF(J21=0,H21,AVERAGE(H21:K21))</f>
        <v>0</v>
      </c>
      <c r="M21" s="13" t="str">
        <f t="shared" ref="M21:M24" si="1">IF(F21=60,IF(AND(L21&gt;$O$25,L21&lt;$P$25),$R$25,IF(AND(L21&gt;=$O$26,L21&lt;=$P$26),$R$26,IF(AND(L21&gt;=$O$27,L21&lt;=$P$27),$R$27,IF(AND(L21&gt;=$O$28,L21&lt;=$P$28),$R$28,IF(AND(L21&gt;=$O$29,L21&lt;=$P$29),$R$29,IF(AND(L21&gt;=$O$30,L21&lt;=$P$30),$R$30,IF(AND(L21&gt;=$O$31,L21&lt;=$P$31),$R$31,IF(AND(L21&gt;=$O$32,L21&lt;$P$32),$R$32,IF(AND(L21&gt;$O$33,L21&lt;$P$33),$R$33,IF(AND(L21&lt;=$P$34),$R$34,0)))))))))),IF(F21=70,IF(AND(L21&gt;$O$38,L21&lt;$P$38),$R$38,IF(AND(L21&gt;=$O$39,L21&lt;=$P$39),$R$39,IF(AND(L21&gt;=$O$40,L21&lt;=$P$40),$R$40,IF(AND(L21&gt;=$O$41,L21&lt;=$P$41),$R$41,IF(AND(L21&gt;=$O$42,L21&lt;=$P$42),$R$42,IF(AND(L21&gt;=$O$43,L21&lt;=$P$43),$R$43,IF(AND(L21&gt;=$O$44,L21&lt;=$P$44),$R$44,IF(AND(L21&gt;=$O$45,L21&lt;$P$45),$R$45,IF(AND(L21&gt;$O$46,L21&lt;$P$46),$R$46,IF(AND(L21&lt;=$P$47),$R$47,0))))))))))))</f>
        <v>D</v>
      </c>
      <c r="O21" s="25"/>
      <c r="P21" s="26"/>
      <c r="Q21" s="26"/>
      <c r="R21" s="27"/>
    </row>
    <row r="22" spans="2:18" ht="16.5" thickBot="1" x14ac:dyDescent="0.3">
      <c r="B22" s="11">
        <v>3</v>
      </c>
      <c r="C22" s="189" t="s">
        <v>40</v>
      </c>
      <c r="D22" s="189"/>
      <c r="E22" s="189"/>
      <c r="F22" s="209">
        <f>'MP XII RPL'!G9</f>
        <v>60</v>
      </c>
      <c r="G22" s="210"/>
      <c r="H22" s="211">
        <f>VLOOKUP(R9,'L XII RPL'!$B$9:$BI$43,11)</f>
        <v>0</v>
      </c>
      <c r="I22" s="212"/>
      <c r="J22" s="211">
        <f>VLOOKUP(R9,'L XII RPL'!$B$9:$BI$43,12)</f>
        <v>0</v>
      </c>
      <c r="K22" s="212"/>
      <c r="L22" s="13">
        <f t="shared" si="0"/>
        <v>0</v>
      </c>
      <c r="M22" s="13" t="str">
        <f t="shared" si="1"/>
        <v>D</v>
      </c>
    </row>
    <row r="23" spans="2:18" ht="15.75" x14ac:dyDescent="0.25">
      <c r="B23" s="11">
        <v>4</v>
      </c>
      <c r="C23" s="187" t="s">
        <v>41</v>
      </c>
      <c r="D23" s="187"/>
      <c r="E23" s="187"/>
      <c r="F23" s="209">
        <f>'MP XII RPL'!G10</f>
        <v>60</v>
      </c>
      <c r="G23" s="210"/>
      <c r="H23" s="211">
        <f>VLOOKUP(R9,'L XII RPL'!$B$9:$BI$43,14)</f>
        <v>0</v>
      </c>
      <c r="I23" s="212"/>
      <c r="J23" s="211">
        <f>VLOOKUP(R9,'L XII RPL'!$B$9:$BI$43,15)</f>
        <v>0</v>
      </c>
      <c r="K23" s="212"/>
      <c r="L23" s="13">
        <f t="shared" si="0"/>
        <v>0</v>
      </c>
      <c r="M23" s="13" t="str">
        <f t="shared" si="1"/>
        <v>D</v>
      </c>
      <c r="O23" s="320" t="s">
        <v>139</v>
      </c>
      <c r="P23" s="323"/>
      <c r="Q23" s="323"/>
      <c r="R23" s="324"/>
    </row>
    <row r="24" spans="2:18" ht="16.5" thickBot="1" x14ac:dyDescent="0.3">
      <c r="B24" s="11">
        <v>5</v>
      </c>
      <c r="C24" s="187" t="s">
        <v>43</v>
      </c>
      <c r="D24" s="187"/>
      <c r="E24" s="187"/>
      <c r="F24" s="209">
        <v>60</v>
      </c>
      <c r="G24" s="210"/>
      <c r="H24" s="211">
        <f>VLOOKUP(R9,'L XII RPL'!$B$9:$BI$43,17)</f>
        <v>0</v>
      </c>
      <c r="I24" s="212"/>
      <c r="J24" s="211">
        <f>VLOOKUP(R9,'L XII RPL'!$B$9:$BI$43,18)</f>
        <v>0</v>
      </c>
      <c r="K24" s="212"/>
      <c r="L24" s="13">
        <f t="shared" si="0"/>
        <v>0</v>
      </c>
      <c r="M24" s="13" t="str">
        <f t="shared" si="1"/>
        <v>D</v>
      </c>
      <c r="O24" s="48" t="s">
        <v>141</v>
      </c>
      <c r="P24" s="49" t="s">
        <v>142</v>
      </c>
      <c r="Q24" s="49"/>
      <c r="R24" s="50" t="s">
        <v>138</v>
      </c>
    </row>
    <row r="25" spans="2:18" ht="15.75" x14ac:dyDescent="0.25">
      <c r="B25" s="188" t="s">
        <v>44</v>
      </c>
      <c r="C25" s="188"/>
      <c r="D25" s="188"/>
      <c r="E25" s="188"/>
      <c r="F25" s="188"/>
      <c r="G25" s="188"/>
      <c r="H25" s="188"/>
      <c r="I25" s="188"/>
      <c r="J25" s="188"/>
      <c r="K25" s="188"/>
      <c r="L25" s="188"/>
      <c r="M25" s="188"/>
      <c r="O25" s="113">
        <v>94.5</v>
      </c>
      <c r="P25" s="114">
        <v>100</v>
      </c>
      <c r="Q25" s="45" t="s">
        <v>6</v>
      </c>
      <c r="R25" s="51" t="s">
        <v>137</v>
      </c>
    </row>
    <row r="26" spans="2:18" ht="15.75" x14ac:dyDescent="0.25">
      <c r="B26" s="13">
        <v>1</v>
      </c>
      <c r="C26" s="187" t="s">
        <v>47</v>
      </c>
      <c r="D26" s="187"/>
      <c r="E26" s="187"/>
      <c r="F26" s="209">
        <f>'MP XII RPL'!G13</f>
        <v>60</v>
      </c>
      <c r="G26" s="210"/>
      <c r="H26" s="211">
        <f>VLOOKUP(R9,'L XII RPL'!$B$9:$BI$43,20)</f>
        <v>0</v>
      </c>
      <c r="I26" s="212"/>
      <c r="J26" s="211">
        <f>VLOOKUP(R9,'L XII RPL'!$B$9:$BI$43,21)</f>
        <v>0</v>
      </c>
      <c r="K26" s="212"/>
      <c r="L26" s="13">
        <f>IF(J26=0,H26,AVERAGE(H26:K26))</f>
        <v>0</v>
      </c>
      <c r="M26" s="13" t="str">
        <f>IF(F26=60,IF(AND(L26&gt;$O$25,L26&lt;$P$25),$R$25,IF(AND(L26&gt;=$O$26,L26&lt;=$P$26),$R$26,IF(AND(L26&gt;=$O$27,L26&lt;=$P$27),$R$27,IF(AND(L26&gt;=$O$28,L26&lt;=$P$28),$R$28,IF(AND(L26&gt;=$O$29,L26&lt;=$P$29),$R$29,IF(AND(L26&gt;=$O$30,L26&lt;=$P$30),$R$30,IF(AND(L26&gt;=$O$31,L26&lt;=$P$31),$R$31,IF(AND(L26&gt;=$O$32,L26&lt;$P$32),$R$32,IF(AND(L26&gt;$O$33,L26&lt;$P$33),$R$33,IF(AND(L26&lt;=$P$34),$R$34,0)))))))))),IF(F26=70,IF(AND(L26&gt;$O$38,L26&lt;$P$38),$R$38,IF(AND(L26&gt;=$O$39,L26&lt;=$P$39),$R$39,IF(AND(L26&gt;=$O$40,L26&lt;=$P$40),$R$40,IF(AND(L26&gt;=$O$41,L26&lt;=$P$41),$R$41,IF(AND(L26&gt;=$O$42,L26&lt;=$P$42),$R$42,IF(AND(L26&gt;=$O$43,L26&lt;=$P$43),$R$43,IF(AND(L26&gt;=$O$44,L26&lt;=$P$44),$R$44,IF(AND(L26&gt;=$O$45,L26&lt;$P$45),$R$45,IF(AND(L26&gt;$O$46,L26&lt;$P$46),$R$46,IF(AND(L26&lt;=$P$47),$R$47,0))))))))))))</f>
        <v>D</v>
      </c>
      <c r="O26" s="117">
        <v>89.5</v>
      </c>
      <c r="P26" s="110">
        <v>94.49</v>
      </c>
      <c r="Q26" s="47" t="s">
        <v>6</v>
      </c>
      <c r="R26" s="52" t="s">
        <v>136</v>
      </c>
    </row>
    <row r="27" spans="2:18" ht="15.75" x14ac:dyDescent="0.25">
      <c r="B27" s="13">
        <v>2</v>
      </c>
      <c r="C27" s="187" t="s">
        <v>48</v>
      </c>
      <c r="D27" s="187"/>
      <c r="E27" s="187"/>
      <c r="F27" s="209">
        <f>'MP XII RPL'!G14</f>
        <v>60</v>
      </c>
      <c r="G27" s="210"/>
      <c r="H27" s="211">
        <f>VLOOKUP(R9,'L XII RPL'!$B$9:$BI$43,23)</f>
        <v>0</v>
      </c>
      <c r="I27" s="212"/>
      <c r="J27" s="211">
        <f>VLOOKUP(R9,'L XII RPL'!$B$9:$BI$43,24)</f>
        <v>0</v>
      </c>
      <c r="K27" s="212"/>
      <c r="L27" s="13">
        <f t="shared" ref="L27" si="2">IF(J27=0,H27,AVERAGE(H27:K27))</f>
        <v>0</v>
      </c>
      <c r="M27" s="13" t="str">
        <f>IF(F27=60,IF(AND(L27&gt;$O$25,L27&lt;$P$25),$R$25,IF(AND(L27&gt;=$O$26,L27&lt;=$P$26),$R$26,IF(AND(L27&gt;=$O$27,L27&lt;=$P$27),$R$27,IF(AND(L27&gt;=$O$28,L27&lt;=$P$28),$R$28,IF(AND(L27&gt;=$O$29,L27&lt;=$P$29),$R$29,IF(AND(L27&gt;=$O$30,L27&lt;=$P$30),$R$30,IF(AND(L27&gt;=$O$31,L27&lt;=$P$31),$R$31,IF(AND(L27&gt;=$O$32,L27&lt;$P$32),$R$32,IF(AND(L27&gt;$O$33,L27&lt;$P$33),$R$33,IF(AND(L27&lt;=$P$34),$R$34,0)))))))))),IF(F27=70,IF(AND(L27&gt;$O$38,L27&lt;$P$38),$R$38,IF(AND(L27&gt;=$O$39,L27&lt;=$P$39),$R$39,IF(AND(L27&gt;=$O$40,L27&lt;=$P$40),$R$40,IF(AND(L27&gt;=$O$41,L27&lt;=$P$41),$R$41,IF(AND(L27&gt;=$O$42,L27&lt;=$P$42),$R$42,IF(AND(L27&gt;=$O$43,L27&lt;=$P$43),$R$43,IF(AND(L27&gt;=$O$44,L27&lt;=$P$44),$R$44,IF(AND(L27&gt;=$O$45,L27&lt;$P$45),$R$45,IF(AND(L27&gt;$O$46,L27&lt;$P$46),$R$46,IF(AND(L27&lt;=$P$47),$R$47,0))))))))))))</f>
        <v>D</v>
      </c>
      <c r="O27" s="117">
        <v>84.5</v>
      </c>
      <c r="P27" s="110">
        <v>89.49</v>
      </c>
      <c r="Q27" s="47" t="s">
        <v>6</v>
      </c>
      <c r="R27" s="52" t="s">
        <v>135</v>
      </c>
    </row>
    <row r="28" spans="2:18" ht="15.75" x14ac:dyDescent="0.25">
      <c r="B28" s="188" t="s">
        <v>49</v>
      </c>
      <c r="C28" s="188"/>
      <c r="D28" s="188"/>
      <c r="E28" s="188"/>
      <c r="F28" s="188"/>
      <c r="G28" s="188"/>
      <c r="H28" s="188"/>
      <c r="I28" s="188"/>
      <c r="J28" s="188"/>
      <c r="K28" s="188"/>
      <c r="L28" s="188"/>
      <c r="M28" s="188"/>
      <c r="O28" s="117">
        <v>79.5</v>
      </c>
      <c r="P28" s="110">
        <v>84.49</v>
      </c>
      <c r="Q28" s="47" t="s">
        <v>6</v>
      </c>
      <c r="R28" s="52" t="s">
        <v>134</v>
      </c>
    </row>
    <row r="29" spans="2:18" ht="15.75" x14ac:dyDescent="0.25">
      <c r="B29" s="188" t="s">
        <v>78</v>
      </c>
      <c r="C29" s="188"/>
      <c r="D29" s="188"/>
      <c r="E29" s="188"/>
      <c r="F29" s="188"/>
      <c r="G29" s="188"/>
      <c r="H29" s="188"/>
      <c r="I29" s="188"/>
      <c r="J29" s="188"/>
      <c r="K29" s="188"/>
      <c r="L29" s="188"/>
      <c r="M29" s="188"/>
      <c r="O29" s="117">
        <v>74.5</v>
      </c>
      <c r="P29" s="110">
        <v>79.489999999999995</v>
      </c>
      <c r="Q29" s="47" t="s">
        <v>6</v>
      </c>
      <c r="R29" s="52" t="s">
        <v>118</v>
      </c>
    </row>
    <row r="30" spans="2:18" ht="15.75" customHeight="1" x14ac:dyDescent="0.25">
      <c r="B30" s="13">
        <v>1</v>
      </c>
      <c r="C30" s="183" t="s">
        <v>85</v>
      </c>
      <c r="D30" s="183"/>
      <c r="E30" s="183"/>
      <c r="F30" s="209">
        <f>'MP XII RPL'!G17</f>
        <v>70</v>
      </c>
      <c r="G30" s="210"/>
      <c r="H30" s="211">
        <f>VLOOKUP(R9,'L XII RPL'!$B$9:$BI$43,26)</f>
        <v>0</v>
      </c>
      <c r="I30" s="212"/>
      <c r="J30" s="211">
        <f>VLOOKUP(R9,'L XII RPL'!$B$9:$BI$43,27)</f>
        <v>0</v>
      </c>
      <c r="K30" s="212"/>
      <c r="L30" s="13">
        <f>IF(J30=0,H30,AVERAGE(H30:K30))</f>
        <v>0</v>
      </c>
      <c r="M30" s="13" t="str">
        <f>IF(F30=60,IF(AND(L30&gt;$O$25,L30&lt;$P$25),$R$25,IF(AND(L30&gt;=$O$26,L30&lt;=$P$26),$R$26,IF(AND(L30&gt;=$O$27,L30&lt;=$P$27),$R$27,IF(AND(L30&gt;=$O$28,L30&lt;=$P$28),$R$28,IF(AND(L30&gt;=$O$29,L30&lt;=$P$29),$R$29,IF(AND(L30&gt;=$O$30,L30&lt;=$P$30),$R$30,IF(AND(L30&gt;=$O$31,L30&lt;=$P$31),$R$31,IF(AND(L30&gt;=$O$32,L30&lt;$P$32),$R$32,IF(AND(L30&gt;$O$33,L30&lt;$P$33),$R$33,IF(AND(L30&lt;=$P$34),$R$34,0)))))))))),IF(F30=70,IF(AND(L30&gt;$O$38,L30&lt;$P$38),$R$38,IF(AND(L30&gt;=$O$39,L30&lt;=$P$39),$R$39,IF(AND(L30&gt;=$O$40,L30&lt;=$P$40),$R$40,IF(AND(L30&gt;=$O$41,L30&lt;=$P$41),$R$41,IF(AND(L30&gt;=$O$42,L30&lt;=$P$42),$R$42,IF(AND(L30&gt;=$O$43,L30&lt;=$P$43),$R$43,IF(AND(L30&gt;=$O$44,L30&lt;=$P$44),$R$44,IF(AND(L30&gt;=$O$45,L30&lt;$P$45),$R$45,IF(AND(L30&gt;$O$46,L30&lt;$P$46),$R$46,IF(AND(L30&lt;=$P$47),$R$47,0))))))))))))</f>
        <v>D</v>
      </c>
      <c r="O30" s="117">
        <v>69.5</v>
      </c>
      <c r="P30" s="110">
        <v>74.489999999999995</v>
      </c>
      <c r="Q30" s="47" t="s">
        <v>6</v>
      </c>
      <c r="R30" s="52" t="s">
        <v>133</v>
      </c>
    </row>
    <row r="31" spans="2:18" ht="15.75" x14ac:dyDescent="0.25">
      <c r="B31" s="13">
        <v>2</v>
      </c>
      <c r="C31" s="183" t="s">
        <v>86</v>
      </c>
      <c r="D31" s="183"/>
      <c r="E31" s="183"/>
      <c r="F31" s="209">
        <f>'MP XII RPL'!G18</f>
        <v>70</v>
      </c>
      <c r="G31" s="210"/>
      <c r="H31" s="211">
        <f>VLOOKUP(R9,'L XII RPL'!$B$9:$BI$43,29)</f>
        <v>0</v>
      </c>
      <c r="I31" s="212"/>
      <c r="J31" s="211">
        <f>VLOOKUP(R9,'L XII RPL'!$B$9:$BI$43,30)</f>
        <v>0</v>
      </c>
      <c r="K31" s="212"/>
      <c r="L31" s="13">
        <f t="shared" ref="L31:L33" si="3">IF(J31=0,H31,AVERAGE(H31:K31))</f>
        <v>0</v>
      </c>
      <c r="M31" s="13" t="str">
        <f>IF(F31=60,IF(AND(L31&gt;$O$25,L31&lt;$P$25),$R$25,IF(AND(L31&gt;=$O$26,L31&lt;=$P$26),$R$26,IF(AND(L31&gt;=$O$27,L31&lt;=$P$27),$R$27,IF(AND(L31&gt;=$O$28,L31&lt;=$P$28),$R$28,IF(AND(L31&gt;=$O$29,L31&lt;=$P$29),$R$29,IF(AND(L31&gt;=$O$30,L31&lt;=$P$30),$R$30,IF(AND(L31&gt;=$O$31,L31&lt;=$P$31),$R$31,IF(AND(L31&gt;=$O$32,L31&lt;$P$32),$R$32,IF(AND(L31&gt;$O$33,L31&lt;$P$33),$R$33,IF(AND(L31&lt;=$P$34),$R$34,0)))))))))),IF(F31=70,IF(AND(L31&gt;$O$38,L31&lt;$P$38),$R$38,IF(AND(L31&gt;=$O$39,L31&lt;=$P$39),$R$39,IF(AND(L31&gt;=$O$40,L31&lt;=$P$40),$R$40,IF(AND(L31&gt;=$O$41,L31&lt;=$P$41),$R$41,IF(AND(L31&gt;=$O$42,L31&lt;=$P$42),$R$42,IF(AND(L31&gt;=$O$43,L31&lt;=$P$43),$R$43,IF(AND(L31&gt;=$O$44,L31&lt;=$P$44),$R$44,IF(AND(L31&gt;=$O$45,L31&lt;$P$45),$R$45,IF(AND(L31&gt;$O$46,L31&lt;$P$46),$R$46,IF(AND(L31&lt;=$P$47),$R$47,0))))))))))))</f>
        <v>D</v>
      </c>
      <c r="O31" s="117">
        <v>64.5</v>
      </c>
      <c r="P31" s="110">
        <v>69.489999999999995</v>
      </c>
      <c r="Q31" s="47" t="s">
        <v>6</v>
      </c>
      <c r="R31" s="52" t="s">
        <v>132</v>
      </c>
    </row>
    <row r="32" spans="2:18" ht="15.75" x14ac:dyDescent="0.25">
      <c r="B32" s="13">
        <v>3</v>
      </c>
      <c r="C32" s="187" t="s">
        <v>87</v>
      </c>
      <c r="D32" s="187"/>
      <c r="E32" s="187"/>
      <c r="F32" s="209">
        <f>'MP XII RPL'!G19</f>
        <v>70</v>
      </c>
      <c r="G32" s="210"/>
      <c r="H32" s="211">
        <f>VLOOKUP(R9,'L XII RPL'!$B$9:$BI$43,32)</f>
        <v>0</v>
      </c>
      <c r="I32" s="212"/>
      <c r="J32" s="211">
        <f>VLOOKUP(R9,'L XII RPL'!$B$9:$BI$43,33)</f>
        <v>0</v>
      </c>
      <c r="K32" s="212"/>
      <c r="L32" s="13">
        <f t="shared" si="3"/>
        <v>0</v>
      </c>
      <c r="M32" s="13" t="str">
        <f t="shared" ref="M32:M33" si="4">IF(F32=60,IF(AND(L32&gt;$O$25,L32&lt;$P$25),$R$25,IF(AND(L32&gt;=$O$26,L32&lt;=$P$26),$R$26,IF(AND(L32&gt;=$O$27,L32&lt;=$P$27),$R$27,IF(AND(L32&gt;=$O$28,L32&lt;=$P$28),$R$28,IF(AND(L32&gt;=$O$29,L32&lt;=$P$29),$R$29,IF(AND(L32&gt;=$O$30,L32&lt;=$P$30),$R$30,IF(AND(L32&gt;=$O$31,L32&lt;=$P$31),$R$31,IF(AND(L32&gt;=$O$32,L32&lt;$P$32),$R$32,IF(AND(L32&gt;$O$33,L32&lt;$P$33),$R$33,IF(AND(L32&lt;=$P$34),$R$34,0)))))))))),IF(F32=70,IF(AND(L32&gt;$O$38,L32&lt;$P$38),$R$38,IF(AND(L32&gt;=$O$39,L32&lt;=$P$39),$R$39,IF(AND(L32&gt;=$O$40,L32&lt;=$P$40),$R$40,IF(AND(L32&gt;=$O$41,L32&lt;=$P$41),$R$41,IF(AND(L32&gt;=$O$42,L32&lt;=$P$42),$R$42,IF(AND(L32&gt;=$O$43,L32&lt;=$P$43),$R$43,IF(AND(L32&gt;=$O$44,L32&lt;=$P$44),$R$44,IF(AND(L32&gt;=$O$45,L32&lt;$P$45),$R$45,IF(AND(L32&gt;$O$46,L32&lt;$P$46),$R$46,IF(AND(L32&lt;=$P$47),$R$47,0))))))))))))</f>
        <v>D</v>
      </c>
      <c r="O32" s="117">
        <v>59.5</v>
      </c>
      <c r="P32" s="110">
        <v>65.489999999999995</v>
      </c>
      <c r="Q32" s="47" t="s">
        <v>6</v>
      </c>
      <c r="R32" s="52" t="s">
        <v>131</v>
      </c>
    </row>
    <row r="33" spans="2:18" ht="15.75" x14ac:dyDescent="0.25">
      <c r="B33" s="13">
        <v>4</v>
      </c>
      <c r="C33" s="183" t="s">
        <v>83</v>
      </c>
      <c r="D33" s="183"/>
      <c r="E33" s="183"/>
      <c r="F33" s="209">
        <f>'MP XII RPL'!G20</f>
        <v>70</v>
      </c>
      <c r="G33" s="210"/>
      <c r="H33" s="211">
        <f>VLOOKUP(R9,'L XII RPL'!$B$9:$BI$43,35)</f>
        <v>0</v>
      </c>
      <c r="I33" s="212"/>
      <c r="J33" s="211">
        <f>VLOOKUP(R9,'L XII RPL'!$B$9:$BI$43,36)</f>
        <v>0</v>
      </c>
      <c r="K33" s="212"/>
      <c r="L33" s="13">
        <f t="shared" si="3"/>
        <v>0</v>
      </c>
      <c r="M33" s="13" t="str">
        <f t="shared" si="4"/>
        <v>D</v>
      </c>
      <c r="O33" s="117">
        <v>54.5</v>
      </c>
      <c r="P33" s="110">
        <v>59.49</v>
      </c>
      <c r="Q33" s="47" t="s">
        <v>6</v>
      </c>
      <c r="R33" s="52" t="s">
        <v>130</v>
      </c>
    </row>
    <row r="34" spans="2:18" ht="16.5" thickBot="1" x14ac:dyDescent="0.3">
      <c r="B34" s="209" t="s">
        <v>60</v>
      </c>
      <c r="C34" s="304"/>
      <c r="D34" s="304"/>
      <c r="E34" s="304"/>
      <c r="F34" s="304"/>
      <c r="G34" s="210"/>
      <c r="H34" s="332">
        <f>VLOOKUP(R9,'L XII RPL'!$B$9:$BI$43,59)</f>
        <v>78</v>
      </c>
      <c r="I34" s="332"/>
      <c r="J34" s="332"/>
      <c r="K34" s="332"/>
      <c r="L34" s="332"/>
      <c r="M34" s="332"/>
      <c r="O34" s="112">
        <v>49.5</v>
      </c>
      <c r="P34" s="111">
        <v>54.49</v>
      </c>
      <c r="Q34" s="49" t="s">
        <v>6</v>
      </c>
      <c r="R34" s="50" t="s">
        <v>129</v>
      </c>
    </row>
    <row r="35" spans="2:18" ht="16.5" thickBot="1" x14ac:dyDescent="0.3">
      <c r="B35" s="240" t="s">
        <v>61</v>
      </c>
      <c r="C35" s="241"/>
      <c r="D35" s="241"/>
      <c r="E35" s="241"/>
      <c r="F35" s="241"/>
      <c r="G35" s="242"/>
      <c r="H35" s="239">
        <f>VLOOKUP(R9,'L XII RPL'!$B$9:$BI$43,60)</f>
        <v>2</v>
      </c>
      <c r="I35" s="239"/>
      <c r="J35" s="239"/>
      <c r="K35" s="239"/>
      <c r="L35" s="239"/>
      <c r="M35" s="239"/>
      <c r="O35" s="20"/>
      <c r="P35" s="20"/>
      <c r="Q35" s="20"/>
      <c r="R35" s="20"/>
    </row>
    <row r="36" spans="2:18" ht="15.75" x14ac:dyDescent="0.25">
      <c r="B36" s="264" t="s">
        <v>165</v>
      </c>
      <c r="C36" s="264"/>
      <c r="D36" s="264"/>
      <c r="E36" s="264"/>
      <c r="F36" s="264"/>
      <c r="G36" s="264"/>
      <c r="H36" s="264"/>
      <c r="I36" s="264"/>
      <c r="J36" s="264"/>
      <c r="K36" s="264"/>
      <c r="L36" s="264"/>
      <c r="M36" s="264"/>
      <c r="O36" s="320" t="s">
        <v>140</v>
      </c>
      <c r="P36" s="321"/>
      <c r="Q36" s="321"/>
      <c r="R36" s="322"/>
    </row>
    <row r="37" spans="2:18" ht="15.75" thickBot="1" x14ac:dyDescent="0.3">
      <c r="B37" s="94" t="s">
        <v>27</v>
      </c>
      <c r="C37" s="267" t="s">
        <v>36</v>
      </c>
      <c r="D37" s="268"/>
      <c r="E37" s="269"/>
      <c r="F37" s="265" t="s">
        <v>172</v>
      </c>
      <c r="G37" s="265"/>
      <c r="H37" s="265"/>
      <c r="I37" s="265"/>
      <c r="J37" s="265"/>
      <c r="K37" s="265"/>
      <c r="L37" s="265"/>
      <c r="M37" s="265"/>
      <c r="O37" s="48" t="s">
        <v>141</v>
      </c>
      <c r="P37" s="49" t="s">
        <v>142</v>
      </c>
      <c r="Q37" s="49"/>
      <c r="R37" s="50" t="s">
        <v>138</v>
      </c>
    </row>
    <row r="38" spans="2:18" ht="15" x14ac:dyDescent="0.25">
      <c r="B38" s="7">
        <v>1</v>
      </c>
      <c r="C38" s="96" t="s">
        <v>166</v>
      </c>
      <c r="D38" s="95" t="s">
        <v>6</v>
      </c>
      <c r="E38" s="109">
        <f>VLOOKUP(R9,'BK &amp; EX &amp; PKL &amp; Press'!$B$9:$BO$66,26,0)</f>
        <v>0</v>
      </c>
      <c r="F38" s="266">
        <f>VLOOKUP(R9,'BK &amp; EX &amp; PKL &amp; Press'!$B$9:$BO$66,27,0)</f>
        <v>0</v>
      </c>
      <c r="G38" s="266"/>
      <c r="H38" s="266"/>
      <c r="I38" s="266"/>
      <c r="J38" s="266"/>
      <c r="K38" s="266"/>
      <c r="L38" s="266"/>
      <c r="M38" s="266"/>
      <c r="O38" s="121">
        <v>96.5</v>
      </c>
      <c r="P38" s="122">
        <v>100</v>
      </c>
      <c r="Q38" s="45" t="s">
        <v>6</v>
      </c>
      <c r="R38" s="51" t="s">
        <v>137</v>
      </c>
    </row>
    <row r="39" spans="2:18" ht="15" x14ac:dyDescent="0.25">
      <c r="B39" s="7">
        <v>2</v>
      </c>
      <c r="C39" s="96" t="s">
        <v>159</v>
      </c>
      <c r="D39" s="95" t="s">
        <v>6</v>
      </c>
      <c r="E39" s="109">
        <f>VLOOKUP(R9,'BK &amp; EX &amp; PKL &amp; Press'!$B$9:$BO$66,29,0)</f>
        <v>0</v>
      </c>
      <c r="F39" s="266">
        <f>VLOOKUP(R9,'BK &amp; EX &amp; PKL &amp; Press'!$B$9:$BO$66,30,0)</f>
        <v>0</v>
      </c>
      <c r="G39" s="266"/>
      <c r="H39" s="266"/>
      <c r="I39" s="266"/>
      <c r="J39" s="266"/>
      <c r="K39" s="266"/>
      <c r="L39" s="266"/>
      <c r="M39" s="266"/>
      <c r="O39" s="123">
        <v>93.5</v>
      </c>
      <c r="P39" s="110">
        <v>96.49</v>
      </c>
      <c r="Q39" s="47" t="s">
        <v>6</v>
      </c>
      <c r="R39" s="52" t="s">
        <v>136</v>
      </c>
    </row>
    <row r="40" spans="2:18" ht="15" x14ac:dyDescent="0.25">
      <c r="B40" s="7">
        <v>3</v>
      </c>
      <c r="C40" s="96" t="s">
        <v>167</v>
      </c>
      <c r="D40" s="95" t="s">
        <v>6</v>
      </c>
      <c r="E40" s="109">
        <f>VLOOKUP(R9,'BK &amp; EX &amp; PKL &amp; Press'!$B$9:$BO$66,32,0)</f>
        <v>0</v>
      </c>
      <c r="F40" s="266">
        <f>VLOOKUP(R9,'BK &amp; EX &amp; PKL &amp; Press'!$B$9:$BO$66,33,0)</f>
        <v>0</v>
      </c>
      <c r="G40" s="266"/>
      <c r="H40" s="266"/>
      <c r="I40" s="266"/>
      <c r="J40" s="266"/>
      <c r="K40" s="266"/>
      <c r="L40" s="266"/>
      <c r="M40" s="266"/>
      <c r="O40" s="123">
        <v>89.5</v>
      </c>
      <c r="P40" s="110">
        <v>93.49</v>
      </c>
      <c r="Q40" s="47" t="s">
        <v>6</v>
      </c>
      <c r="R40" s="52" t="s">
        <v>135</v>
      </c>
    </row>
    <row r="41" spans="2:18" ht="15" x14ac:dyDescent="0.25">
      <c r="B41" s="7">
        <v>4</v>
      </c>
      <c r="C41" s="96" t="s">
        <v>168</v>
      </c>
      <c r="D41" s="95" t="s">
        <v>6</v>
      </c>
      <c r="E41" s="109">
        <f>VLOOKUP(R9,'BK &amp; EX &amp; PKL &amp; Press'!$B$9:$BO$66,35,0)</f>
        <v>0</v>
      </c>
      <c r="F41" s="266">
        <f>VLOOKUP(R9,'BK &amp; EX &amp; PKL &amp; Press'!$B$9:$BO$66,36,0)</f>
        <v>0</v>
      </c>
      <c r="G41" s="266"/>
      <c r="H41" s="266"/>
      <c r="I41" s="266"/>
      <c r="J41" s="266"/>
      <c r="K41" s="266"/>
      <c r="L41" s="266"/>
      <c r="M41" s="266"/>
      <c r="O41" s="123">
        <v>85.5</v>
      </c>
      <c r="P41" s="110">
        <v>89.49</v>
      </c>
      <c r="Q41" s="47" t="s">
        <v>6</v>
      </c>
      <c r="R41" s="52" t="s">
        <v>134</v>
      </c>
    </row>
    <row r="42" spans="2:18" ht="15" x14ac:dyDescent="0.25">
      <c r="B42" s="7">
        <v>5</v>
      </c>
      <c r="C42" s="96" t="s">
        <v>169</v>
      </c>
      <c r="D42" s="95" t="s">
        <v>6</v>
      </c>
      <c r="E42" s="109">
        <f>VLOOKUP(R9,'BK &amp; EX &amp; PKL &amp; Press'!$B$9:$BO$66,38,0)</f>
        <v>0</v>
      </c>
      <c r="F42" s="266">
        <f>VLOOKUP(R9,'BK &amp; EX &amp; PKL &amp; Press'!$B$9:$BO$66,39,0)</f>
        <v>0</v>
      </c>
      <c r="G42" s="266"/>
      <c r="H42" s="266"/>
      <c r="I42" s="266"/>
      <c r="J42" s="266"/>
      <c r="K42" s="266"/>
      <c r="L42" s="266"/>
      <c r="M42" s="266"/>
      <c r="O42" s="123">
        <v>81.5</v>
      </c>
      <c r="P42" s="110">
        <v>85.49</v>
      </c>
      <c r="Q42" s="47" t="s">
        <v>6</v>
      </c>
      <c r="R42" s="52" t="s">
        <v>118</v>
      </c>
    </row>
    <row r="43" spans="2:18" ht="15" x14ac:dyDescent="0.25">
      <c r="B43" s="7">
        <v>6</v>
      </c>
      <c r="C43" s="96" t="s">
        <v>160</v>
      </c>
      <c r="D43" s="95" t="s">
        <v>6</v>
      </c>
      <c r="E43" s="109">
        <f>VLOOKUP(R9,'BK &amp; EX &amp; PKL &amp; Press'!$B$9:$BO$66,41,0)</f>
        <v>0</v>
      </c>
      <c r="F43" s="266">
        <f>VLOOKUP(R9,'BK &amp; EX &amp; PKL &amp; Press'!$B$9:$BO$66,42,0)</f>
        <v>0</v>
      </c>
      <c r="G43" s="266"/>
      <c r="H43" s="266"/>
      <c r="I43" s="266"/>
      <c r="J43" s="266"/>
      <c r="K43" s="266"/>
      <c r="L43" s="266"/>
      <c r="M43" s="266"/>
      <c r="O43" s="123">
        <v>77.5</v>
      </c>
      <c r="P43" s="110">
        <v>81.489999999999995</v>
      </c>
      <c r="Q43" s="47" t="s">
        <v>6</v>
      </c>
      <c r="R43" s="52" t="s">
        <v>133</v>
      </c>
    </row>
    <row r="44" spans="2:18" ht="15" x14ac:dyDescent="0.25">
      <c r="B44" s="7">
        <v>7</v>
      </c>
      <c r="C44" s="96" t="s">
        <v>170</v>
      </c>
      <c r="D44" s="95" t="s">
        <v>6</v>
      </c>
      <c r="E44" s="109" t="str">
        <f>VLOOKUP(R9,'BK &amp; EX &amp; PKL &amp; Press'!$B$9:$BO$66,44,0)</f>
        <v>A</v>
      </c>
      <c r="F44" s="266" t="str">
        <f>VLOOKUP(R9,'BK &amp; EX &amp; PKL &amp; Press'!$B$9:$BO$66,45,0)</f>
        <v>Ananda AFMALA INSAN QOIRUNISA Sangat baik dalam mengikuti kegiatan ekstrakurikuler Marching Band</v>
      </c>
      <c r="G44" s="266"/>
      <c r="H44" s="266"/>
      <c r="I44" s="266"/>
      <c r="J44" s="266"/>
      <c r="K44" s="266"/>
      <c r="L44" s="266"/>
      <c r="M44" s="266"/>
      <c r="O44" s="123">
        <v>73.5</v>
      </c>
      <c r="P44" s="110">
        <v>77.489999999999995</v>
      </c>
      <c r="Q44" s="47" t="s">
        <v>6</v>
      </c>
      <c r="R44" s="52" t="s">
        <v>132</v>
      </c>
    </row>
    <row r="45" spans="2:18" ht="15" x14ac:dyDescent="0.25">
      <c r="B45" s="7">
        <v>8</v>
      </c>
      <c r="C45" s="96" t="s">
        <v>171</v>
      </c>
      <c r="D45" s="95" t="s">
        <v>6</v>
      </c>
      <c r="E45" s="109">
        <f>VLOOKUP(R9,'BK &amp; EX &amp; PKL &amp; Press'!$B$9:$BO$66,47,0)</f>
        <v>0</v>
      </c>
      <c r="F45" s="266">
        <f>VLOOKUP(R9,'BK &amp; EX &amp; PKL &amp; Press'!$B$9:$BO$66,48,0)</f>
        <v>0</v>
      </c>
      <c r="G45" s="266"/>
      <c r="H45" s="266"/>
      <c r="I45" s="266"/>
      <c r="J45" s="266"/>
      <c r="K45" s="266"/>
      <c r="L45" s="266"/>
      <c r="M45" s="266"/>
      <c r="O45" s="123">
        <v>69.5</v>
      </c>
      <c r="P45" s="110">
        <v>73.489999999999995</v>
      </c>
      <c r="Q45" s="47" t="s">
        <v>6</v>
      </c>
      <c r="R45" s="52" t="s">
        <v>131</v>
      </c>
    </row>
    <row r="46" spans="2:18" ht="19.5" customHeight="1" x14ac:dyDescent="0.25">
      <c r="B46" s="243" t="s">
        <v>173</v>
      </c>
      <c r="C46" s="244"/>
      <c r="D46" s="244"/>
      <c r="E46" s="245"/>
      <c r="F46" s="254" t="s">
        <v>174</v>
      </c>
      <c r="G46" s="254"/>
      <c r="H46" s="254"/>
      <c r="I46" s="97" t="s">
        <v>6</v>
      </c>
      <c r="J46" s="99">
        <f>VLOOKUP(R9,'BK &amp; EX &amp; PKL &amp; Press'!$B$9:$BO$66,56,0)</f>
        <v>0</v>
      </c>
      <c r="K46" s="254" t="s">
        <v>177</v>
      </c>
      <c r="L46" s="254"/>
      <c r="M46" s="257"/>
      <c r="O46" s="123">
        <v>64.5</v>
      </c>
      <c r="P46" s="110">
        <v>69.489999999999995</v>
      </c>
      <c r="Q46" s="47" t="s">
        <v>6</v>
      </c>
      <c r="R46" s="52" t="s">
        <v>130</v>
      </c>
    </row>
    <row r="47" spans="2:18" ht="19.5" customHeight="1" thickBot="1" x14ac:dyDescent="0.3">
      <c r="B47" s="246"/>
      <c r="C47" s="247"/>
      <c r="D47" s="247"/>
      <c r="E47" s="248"/>
      <c r="F47" s="253" t="s">
        <v>175</v>
      </c>
      <c r="G47" s="253"/>
      <c r="H47" s="253"/>
      <c r="I47" s="6" t="s">
        <v>6</v>
      </c>
      <c r="J47" s="100">
        <f>VLOOKUP(R9,'BK &amp; EX &amp; PKL &amp; Press'!$B$9:$BO$66,57,0)</f>
        <v>1</v>
      </c>
      <c r="K47" s="253" t="s">
        <v>177</v>
      </c>
      <c r="L47" s="253"/>
      <c r="M47" s="256"/>
      <c r="O47" s="48">
        <v>60.5</v>
      </c>
      <c r="P47" s="111">
        <v>64.489999999999995</v>
      </c>
      <c r="Q47" s="49" t="s">
        <v>6</v>
      </c>
      <c r="R47" s="50" t="s">
        <v>129</v>
      </c>
    </row>
    <row r="48" spans="2:18" ht="19.5" customHeight="1" x14ac:dyDescent="0.25">
      <c r="B48" s="249"/>
      <c r="C48" s="250"/>
      <c r="D48" s="250"/>
      <c r="E48" s="251"/>
      <c r="F48" s="252" t="s">
        <v>176</v>
      </c>
      <c r="G48" s="252"/>
      <c r="H48" s="252"/>
      <c r="I48" s="98" t="s">
        <v>6</v>
      </c>
      <c r="J48" s="101">
        <f>VLOOKUP(R9,'BK &amp; EX &amp; PKL &amp; Press'!$B$9:$BO$66,58,0)</f>
        <v>0</v>
      </c>
      <c r="K48" s="252" t="s">
        <v>177</v>
      </c>
      <c r="L48" s="252"/>
      <c r="M48" s="255"/>
      <c r="O48" s="103"/>
      <c r="P48" s="103"/>
      <c r="Q48" s="103"/>
      <c r="R48" s="103"/>
    </row>
    <row r="49" spans="2:19" ht="15.75" x14ac:dyDescent="0.25">
      <c r="B49" s="271" t="s">
        <v>178</v>
      </c>
      <c r="C49" s="272"/>
      <c r="D49" s="272"/>
      <c r="E49" s="272"/>
      <c r="F49" s="272"/>
      <c r="G49" s="272"/>
      <c r="H49" s="272"/>
      <c r="I49" s="272"/>
      <c r="J49" s="272"/>
      <c r="K49" s="272"/>
      <c r="L49" s="272"/>
      <c r="M49" s="273"/>
      <c r="O49" s="103"/>
      <c r="P49" s="103"/>
      <c r="Q49" s="103"/>
      <c r="R49" s="103"/>
    </row>
    <row r="50" spans="2:19" ht="15" x14ac:dyDescent="0.25">
      <c r="B50" s="274"/>
      <c r="C50" s="151"/>
      <c r="D50" s="151"/>
      <c r="E50" s="151"/>
      <c r="F50" s="151"/>
      <c r="G50" s="151"/>
      <c r="H50" s="151"/>
      <c r="I50" s="151"/>
      <c r="J50" s="151"/>
      <c r="K50" s="151"/>
      <c r="L50" s="151"/>
      <c r="M50" s="275"/>
      <c r="O50" s="103"/>
      <c r="P50" s="103"/>
      <c r="Q50" s="103"/>
      <c r="R50" s="103"/>
    </row>
    <row r="51" spans="2:19" ht="38.25" customHeight="1" x14ac:dyDescent="0.25">
      <c r="B51" s="276"/>
      <c r="C51" s="277"/>
      <c r="D51" s="277"/>
      <c r="E51" s="277"/>
      <c r="F51" s="277"/>
      <c r="G51" s="277"/>
      <c r="H51" s="277"/>
      <c r="I51" s="277"/>
      <c r="J51" s="277"/>
      <c r="K51" s="277"/>
      <c r="L51" s="277"/>
      <c r="M51" s="278"/>
      <c r="O51" s="103"/>
      <c r="P51" s="103"/>
      <c r="Q51" s="103"/>
      <c r="R51" s="103"/>
    </row>
    <row r="52" spans="2:19" ht="15" x14ac:dyDescent="0.25">
      <c r="B52" s="6"/>
      <c r="C52" s="6"/>
      <c r="D52" s="6"/>
      <c r="E52" s="6"/>
      <c r="F52" s="6"/>
      <c r="G52" s="6"/>
      <c r="H52" s="6"/>
      <c r="I52" s="6"/>
      <c r="J52" s="6"/>
      <c r="K52" s="6"/>
      <c r="L52" s="6"/>
      <c r="M52" s="6"/>
      <c r="O52" s="103"/>
      <c r="P52" s="103"/>
      <c r="Q52" s="103"/>
      <c r="R52" s="103"/>
    </row>
    <row r="53" spans="2:19" ht="15.75" x14ac:dyDescent="0.25">
      <c r="B53" s="1"/>
      <c r="C53" s="1"/>
      <c r="D53" s="1"/>
      <c r="E53" s="1"/>
      <c r="F53" s="1"/>
      <c r="G53" s="1"/>
      <c r="H53" s="1"/>
      <c r="I53" s="1"/>
      <c r="J53" s="129" t="str">
        <f>ID!G11</f>
        <v>31 MARET 2023</v>
      </c>
      <c r="K53" s="129"/>
      <c r="L53" s="129"/>
      <c r="M53" s="129"/>
      <c r="O53" s="103"/>
      <c r="P53" s="103"/>
      <c r="Q53" s="103"/>
      <c r="R53" s="103"/>
    </row>
    <row r="54" spans="2:19" ht="15.75" x14ac:dyDescent="0.25">
      <c r="B54" s="203" t="s">
        <v>180</v>
      </c>
      <c r="C54" s="203"/>
      <c r="D54" s="203"/>
      <c r="E54" s="1"/>
      <c r="F54" s="1" t="s">
        <v>67</v>
      </c>
      <c r="G54" s="1"/>
      <c r="H54" s="1"/>
      <c r="I54" s="1"/>
      <c r="J54" s="1"/>
      <c r="K54" s="1"/>
      <c r="L54" s="1"/>
      <c r="M54" s="1"/>
      <c r="O54" s="103"/>
      <c r="P54" s="103"/>
      <c r="Q54" s="103"/>
      <c r="R54" s="103"/>
    </row>
    <row r="55" spans="2:19" ht="15.75" x14ac:dyDescent="0.25">
      <c r="B55" s="1"/>
      <c r="C55" s="1"/>
      <c r="D55" s="1"/>
      <c r="E55" s="203" t="s">
        <v>179</v>
      </c>
      <c r="F55" s="203"/>
      <c r="G55" s="203"/>
      <c r="H55" s="203"/>
      <c r="I55" s="203"/>
      <c r="J55" s="203" t="s">
        <v>62</v>
      </c>
      <c r="K55" s="203"/>
      <c r="L55" s="203"/>
      <c r="M55" s="203"/>
      <c r="O55" s="103"/>
      <c r="P55" s="103"/>
      <c r="Q55" s="103"/>
      <c r="R55" s="103"/>
    </row>
    <row r="56" spans="2:19" ht="15.75" x14ac:dyDescent="0.25">
      <c r="B56" s="1"/>
      <c r="C56" s="1"/>
      <c r="D56" s="1"/>
      <c r="E56" s="1"/>
      <c r="F56" s="1"/>
      <c r="G56" s="1"/>
      <c r="H56" s="1"/>
      <c r="I56" s="1"/>
      <c r="J56" s="1"/>
      <c r="K56" s="1"/>
      <c r="L56" s="1"/>
      <c r="M56" s="1"/>
      <c r="O56" s="103"/>
      <c r="P56" s="103"/>
      <c r="Q56" s="103"/>
      <c r="R56" s="103"/>
    </row>
    <row r="57" spans="2:19" ht="15.75" x14ac:dyDescent="0.25">
      <c r="B57" s="1"/>
      <c r="C57" s="1"/>
      <c r="D57" s="1"/>
      <c r="E57" s="1"/>
      <c r="F57" s="1"/>
      <c r="G57" s="1"/>
      <c r="H57" s="1"/>
      <c r="I57" s="1"/>
      <c r="J57" s="1"/>
      <c r="K57" s="1"/>
      <c r="L57" s="1"/>
      <c r="M57" s="1"/>
      <c r="O57" s="103"/>
      <c r="P57" s="103"/>
      <c r="Q57" s="103"/>
      <c r="R57" s="103"/>
    </row>
    <row r="58" spans="2:19" ht="15.75" x14ac:dyDescent="0.25">
      <c r="B58" s="1"/>
      <c r="C58" s="1"/>
      <c r="D58" s="1"/>
      <c r="E58" s="1"/>
      <c r="F58" s="1"/>
      <c r="G58" s="1"/>
      <c r="H58" s="1"/>
      <c r="I58" s="1"/>
      <c r="J58" s="1"/>
      <c r="K58" s="1"/>
      <c r="L58" s="1"/>
      <c r="M58" s="1"/>
      <c r="O58" s="103"/>
      <c r="P58" s="103"/>
      <c r="Q58" s="103"/>
      <c r="R58" s="103"/>
    </row>
    <row r="59" spans="2:19" ht="15.75" x14ac:dyDescent="0.25">
      <c r="B59" s="270" t="s">
        <v>207</v>
      </c>
      <c r="C59" s="270"/>
      <c r="D59" s="270"/>
      <c r="E59" s="204" t="str">
        <f>ID!G6</f>
        <v>Sri Rahayu, S.Pd., SE.</v>
      </c>
      <c r="F59" s="204"/>
      <c r="G59" s="204"/>
      <c r="H59" s="204"/>
      <c r="I59" s="204"/>
      <c r="J59" s="204" t="str">
        <f>ID!G10</f>
        <v>SURADI S.Pd.</v>
      </c>
      <c r="K59" s="204"/>
      <c r="L59" s="204"/>
      <c r="M59" s="204"/>
      <c r="O59" s="103"/>
      <c r="P59" s="103"/>
      <c r="Q59" s="103"/>
      <c r="R59" s="103"/>
    </row>
    <row r="60" spans="2:19" ht="15.75" x14ac:dyDescent="0.25">
      <c r="B60" s="4"/>
      <c r="C60" s="4"/>
      <c r="D60" s="4"/>
      <c r="E60" s="4"/>
      <c r="F60" s="1"/>
      <c r="G60" s="1"/>
      <c r="H60" s="4"/>
      <c r="I60" s="4"/>
      <c r="J60" s="4"/>
      <c r="K60" s="4"/>
      <c r="L60" s="4"/>
      <c r="M60" s="4"/>
      <c r="O60" s="103"/>
      <c r="P60" s="103"/>
      <c r="Q60" s="103"/>
      <c r="R60" s="103"/>
    </row>
    <row r="61" spans="2:19" ht="15.75" x14ac:dyDescent="0.25">
      <c r="B61" s="4"/>
      <c r="C61" s="4"/>
      <c r="D61" s="4"/>
      <c r="E61" s="4"/>
      <c r="F61" s="1"/>
      <c r="G61" s="1"/>
      <c r="H61" s="4"/>
      <c r="I61" s="4"/>
      <c r="J61" s="4"/>
      <c r="K61" s="4"/>
      <c r="L61" s="4"/>
      <c r="M61" s="4"/>
      <c r="O61" s="103"/>
      <c r="P61" s="103"/>
      <c r="Q61" s="103"/>
      <c r="R61" s="103"/>
    </row>
    <row r="62" spans="2:19" ht="15.75" x14ac:dyDescent="0.25">
      <c r="B62" s="4"/>
      <c r="C62" s="4"/>
      <c r="D62" s="4"/>
      <c r="E62" s="4"/>
      <c r="F62" s="1"/>
      <c r="G62" s="1"/>
      <c r="H62" s="4"/>
      <c r="I62" s="4"/>
      <c r="J62" s="4"/>
      <c r="K62" s="4"/>
      <c r="L62" s="4"/>
      <c r="M62" s="4"/>
      <c r="O62" s="103"/>
      <c r="P62" s="103"/>
      <c r="Q62" s="103"/>
      <c r="R62" s="103"/>
    </row>
    <row r="63" spans="2:19" ht="15.75" x14ac:dyDescent="0.25">
      <c r="B63" s="4"/>
      <c r="C63" s="4"/>
      <c r="D63" s="4"/>
      <c r="E63" s="4"/>
      <c r="F63" s="1"/>
      <c r="G63" s="1"/>
      <c r="H63" s="4"/>
      <c r="I63" s="4"/>
      <c r="J63" s="4"/>
      <c r="K63" s="4"/>
      <c r="L63" s="4"/>
      <c r="M63" s="4"/>
    </row>
    <row r="64" spans="2:19" s="12" customFormat="1" ht="7.5" customHeight="1" x14ac:dyDescent="0.25">
      <c r="S64"/>
    </row>
  </sheetData>
  <sheetProtection selectLockedCells="1"/>
  <mergeCells count="118">
    <mergeCell ref="F42:M42"/>
    <mergeCell ref="F43:M43"/>
    <mergeCell ref="J33:K33"/>
    <mergeCell ref="H34:M34"/>
    <mergeCell ref="B35:G35"/>
    <mergeCell ref="H35:M35"/>
    <mergeCell ref="C33:E33"/>
    <mergeCell ref="F33:G33"/>
    <mergeCell ref="H33:I33"/>
    <mergeCell ref="F40:M40"/>
    <mergeCell ref="F41:M41"/>
    <mergeCell ref="B36:M36"/>
    <mergeCell ref="C37:E37"/>
    <mergeCell ref="F37:M37"/>
    <mergeCell ref="F38:M38"/>
    <mergeCell ref="F39:M39"/>
    <mergeCell ref="D2:M2"/>
    <mergeCell ref="D3:M3"/>
    <mergeCell ref="D4:M4"/>
    <mergeCell ref="D5:M5"/>
    <mergeCell ref="D6:M6"/>
    <mergeCell ref="C18:E18"/>
    <mergeCell ref="F18:G18"/>
    <mergeCell ref="H18:I18"/>
    <mergeCell ref="J18:K18"/>
    <mergeCell ref="D7:M7"/>
    <mergeCell ref="B15:C15"/>
    <mergeCell ref="E15:F15"/>
    <mergeCell ref="B16:C16"/>
    <mergeCell ref="E16:F16"/>
    <mergeCell ref="D8:M8"/>
    <mergeCell ref="D9:M9"/>
    <mergeCell ref="B10:M10"/>
    <mergeCell ref="B11:M11"/>
    <mergeCell ref="B12:M12"/>
    <mergeCell ref="B14:C14"/>
    <mergeCell ref="E14:F14"/>
    <mergeCell ref="J14:M14"/>
    <mergeCell ref="J15:M15"/>
    <mergeCell ref="J16:M16"/>
    <mergeCell ref="B19:M19"/>
    <mergeCell ref="C20:E20"/>
    <mergeCell ref="F20:G20"/>
    <mergeCell ref="H20:I20"/>
    <mergeCell ref="J20:K20"/>
    <mergeCell ref="C21:E21"/>
    <mergeCell ref="B25:M25"/>
    <mergeCell ref="C31:E31"/>
    <mergeCell ref="F31:G31"/>
    <mergeCell ref="H31:I31"/>
    <mergeCell ref="F21:G21"/>
    <mergeCell ref="H21:I21"/>
    <mergeCell ref="J21:K21"/>
    <mergeCell ref="H24:I24"/>
    <mergeCell ref="C24:E24"/>
    <mergeCell ref="F24:G24"/>
    <mergeCell ref="C22:E22"/>
    <mergeCell ref="F22:G22"/>
    <mergeCell ref="H22:I22"/>
    <mergeCell ref="C23:E23"/>
    <mergeCell ref="J22:K22"/>
    <mergeCell ref="J23:K23"/>
    <mergeCell ref="J24:K24"/>
    <mergeCell ref="J31:K31"/>
    <mergeCell ref="J32:K32"/>
    <mergeCell ref="F30:G30"/>
    <mergeCell ref="H30:I30"/>
    <mergeCell ref="J30:K30"/>
    <mergeCell ref="C26:E26"/>
    <mergeCell ref="F26:G26"/>
    <mergeCell ref="H26:I26"/>
    <mergeCell ref="C27:E27"/>
    <mergeCell ref="F27:G27"/>
    <mergeCell ref="H27:I27"/>
    <mergeCell ref="J26:K26"/>
    <mergeCell ref="J27:K27"/>
    <mergeCell ref="O36:R36"/>
    <mergeCell ref="B34:G34"/>
    <mergeCell ref="V2:AC2"/>
    <mergeCell ref="V3:AC3"/>
    <mergeCell ref="V4:AC4"/>
    <mergeCell ref="V5:AC5"/>
    <mergeCell ref="V6:AC6"/>
    <mergeCell ref="O7:R8"/>
    <mergeCell ref="V7:AC7"/>
    <mergeCell ref="V8:AC8"/>
    <mergeCell ref="P9:Q11"/>
    <mergeCell ref="R9:R11"/>
    <mergeCell ref="V9:AC9"/>
    <mergeCell ref="P12:Q14"/>
    <mergeCell ref="R12:R14"/>
    <mergeCell ref="O23:R23"/>
    <mergeCell ref="B28:M28"/>
    <mergeCell ref="B29:M29"/>
    <mergeCell ref="C30:E30"/>
    <mergeCell ref="C32:E32"/>
    <mergeCell ref="F32:G32"/>
    <mergeCell ref="H32:I32"/>
    <mergeCell ref="F23:G23"/>
    <mergeCell ref="H23:I23"/>
    <mergeCell ref="F44:M44"/>
    <mergeCell ref="F45:M45"/>
    <mergeCell ref="B46:E48"/>
    <mergeCell ref="F46:H46"/>
    <mergeCell ref="K46:M46"/>
    <mergeCell ref="F47:H47"/>
    <mergeCell ref="K47:M47"/>
    <mergeCell ref="F48:H48"/>
    <mergeCell ref="K48:M48"/>
    <mergeCell ref="B59:D59"/>
    <mergeCell ref="E59:I59"/>
    <mergeCell ref="J59:M59"/>
    <mergeCell ref="B49:M49"/>
    <mergeCell ref="B50:M51"/>
    <mergeCell ref="J53:M53"/>
    <mergeCell ref="B54:D54"/>
    <mergeCell ref="E55:I55"/>
    <mergeCell ref="J55:M55"/>
  </mergeCells>
  <printOptions horizontalCentered="1"/>
  <pageMargins left="0.118110236220472" right="0.118110236220472" top="0.74803149606299202" bottom="0.35433070866141703" header="0.31496062992126" footer="0.31496062992126"/>
  <pageSetup paperSize="10000" scale="9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Spinner 1">
              <controlPr defaultSize="0" autoPict="0">
                <anchor moveWithCells="1" sizeWithCells="1">
                  <from>
                    <xdr:col>14</xdr:col>
                    <xdr:colOff>28575</xdr:colOff>
                    <xdr:row>8</xdr:row>
                    <xdr:rowOff>47625</xdr:rowOff>
                  </from>
                  <to>
                    <xdr:col>14</xdr:col>
                    <xdr:colOff>466725</xdr:colOff>
                    <xdr:row>14</xdr:row>
                    <xdr:rowOff>57150</xdr:rowOff>
                  </to>
                </anchor>
              </controlPr>
            </control>
          </mc:Choice>
        </mc:AlternateContent>
        <mc:AlternateContent xmlns:mc="http://schemas.openxmlformats.org/markup-compatibility/2006">
          <mc:Choice Requires="x14">
            <control shapeId="21506" r:id="rId5" name="Spinner 2">
              <controlPr defaultSize="0" autoPict="0">
                <anchor moveWithCells="1" sizeWithCells="1">
                  <from>
                    <xdr:col>14</xdr:col>
                    <xdr:colOff>28575</xdr:colOff>
                    <xdr:row>8</xdr:row>
                    <xdr:rowOff>47625</xdr:rowOff>
                  </from>
                  <to>
                    <xdr:col>14</xdr:col>
                    <xdr:colOff>466725</xdr:colOff>
                    <xdr:row>14</xdr:row>
                    <xdr:rowOff>57150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4">
    <tabColor rgb="FF00B0F0"/>
  </sheetPr>
  <dimension ref="A1:AC45"/>
  <sheetViews>
    <sheetView zoomScale="70" zoomScaleNormal="70" workbookViewId="0">
      <selection activeCell="R5" sqref="R5"/>
    </sheetView>
  </sheetViews>
  <sheetFormatPr defaultColWidth="0" defaultRowHeight="0" customHeight="1" zeroHeight="1" x14ac:dyDescent="0.25"/>
  <cols>
    <col min="1" max="1" width="1.5703125" style="12" customWidth="1"/>
    <col min="2" max="2" width="4.7109375" customWidth="1"/>
    <col min="3" max="3" width="16.7109375" customWidth="1"/>
    <col min="4" max="4" width="1.140625" customWidth="1"/>
    <col min="5" max="5" width="22.42578125" customWidth="1"/>
    <col min="6" max="6" width="9.42578125" customWidth="1"/>
    <col min="7" max="7" width="2.140625" customWidth="1"/>
    <col min="8" max="8" width="17.140625" customWidth="1"/>
    <col min="9" max="9" width="2.28515625" customWidth="1"/>
    <col min="10" max="10" width="16.140625" customWidth="1"/>
    <col min="11" max="11" width="1.85546875" customWidth="1"/>
    <col min="12" max="12" width="4.85546875" customWidth="1"/>
    <col min="13" max="13" width="13.7109375" customWidth="1"/>
    <col min="14" max="14" width="1.7109375" customWidth="1"/>
    <col min="15" max="16" width="9.140625" customWidth="1"/>
    <col min="17" max="17" width="2.42578125" customWidth="1"/>
    <col min="18" max="18" width="16.7109375" customWidth="1"/>
    <col min="19" max="19" width="1" customWidth="1"/>
    <col min="20" max="20" width="1.7109375" style="12" customWidth="1"/>
    <col min="21" max="29" width="0" hidden="1" customWidth="1"/>
    <col min="30" max="16384" width="9.140625" hidden="1"/>
  </cols>
  <sheetData>
    <row r="1" spans="2:29" s="21" customFormat="1" ht="7.5" customHeight="1" x14ac:dyDescent="0.25"/>
    <row r="2" spans="2:29" ht="15.75" x14ac:dyDescent="0.25">
      <c r="C2" s="3"/>
      <c r="D2" s="204" t="s">
        <v>11</v>
      </c>
      <c r="E2" s="204"/>
      <c r="F2" s="204"/>
      <c r="G2" s="204"/>
      <c r="H2" s="204"/>
      <c r="I2" s="204"/>
      <c r="J2" s="204"/>
      <c r="K2" s="204"/>
      <c r="L2" s="204"/>
      <c r="M2" s="204"/>
      <c r="N2" s="20"/>
      <c r="O2" s="20"/>
      <c r="P2" s="20"/>
      <c r="Q2" s="20"/>
      <c r="R2" s="20"/>
      <c r="V2" s="204"/>
      <c r="W2" s="204"/>
      <c r="X2" s="204"/>
      <c r="Y2" s="204"/>
      <c r="Z2" s="204"/>
      <c r="AA2" s="204"/>
      <c r="AB2" s="204"/>
      <c r="AC2" s="204"/>
    </row>
    <row r="3" spans="2:29" ht="15.75" x14ac:dyDescent="0.25">
      <c r="C3" s="3"/>
      <c r="D3" s="204" t="s">
        <v>12</v>
      </c>
      <c r="E3" s="204"/>
      <c r="F3" s="204"/>
      <c r="G3" s="204"/>
      <c r="H3" s="204"/>
      <c r="I3" s="204"/>
      <c r="J3" s="204"/>
      <c r="K3" s="204"/>
      <c r="L3" s="204"/>
      <c r="M3" s="204"/>
      <c r="N3" s="20"/>
      <c r="O3" s="20"/>
      <c r="P3" s="20"/>
      <c r="Q3" s="20"/>
      <c r="R3" s="20"/>
      <c r="V3" s="204"/>
      <c r="W3" s="204"/>
      <c r="X3" s="204"/>
      <c r="Y3" s="204"/>
      <c r="Z3" s="204"/>
      <c r="AA3" s="204"/>
      <c r="AB3" s="204"/>
      <c r="AC3" s="204"/>
    </row>
    <row r="4" spans="2:29" ht="15.75" x14ac:dyDescent="0.25">
      <c r="C4" s="1"/>
      <c r="D4" s="203" t="s">
        <v>13</v>
      </c>
      <c r="E4" s="203"/>
      <c r="F4" s="203"/>
      <c r="G4" s="203"/>
      <c r="H4" s="203"/>
      <c r="I4" s="203"/>
      <c r="J4" s="203"/>
      <c r="K4" s="203"/>
      <c r="L4" s="203"/>
      <c r="M4" s="203"/>
      <c r="N4" s="20"/>
      <c r="O4" s="20"/>
      <c r="P4" s="20"/>
      <c r="Q4" s="20"/>
      <c r="R4" s="20"/>
      <c r="V4" s="203"/>
      <c r="W4" s="203"/>
      <c r="X4" s="203"/>
      <c r="Y4" s="203"/>
      <c r="Z4" s="203"/>
      <c r="AA4" s="203"/>
      <c r="AB4" s="203"/>
      <c r="AC4" s="203"/>
    </row>
    <row r="5" spans="2:29" ht="15.75" x14ac:dyDescent="0.25">
      <c r="C5" s="1"/>
      <c r="D5" s="203" t="s">
        <v>14</v>
      </c>
      <c r="E5" s="203"/>
      <c r="F5" s="203"/>
      <c r="G5" s="203"/>
      <c r="H5" s="203"/>
      <c r="I5" s="203"/>
      <c r="J5" s="203"/>
      <c r="K5" s="203"/>
      <c r="L5" s="203"/>
      <c r="M5" s="203"/>
      <c r="N5" s="20"/>
      <c r="O5" s="20"/>
      <c r="P5" s="20"/>
      <c r="Q5" s="20"/>
      <c r="R5" s="20"/>
      <c r="V5" s="203"/>
      <c r="W5" s="203"/>
      <c r="X5" s="203"/>
      <c r="Y5" s="203"/>
      <c r="Z5" s="203"/>
      <c r="AA5" s="203"/>
      <c r="AB5" s="203"/>
      <c r="AC5" s="203"/>
    </row>
    <row r="6" spans="2:29" ht="16.5" thickBot="1" x14ac:dyDescent="0.3">
      <c r="C6" s="3"/>
      <c r="D6" s="204" t="s">
        <v>1</v>
      </c>
      <c r="E6" s="204"/>
      <c r="F6" s="204"/>
      <c r="G6" s="204"/>
      <c r="H6" s="204"/>
      <c r="I6" s="204"/>
      <c r="J6" s="204"/>
      <c r="K6" s="204"/>
      <c r="L6" s="204"/>
      <c r="M6" s="204"/>
      <c r="N6" s="20"/>
      <c r="O6" s="20"/>
      <c r="P6" s="20"/>
      <c r="Q6" s="20"/>
      <c r="R6" s="20"/>
      <c r="V6" s="204"/>
      <c r="W6" s="204"/>
      <c r="X6" s="204"/>
      <c r="Y6" s="204"/>
      <c r="Z6" s="204"/>
      <c r="AA6" s="204"/>
      <c r="AB6" s="204"/>
      <c r="AC6" s="204"/>
    </row>
    <row r="7" spans="2:29" ht="15.75" x14ac:dyDescent="0.25">
      <c r="C7" s="1"/>
      <c r="D7" s="203" t="s">
        <v>15</v>
      </c>
      <c r="E7" s="203"/>
      <c r="F7" s="203"/>
      <c r="G7" s="203"/>
      <c r="H7" s="203"/>
      <c r="I7" s="203"/>
      <c r="J7" s="203"/>
      <c r="K7" s="203"/>
      <c r="L7" s="203"/>
      <c r="M7" s="203"/>
      <c r="N7" s="20"/>
      <c r="O7" s="233" t="s">
        <v>69</v>
      </c>
      <c r="P7" s="234"/>
      <c r="Q7" s="234"/>
      <c r="R7" s="235"/>
      <c r="S7" s="19"/>
      <c r="V7" s="203"/>
      <c r="W7" s="203"/>
      <c r="X7" s="203"/>
      <c r="Y7" s="203"/>
      <c r="Z7" s="203"/>
      <c r="AA7" s="203"/>
      <c r="AB7" s="203"/>
      <c r="AC7" s="203"/>
    </row>
    <row r="8" spans="2:29" ht="15.75" x14ac:dyDescent="0.25">
      <c r="C8" s="1"/>
      <c r="D8" s="203" t="s">
        <v>16</v>
      </c>
      <c r="E8" s="203"/>
      <c r="F8" s="203"/>
      <c r="G8" s="203"/>
      <c r="H8" s="203"/>
      <c r="I8" s="203"/>
      <c r="J8" s="203"/>
      <c r="K8" s="203"/>
      <c r="L8" s="203"/>
      <c r="M8" s="203"/>
      <c r="N8" s="20"/>
      <c r="O8" s="236"/>
      <c r="P8" s="237"/>
      <c r="Q8" s="237"/>
      <c r="R8" s="238"/>
      <c r="V8" s="203"/>
      <c r="W8" s="203"/>
      <c r="X8" s="203"/>
      <c r="Y8" s="203"/>
      <c r="Z8" s="203"/>
      <c r="AA8" s="203"/>
      <c r="AB8" s="203"/>
      <c r="AC8" s="203"/>
    </row>
    <row r="9" spans="2:29" ht="16.5" thickBot="1" x14ac:dyDescent="0.3">
      <c r="C9" s="2"/>
      <c r="D9" s="230" t="s">
        <v>17</v>
      </c>
      <c r="E9" s="230"/>
      <c r="F9" s="230"/>
      <c r="G9" s="230"/>
      <c r="H9" s="230"/>
      <c r="I9" s="230"/>
      <c r="J9" s="230"/>
      <c r="K9" s="230"/>
      <c r="L9" s="230"/>
      <c r="M9" s="230"/>
      <c r="N9" s="20"/>
      <c r="O9" s="35"/>
      <c r="P9" s="227" t="s">
        <v>70</v>
      </c>
      <c r="Q9" s="227"/>
      <c r="R9" s="228">
        <v>1</v>
      </c>
      <c r="V9" s="230"/>
      <c r="W9" s="230"/>
      <c r="X9" s="230"/>
      <c r="Y9" s="230"/>
      <c r="Z9" s="230"/>
      <c r="AA9" s="230"/>
      <c r="AB9" s="230"/>
      <c r="AC9" s="230"/>
    </row>
    <row r="10" spans="2:29" ht="5.25" customHeight="1" thickTop="1" x14ac:dyDescent="0.25">
      <c r="B10" s="231"/>
      <c r="C10" s="232"/>
      <c r="D10" s="232"/>
      <c r="E10" s="232"/>
      <c r="F10" s="232"/>
      <c r="G10" s="232"/>
      <c r="H10" s="232"/>
      <c r="I10" s="232"/>
      <c r="J10" s="232"/>
      <c r="K10" s="232"/>
      <c r="L10" s="232"/>
      <c r="M10" s="232"/>
      <c r="N10" s="20"/>
      <c r="O10" s="35"/>
      <c r="P10" s="227"/>
      <c r="Q10" s="227"/>
      <c r="R10" s="228"/>
    </row>
    <row r="11" spans="2:29" ht="15.75" x14ac:dyDescent="0.25">
      <c r="B11" s="226" t="str">
        <f>HOME!G6</f>
        <v>HASIL PENILAIAN TENGAH SEMESTER GENAP</v>
      </c>
      <c r="C11" s="226"/>
      <c r="D11" s="226"/>
      <c r="E11" s="226"/>
      <c r="F11" s="226"/>
      <c r="G11" s="226"/>
      <c r="H11" s="226"/>
      <c r="I11" s="226"/>
      <c r="J11" s="226"/>
      <c r="K11" s="226"/>
      <c r="L11" s="226"/>
      <c r="M11" s="226"/>
      <c r="N11" s="20"/>
      <c r="O11" s="35"/>
      <c r="P11" s="227"/>
      <c r="Q11" s="227"/>
      <c r="R11" s="228"/>
    </row>
    <row r="12" spans="2:29" ht="15.75" x14ac:dyDescent="0.25">
      <c r="B12" s="226" t="str">
        <f>"TAHUN PELAJARAN " &amp; HOME!G7</f>
        <v>TAHUN PELAJARAN 2022/2023</v>
      </c>
      <c r="C12" s="226"/>
      <c r="D12" s="226"/>
      <c r="E12" s="226"/>
      <c r="F12" s="226"/>
      <c r="G12" s="226"/>
      <c r="H12" s="226"/>
      <c r="I12" s="226"/>
      <c r="J12" s="226"/>
      <c r="K12" s="226"/>
      <c r="L12" s="226"/>
      <c r="M12" s="226"/>
      <c r="N12" s="20"/>
      <c r="O12" s="35"/>
      <c r="P12" s="227" t="s">
        <v>71</v>
      </c>
      <c r="Q12" s="227"/>
      <c r="R12" s="228">
        <f>COUNTA(NOMINATIF!C6:C40)</f>
        <v>20</v>
      </c>
    </row>
    <row r="13" spans="2:29" ht="8.25" customHeight="1" x14ac:dyDescent="0.25">
      <c r="B13" s="16"/>
      <c r="C13" s="4"/>
      <c r="D13" s="4"/>
      <c r="E13" s="4"/>
      <c r="F13" s="4"/>
      <c r="G13" s="4"/>
      <c r="H13" s="4"/>
      <c r="I13" s="4"/>
      <c r="J13" s="4"/>
      <c r="K13" s="4"/>
      <c r="L13" s="4"/>
      <c r="M13" s="4"/>
      <c r="N13" s="20"/>
      <c r="O13" s="35"/>
      <c r="P13" s="227"/>
      <c r="Q13" s="227"/>
      <c r="R13" s="228"/>
    </row>
    <row r="14" spans="2:29" ht="15.75" x14ac:dyDescent="0.25">
      <c r="B14" s="224" t="s">
        <v>18</v>
      </c>
      <c r="C14" s="224"/>
      <c r="D14" s="1" t="s">
        <v>6</v>
      </c>
      <c r="E14" s="229" t="str">
        <f>VLOOKUP(R9,'L X AKL'!$B$9:$BI$43,2,)</f>
        <v>AFMALA INSAN QOIRUNISA</v>
      </c>
      <c r="F14" s="229"/>
      <c r="G14" s="18"/>
      <c r="H14" s="1" t="s">
        <v>63</v>
      </c>
      <c r="I14" t="s">
        <v>6</v>
      </c>
      <c r="J14" s="225" t="str">
        <f>HOME!G9</f>
        <v>Teknik Komputer dan Informatika</v>
      </c>
      <c r="K14" s="225"/>
      <c r="L14" s="225"/>
      <c r="M14" s="225"/>
      <c r="N14" s="20"/>
      <c r="O14" s="35"/>
      <c r="P14" s="227"/>
      <c r="Q14" s="227"/>
      <c r="R14" s="228"/>
    </row>
    <row r="15" spans="2:29" ht="15.75" x14ac:dyDescent="0.25">
      <c r="B15" s="224" t="s">
        <v>19</v>
      </c>
      <c r="C15" s="224"/>
      <c r="D15" s="1" t="s">
        <v>6</v>
      </c>
      <c r="E15" s="224" t="str">
        <f>VLOOKUP(R9,'L X AKL'!$B$9:$BI$43,3,)&amp;"/"&amp;VLOOKUP(R9,'L X AKL'!$B$9:$BI$43,4,)</f>
        <v>4020/0059023845</v>
      </c>
      <c r="F15" s="224"/>
      <c r="G15" s="17"/>
      <c r="H15" s="1" t="s">
        <v>10</v>
      </c>
      <c r="I15" t="s">
        <v>6</v>
      </c>
      <c r="J15" s="225" t="str">
        <f>ID!G7</f>
        <v>Akuntansi dan Keuangan Lembaga</v>
      </c>
      <c r="K15" s="225"/>
      <c r="L15" s="225"/>
      <c r="M15" s="225"/>
      <c r="N15" s="20"/>
      <c r="O15" s="35"/>
      <c r="P15" s="20"/>
      <c r="Q15" s="20"/>
      <c r="R15" s="36"/>
    </row>
    <row r="16" spans="2:29" ht="15.75" x14ac:dyDescent="0.25">
      <c r="B16" s="224" t="s">
        <v>9</v>
      </c>
      <c r="C16" s="224"/>
      <c r="D16" s="1" t="s">
        <v>6</v>
      </c>
      <c r="E16" s="224" t="str">
        <f>ID!G8</f>
        <v>XII AKL 1</v>
      </c>
      <c r="F16" s="224"/>
      <c r="G16" s="17"/>
      <c r="H16" s="1" t="s">
        <v>20</v>
      </c>
      <c r="I16" t="s">
        <v>6</v>
      </c>
      <c r="J16" s="225" t="str">
        <f>ID!G9</f>
        <v>4/GENAP</v>
      </c>
      <c r="K16" s="225"/>
      <c r="L16" s="225"/>
      <c r="M16" s="225"/>
      <c r="N16" s="20"/>
      <c r="O16" s="35"/>
      <c r="P16" s="20"/>
      <c r="Q16" s="20"/>
      <c r="R16" s="36"/>
    </row>
    <row r="17" spans="2:19" ht="15" x14ac:dyDescent="0.25">
      <c r="N17" s="20"/>
      <c r="O17" s="35"/>
      <c r="P17" s="20"/>
      <c r="Q17" s="20"/>
      <c r="R17" s="36"/>
    </row>
    <row r="18" spans="2:19" ht="39" customHeight="1" x14ac:dyDescent="0.25">
      <c r="B18" s="279" t="s">
        <v>182</v>
      </c>
      <c r="C18" s="280"/>
      <c r="D18" s="280"/>
      <c r="E18" s="280"/>
      <c r="F18" s="280"/>
      <c r="G18" s="280"/>
      <c r="H18" s="280"/>
      <c r="I18" s="280"/>
      <c r="J18" s="280"/>
      <c r="K18" s="280"/>
      <c r="L18" s="280"/>
      <c r="M18" s="281"/>
      <c r="N18" s="20"/>
      <c r="O18" s="35"/>
      <c r="P18" s="20"/>
      <c r="Q18" s="20"/>
      <c r="R18" s="36"/>
    </row>
    <row r="19" spans="2:19" s="12" customFormat="1" ht="37.5" customHeight="1" x14ac:dyDescent="0.25">
      <c r="B19" s="93" t="s">
        <v>27</v>
      </c>
      <c r="C19" s="190" t="s">
        <v>183</v>
      </c>
      <c r="D19" s="190"/>
      <c r="E19" s="190"/>
      <c r="F19" s="213" t="s">
        <v>184</v>
      </c>
      <c r="G19" s="214"/>
      <c r="H19" s="214"/>
      <c r="I19" s="215"/>
      <c r="J19" s="282" t="s">
        <v>185</v>
      </c>
      <c r="K19" s="283"/>
      <c r="L19" s="282" t="s">
        <v>186</v>
      </c>
      <c r="M19" s="283"/>
      <c r="N19" s="20"/>
      <c r="O19" s="35"/>
      <c r="P19" s="20"/>
      <c r="Q19" s="20"/>
      <c r="R19" s="36"/>
      <c r="S19"/>
    </row>
    <row r="20" spans="2:19" s="12" customFormat="1" ht="48.75" customHeight="1" thickBot="1" x14ac:dyDescent="0.3">
      <c r="B20" s="11">
        <v>1</v>
      </c>
      <c r="C20" s="284">
        <f>VLOOKUP(R9,'BK &amp; EX &amp; PKL &amp; Press'!$B$9:$BO$66,51,0)</f>
        <v>0</v>
      </c>
      <c r="D20" s="284"/>
      <c r="E20" s="284"/>
      <c r="F20" s="287">
        <f>VLOOKUP(R9,'BK &amp; EX &amp; PKL &amp; Press'!$B$9:$BO$66,52,0)</f>
        <v>0</v>
      </c>
      <c r="G20" s="288"/>
      <c r="H20" s="288"/>
      <c r="I20" s="289"/>
      <c r="J20" s="285">
        <f>VLOOKUP(R9,'BK &amp; EX &amp; PKL &amp; Press'!$B$9:$BO$66,53,0)</f>
        <v>0</v>
      </c>
      <c r="K20" s="286"/>
      <c r="L20" s="310">
        <f>VLOOKUP(R9,'BK &amp; EX &amp; PKL &amp; Press'!$B$9:$BO$66,54,0)</f>
        <v>0</v>
      </c>
      <c r="M20" s="311"/>
      <c r="N20" s="20"/>
      <c r="O20" s="37"/>
      <c r="P20" s="38"/>
      <c r="Q20" s="38"/>
      <c r="R20" s="39"/>
      <c r="S20"/>
    </row>
    <row r="21" spans="2:19" s="12" customFormat="1" ht="48.75" customHeight="1" x14ac:dyDescent="0.25">
      <c r="B21" s="11">
        <v>2</v>
      </c>
      <c r="C21" s="290"/>
      <c r="D21" s="291"/>
      <c r="E21" s="292"/>
      <c r="F21" s="296"/>
      <c r="G21" s="297"/>
      <c r="H21" s="297"/>
      <c r="I21" s="298"/>
      <c r="J21" s="285"/>
      <c r="K21" s="286"/>
      <c r="L21" s="308"/>
      <c r="M21" s="309"/>
      <c r="N21" s="20"/>
      <c r="O21" s="20"/>
      <c r="P21" s="20"/>
      <c r="Q21" s="20"/>
      <c r="R21" s="20"/>
      <c r="S21"/>
    </row>
    <row r="22" spans="2:19" s="12" customFormat="1" ht="48.75" customHeight="1" x14ac:dyDescent="0.25">
      <c r="B22" s="11">
        <v>3</v>
      </c>
      <c r="C22" s="293"/>
      <c r="D22" s="294"/>
      <c r="E22" s="295"/>
      <c r="F22" s="296"/>
      <c r="G22" s="297"/>
      <c r="H22" s="297"/>
      <c r="I22" s="298"/>
      <c r="J22" s="285"/>
      <c r="K22" s="286"/>
      <c r="L22" s="308"/>
      <c r="M22" s="309"/>
      <c r="N22"/>
      <c r="O22" s="105"/>
      <c r="P22" s="105"/>
      <c r="Q22" s="105"/>
      <c r="R22" s="105"/>
      <c r="S22"/>
    </row>
    <row r="23" spans="2:19" s="12" customFormat="1" ht="36.75" customHeight="1" x14ac:dyDescent="0.25">
      <c r="B23" s="302" t="s">
        <v>187</v>
      </c>
      <c r="C23" s="302"/>
      <c r="D23" s="302"/>
      <c r="E23" s="302"/>
      <c r="F23" s="302"/>
      <c r="G23" s="302"/>
      <c r="H23" s="302"/>
      <c r="I23" s="302"/>
      <c r="J23" s="302"/>
      <c r="K23" s="302"/>
      <c r="L23" s="302"/>
      <c r="M23" s="302"/>
      <c r="N23"/>
      <c r="O23" s="104"/>
      <c r="P23" s="104"/>
      <c r="Q23" s="102"/>
      <c r="R23" s="102"/>
      <c r="S23"/>
    </row>
    <row r="24" spans="2:19" s="12" customFormat="1" ht="20.25" customHeight="1" x14ac:dyDescent="0.25">
      <c r="B24" s="13" t="s">
        <v>27</v>
      </c>
      <c r="C24" s="303" t="s">
        <v>188</v>
      </c>
      <c r="D24" s="303"/>
      <c r="E24" s="303"/>
      <c r="F24" s="209" t="s">
        <v>172</v>
      </c>
      <c r="G24" s="304"/>
      <c r="H24" s="304"/>
      <c r="I24" s="304"/>
      <c r="J24" s="304"/>
      <c r="K24" s="304"/>
      <c r="L24" s="304"/>
      <c r="M24" s="210"/>
      <c r="N24"/>
      <c r="O24" s="104"/>
      <c r="P24" s="104"/>
      <c r="Q24" s="102"/>
      <c r="R24" s="102"/>
      <c r="S24"/>
    </row>
    <row r="25" spans="2:19" s="12" customFormat="1" ht="50.25" customHeight="1" x14ac:dyDescent="0.25">
      <c r="B25" s="13">
        <v>1</v>
      </c>
      <c r="C25" s="187" t="s">
        <v>190</v>
      </c>
      <c r="D25" s="187"/>
      <c r="E25" s="187"/>
      <c r="F25" s="299" t="str">
        <f>VLOOKUP(R9,'BK &amp; EX &amp; PKL &amp; Press'!$B$9:$Y$66,8,0)</f>
        <v>Ananda AFMALA INSAN QOIRUNISA  menunjukkan ketekunan di dalam mengerjakan pekerjaan, baik di sekolah maupun di rumah.</v>
      </c>
      <c r="G25" s="300"/>
      <c r="H25" s="300"/>
      <c r="I25" s="300"/>
      <c r="J25" s="300"/>
      <c r="K25" s="300"/>
      <c r="L25" s="300"/>
      <c r="M25" s="301"/>
      <c r="N25"/>
      <c r="O25" s="104"/>
      <c r="P25" s="104"/>
      <c r="Q25" s="102"/>
      <c r="R25" s="102"/>
      <c r="S25"/>
    </row>
    <row r="26" spans="2:19" s="12" customFormat="1" ht="50.25" customHeight="1" x14ac:dyDescent="0.25">
      <c r="B26" s="13">
        <v>2</v>
      </c>
      <c r="C26" s="187" t="s">
        <v>149</v>
      </c>
      <c r="D26" s="187"/>
      <c r="E26" s="187"/>
      <c r="F26" s="299" t="str">
        <f>VLOOKUP(R9,'BK &amp; EX &amp; PKL &amp; Press'!$B$9:$Y$66,12,0)</f>
        <v>Ananda AFMALA INSAN QOIRUNISA  menunjukkan ketekunan di dalam mengerjakan pekerjaan, baik di sekolah maupun di  rumah.</v>
      </c>
      <c r="G26" s="300"/>
      <c r="H26" s="300"/>
      <c r="I26" s="300"/>
      <c r="J26" s="300"/>
      <c r="K26" s="300"/>
      <c r="L26" s="300"/>
      <c r="M26" s="301"/>
      <c r="N26"/>
      <c r="O26" s="104"/>
      <c r="P26" s="104"/>
      <c r="Q26" s="102"/>
      <c r="R26" s="102"/>
      <c r="S26"/>
    </row>
    <row r="27" spans="2:19" s="12" customFormat="1" ht="50.25" customHeight="1" x14ac:dyDescent="0.25">
      <c r="B27" s="13">
        <v>3</v>
      </c>
      <c r="C27" s="187" t="s">
        <v>150</v>
      </c>
      <c r="D27" s="187"/>
      <c r="E27" s="187"/>
      <c r="F27" s="299" t="str">
        <f>VLOOKUP(R9,'BK &amp; EX &amp; PKL &amp; Press'!$B$9:$Y$66,16,0)</f>
        <v>Ananda AFMALA INSAN QOIRUNISA  menunjukkan ketekunan di dalam mengerjakan pekerjaan, baik di sekolah maupun di rumah.</v>
      </c>
      <c r="G27" s="300"/>
      <c r="H27" s="300"/>
      <c r="I27" s="300"/>
      <c r="J27" s="300"/>
      <c r="K27" s="300"/>
      <c r="L27" s="300"/>
      <c r="M27" s="301"/>
      <c r="N27"/>
      <c r="O27" s="104"/>
      <c r="P27" s="104"/>
      <c r="Q27" s="102"/>
      <c r="R27" s="102"/>
      <c r="S27"/>
    </row>
    <row r="28" spans="2:19" ht="50.25" customHeight="1" x14ac:dyDescent="0.25">
      <c r="B28" s="13">
        <v>4</v>
      </c>
      <c r="C28" s="187" t="s">
        <v>151</v>
      </c>
      <c r="D28" s="187"/>
      <c r="E28" s="187"/>
      <c r="F28" s="299" t="str">
        <f>VLOOKUP(R9,'BK &amp; EX &amp; PKL &amp; Press'!$B$9:$Y$66,20,0)</f>
        <v>Ananda AFMALA INSAN QOIRUNISA  menunjukkan ketekunan di dalam mengerjakan pekerjaan, baik di sekolah maupun di rumah.</v>
      </c>
      <c r="G28" s="300"/>
      <c r="H28" s="300"/>
      <c r="I28" s="300"/>
      <c r="J28" s="300"/>
      <c r="K28" s="300"/>
      <c r="L28" s="300"/>
      <c r="M28" s="301"/>
      <c r="O28" s="104"/>
      <c r="P28" s="104"/>
      <c r="Q28" s="102"/>
      <c r="R28" s="102"/>
    </row>
    <row r="29" spans="2:19" ht="50.25" customHeight="1" x14ac:dyDescent="0.25">
      <c r="B29" s="13">
        <v>5</v>
      </c>
      <c r="C29" s="183" t="s">
        <v>152</v>
      </c>
      <c r="D29" s="183"/>
      <c r="E29" s="183"/>
      <c r="F29" s="299" t="str">
        <f>VLOOKUP(R9,'BK &amp; EX &amp; PKL &amp; Press'!$B$9:$Y$43,24,0)</f>
        <v>Ananda AFMALA INSAN QOIRUNISA  menunjukkan ketekunan di dalam mengerjakan pekerjaan, baik di sekolah maupun di rumah.</v>
      </c>
      <c r="G29" s="300"/>
      <c r="H29" s="300"/>
      <c r="I29" s="300"/>
      <c r="J29" s="300"/>
      <c r="K29" s="300"/>
      <c r="L29" s="300"/>
      <c r="M29" s="301"/>
      <c r="O29" s="104"/>
      <c r="P29" s="104"/>
      <c r="Q29" s="102"/>
      <c r="R29" s="102"/>
    </row>
    <row r="30" spans="2:19" ht="22.5" customHeight="1" x14ac:dyDescent="0.25">
      <c r="B30" s="305" t="s">
        <v>191</v>
      </c>
      <c r="C30" s="306"/>
      <c r="D30" s="306"/>
      <c r="E30" s="306"/>
      <c r="F30" s="306"/>
      <c r="G30" s="306"/>
      <c r="H30" s="306"/>
      <c r="I30" s="306"/>
      <c r="J30" s="306"/>
      <c r="K30" s="306"/>
      <c r="L30" s="306"/>
      <c r="M30" s="307"/>
      <c r="O30" s="102"/>
      <c r="P30" s="102"/>
      <c r="Q30" s="102"/>
      <c r="R30" s="102"/>
    </row>
    <row r="31" spans="2:19" ht="30" customHeight="1" x14ac:dyDescent="0.25">
      <c r="B31" s="312"/>
      <c r="C31" s="313"/>
      <c r="D31" s="313"/>
      <c r="E31" s="313"/>
      <c r="F31" s="313"/>
      <c r="G31" s="313"/>
      <c r="H31" s="313"/>
      <c r="I31" s="313"/>
      <c r="J31" s="313"/>
      <c r="K31" s="313"/>
      <c r="L31" s="313"/>
      <c r="M31" s="314"/>
      <c r="O31" s="103"/>
      <c r="P31" s="103"/>
      <c r="Q31" s="102"/>
      <c r="R31" s="102"/>
    </row>
    <row r="32" spans="2:19" ht="30" customHeight="1" x14ac:dyDescent="0.25">
      <c r="B32" s="315"/>
      <c r="C32" s="316"/>
      <c r="D32" s="316"/>
      <c r="E32" s="316"/>
      <c r="F32" s="316"/>
      <c r="G32" s="316"/>
      <c r="H32" s="316"/>
      <c r="I32" s="316"/>
      <c r="J32" s="316"/>
      <c r="K32" s="316"/>
      <c r="L32" s="316"/>
      <c r="M32" s="317"/>
      <c r="O32" s="103"/>
      <c r="P32" s="103"/>
      <c r="Q32" s="102"/>
      <c r="R32" s="102"/>
    </row>
    <row r="33" spans="2:13" ht="21.75" customHeight="1" x14ac:dyDescent="0.25">
      <c r="B33" s="243" t="s">
        <v>192</v>
      </c>
      <c r="C33" s="244"/>
      <c r="D33" s="244"/>
      <c r="E33" s="244"/>
      <c r="F33" s="244"/>
      <c r="G33" s="244"/>
      <c r="H33" s="244"/>
      <c r="I33" s="244"/>
      <c r="J33" s="244"/>
      <c r="K33" s="244"/>
      <c r="L33" s="244"/>
      <c r="M33" s="245"/>
    </row>
    <row r="34" spans="2:13" ht="15" x14ac:dyDescent="0.25">
      <c r="B34" s="274"/>
      <c r="C34" s="151"/>
      <c r="D34" s="151"/>
      <c r="E34" s="151"/>
      <c r="F34" s="151"/>
      <c r="G34" s="151"/>
      <c r="H34" s="151"/>
      <c r="I34" s="151"/>
      <c r="J34" s="151"/>
      <c r="K34" s="151"/>
      <c r="L34" s="151"/>
      <c r="M34" s="275"/>
    </row>
    <row r="35" spans="2:13" ht="51" customHeight="1" x14ac:dyDescent="0.25">
      <c r="B35" s="276"/>
      <c r="C35" s="277"/>
      <c r="D35" s="277"/>
      <c r="E35" s="277"/>
      <c r="F35" s="277"/>
      <c r="G35" s="277"/>
      <c r="H35" s="277"/>
      <c r="I35" s="277"/>
      <c r="J35" s="277"/>
      <c r="K35" s="277"/>
      <c r="L35" s="277"/>
      <c r="M35" s="278"/>
    </row>
    <row r="36" spans="2:13" ht="15" x14ac:dyDescent="0.25">
      <c r="B36" s="6"/>
      <c r="C36" s="6"/>
      <c r="D36" s="6"/>
      <c r="E36" s="6"/>
      <c r="F36" s="6"/>
      <c r="G36" s="6"/>
      <c r="H36" s="6"/>
      <c r="I36" s="6"/>
      <c r="J36" s="6"/>
      <c r="K36" s="6"/>
      <c r="L36" s="6"/>
      <c r="M36" s="6"/>
    </row>
    <row r="37" spans="2:13" ht="15.75" x14ac:dyDescent="0.25">
      <c r="B37" s="1"/>
      <c r="C37" s="1"/>
      <c r="D37" s="1"/>
      <c r="E37" s="1"/>
      <c r="F37" s="1"/>
      <c r="G37" s="1"/>
      <c r="H37" s="1"/>
      <c r="I37" s="1"/>
      <c r="J37" s="129" t="str">
        <f>ID!G11</f>
        <v>31 MARET 2023</v>
      </c>
      <c r="K37" s="129"/>
      <c r="L37" s="129"/>
      <c r="M37" s="129"/>
    </row>
    <row r="38" spans="2:13" ht="15.75" x14ac:dyDescent="0.25">
      <c r="B38" s="203" t="s">
        <v>180</v>
      </c>
      <c r="C38" s="203"/>
      <c r="D38" s="203"/>
      <c r="E38" s="1"/>
      <c r="F38" s="1" t="s">
        <v>67</v>
      </c>
      <c r="G38" s="1"/>
      <c r="H38" s="1"/>
      <c r="I38" s="1"/>
      <c r="J38" s="1"/>
      <c r="K38" s="1"/>
      <c r="L38" s="1"/>
      <c r="M38" s="1"/>
    </row>
    <row r="39" spans="2:13" ht="15.75" x14ac:dyDescent="0.25">
      <c r="B39" s="1"/>
      <c r="C39" s="1"/>
      <c r="D39" s="1"/>
      <c r="E39" s="203" t="s">
        <v>179</v>
      </c>
      <c r="F39" s="203"/>
      <c r="G39" s="203"/>
      <c r="H39" s="203"/>
      <c r="I39" s="203"/>
      <c r="J39" s="203" t="s">
        <v>62</v>
      </c>
      <c r="K39" s="203"/>
      <c r="L39" s="203"/>
      <c r="M39" s="203"/>
    </row>
    <row r="40" spans="2:13" ht="15.75" x14ac:dyDescent="0.25">
      <c r="B40" s="1"/>
      <c r="C40" s="1"/>
      <c r="D40" s="1"/>
      <c r="E40" s="1"/>
      <c r="F40" s="1"/>
      <c r="G40" s="1"/>
      <c r="H40" s="1"/>
      <c r="I40" s="1"/>
      <c r="J40" s="1"/>
      <c r="K40" s="1"/>
      <c r="L40" s="1"/>
      <c r="M40" s="1"/>
    </row>
    <row r="41" spans="2:13" ht="15.75" x14ac:dyDescent="0.25">
      <c r="B41" s="1"/>
      <c r="C41" s="1"/>
      <c r="D41" s="1"/>
      <c r="E41" s="1"/>
      <c r="F41" s="1"/>
      <c r="G41" s="1"/>
      <c r="H41" s="1"/>
      <c r="I41" s="1"/>
      <c r="J41" s="1"/>
      <c r="K41" s="1"/>
      <c r="L41" s="1"/>
      <c r="M41" s="1"/>
    </row>
    <row r="42" spans="2:13" ht="15.75" x14ac:dyDescent="0.25">
      <c r="B42" s="1"/>
      <c r="C42" s="1"/>
      <c r="D42" s="1"/>
      <c r="E42" s="1"/>
      <c r="F42" s="1"/>
      <c r="G42" s="1"/>
      <c r="H42" s="1"/>
      <c r="I42" s="1"/>
      <c r="J42" s="1"/>
      <c r="K42" s="1"/>
      <c r="L42" s="1"/>
      <c r="M42" s="1"/>
    </row>
    <row r="43" spans="2:13" ht="15.75" x14ac:dyDescent="0.25">
      <c r="B43" s="270" t="s">
        <v>181</v>
      </c>
      <c r="C43" s="270"/>
      <c r="D43" s="270"/>
      <c r="E43" s="204" t="str">
        <f>ID!G6</f>
        <v>Sri Rahayu, S.Pd., SE.</v>
      </c>
      <c r="F43" s="204"/>
      <c r="G43" s="204"/>
      <c r="H43" s="204"/>
      <c r="I43" s="204"/>
      <c r="J43" s="204" t="str">
        <f>ID!G10</f>
        <v>SURADI S.Pd.</v>
      </c>
      <c r="K43" s="204"/>
      <c r="L43" s="204"/>
      <c r="M43" s="204"/>
    </row>
    <row r="44" spans="2:13" ht="15.75" x14ac:dyDescent="0.25">
      <c r="B44" s="4"/>
      <c r="C44" s="4"/>
      <c r="D44" s="4"/>
      <c r="E44" s="4"/>
      <c r="F44" s="1"/>
      <c r="G44" s="1"/>
      <c r="H44" s="4"/>
      <c r="I44" s="4"/>
      <c r="J44" s="4"/>
      <c r="K44" s="4"/>
      <c r="L44" s="4"/>
      <c r="M44" s="4"/>
    </row>
    <row r="45" spans="2:13" s="21" customFormat="1" ht="7.5" customHeight="1" x14ac:dyDescent="0.25"/>
  </sheetData>
  <sheetProtection selectLockedCells="1"/>
  <mergeCells count="74">
    <mergeCell ref="D2:M2"/>
    <mergeCell ref="V2:AC2"/>
    <mergeCell ref="D3:M3"/>
    <mergeCell ref="V3:AC3"/>
    <mergeCell ref="D4:M4"/>
    <mergeCell ref="V4:AC4"/>
    <mergeCell ref="D5:M5"/>
    <mergeCell ref="V5:AC5"/>
    <mergeCell ref="D6:M6"/>
    <mergeCell ref="V6:AC6"/>
    <mergeCell ref="D7:M7"/>
    <mergeCell ref="O7:R8"/>
    <mergeCell ref="V7:AC7"/>
    <mergeCell ref="D8:M8"/>
    <mergeCell ref="V8:AC8"/>
    <mergeCell ref="D9:M9"/>
    <mergeCell ref="P9:Q11"/>
    <mergeCell ref="R9:R11"/>
    <mergeCell ref="V9:AC9"/>
    <mergeCell ref="B10:M10"/>
    <mergeCell ref="B11:M11"/>
    <mergeCell ref="B12:M12"/>
    <mergeCell ref="P12:Q14"/>
    <mergeCell ref="R12:R14"/>
    <mergeCell ref="B14:C14"/>
    <mergeCell ref="E14:F14"/>
    <mergeCell ref="J14:M14"/>
    <mergeCell ref="C20:E20"/>
    <mergeCell ref="F20:I20"/>
    <mergeCell ref="J20:K20"/>
    <mergeCell ref="L20:M20"/>
    <mergeCell ref="B15:C15"/>
    <mergeCell ref="E15:F15"/>
    <mergeCell ref="J15:M15"/>
    <mergeCell ref="B16:C16"/>
    <mergeCell ref="E16:F16"/>
    <mergeCell ref="J16:M16"/>
    <mergeCell ref="B18:M18"/>
    <mergeCell ref="C19:E19"/>
    <mergeCell ref="F19:I19"/>
    <mergeCell ref="J19:K19"/>
    <mergeCell ref="L19:M19"/>
    <mergeCell ref="C26:E26"/>
    <mergeCell ref="F26:M26"/>
    <mergeCell ref="C21:E21"/>
    <mergeCell ref="F21:I21"/>
    <mergeCell ref="J21:K21"/>
    <mergeCell ref="L21:M21"/>
    <mergeCell ref="C22:E22"/>
    <mergeCell ref="F22:I22"/>
    <mergeCell ref="J22:K22"/>
    <mergeCell ref="L22:M22"/>
    <mergeCell ref="B23:M23"/>
    <mergeCell ref="C24:E24"/>
    <mergeCell ref="F24:M24"/>
    <mergeCell ref="C25:E25"/>
    <mergeCell ref="F25:M25"/>
    <mergeCell ref="B38:D38"/>
    <mergeCell ref="C27:E27"/>
    <mergeCell ref="F27:M27"/>
    <mergeCell ref="C28:E28"/>
    <mergeCell ref="F28:M28"/>
    <mergeCell ref="C29:E29"/>
    <mergeCell ref="F29:M29"/>
    <mergeCell ref="B30:M30"/>
    <mergeCell ref="B31:M32"/>
    <mergeCell ref="B33:M33"/>
    <mergeCell ref="B34:M35"/>
    <mergeCell ref="J37:M37"/>
    <mergeCell ref="E39:I39"/>
    <mergeCell ref="J39:M39"/>
    <mergeCell ref="B43:D43"/>
    <mergeCell ref="E43:I43"/>
    <mergeCell ref="J43:M43"/>
  </mergeCells>
  <pageMargins left="0.31496062992125984" right="0.31496062992125984" top="0.35433070866141736" bottom="0.35433070866141736" header="0.31496062992125984" footer="0.31496062992125984"/>
  <pageSetup paperSize="10000" scale="90"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84993" r:id="rId4" name="Spinner 1">
              <controlPr defaultSize="0" autoPict="0">
                <anchor moveWithCells="1" sizeWithCells="1">
                  <from>
                    <xdr:col>14</xdr:col>
                    <xdr:colOff>28575</xdr:colOff>
                    <xdr:row>8</xdr:row>
                    <xdr:rowOff>0</xdr:rowOff>
                  </from>
                  <to>
                    <xdr:col>14</xdr:col>
                    <xdr:colOff>466725</xdr:colOff>
                    <xdr:row>14</xdr:row>
                    <xdr:rowOff>19050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18</vt:i4>
      </vt:variant>
    </vt:vector>
  </HeadingPairs>
  <TitlesOfParts>
    <vt:vector size="53" baseType="lpstr">
      <vt:lpstr>HOME</vt:lpstr>
      <vt:lpstr>ID</vt:lpstr>
      <vt:lpstr>NOMINATIF</vt:lpstr>
      <vt:lpstr>BK &amp; EX &amp; PKL &amp; Press</vt:lpstr>
      <vt:lpstr>MP X AKL</vt:lpstr>
      <vt:lpstr>L X AKL</vt:lpstr>
      <vt:lpstr>R M X AKL</vt:lpstr>
      <vt:lpstr>R X AKL</vt:lpstr>
      <vt:lpstr>R2 X AKL</vt:lpstr>
      <vt:lpstr>MP X RPL</vt:lpstr>
      <vt:lpstr>L X RPL</vt:lpstr>
      <vt:lpstr>R M X RPL</vt:lpstr>
      <vt:lpstr>R X RPL</vt:lpstr>
      <vt:lpstr>R2 X RPL</vt:lpstr>
      <vt:lpstr>MP XI AKL</vt:lpstr>
      <vt:lpstr>L XI AKL</vt:lpstr>
      <vt:lpstr>R M XI AKL</vt:lpstr>
      <vt:lpstr>R XI AKL</vt:lpstr>
      <vt:lpstr>R2 XI AKL</vt:lpstr>
      <vt:lpstr>MP XI RPL</vt:lpstr>
      <vt:lpstr>L XI RPL</vt:lpstr>
      <vt:lpstr>R M XI RPL</vt:lpstr>
      <vt:lpstr>R XI RPL</vt:lpstr>
      <vt:lpstr>R2 XI RPL</vt:lpstr>
      <vt:lpstr>MP XII AKL</vt:lpstr>
      <vt:lpstr>L XII AKL</vt:lpstr>
      <vt:lpstr>R M XII AKL</vt:lpstr>
      <vt:lpstr>R XII AKL</vt:lpstr>
      <vt:lpstr>R2 XII AKL</vt:lpstr>
      <vt:lpstr>MP XII RPL</vt:lpstr>
      <vt:lpstr>L XII RPL</vt:lpstr>
      <vt:lpstr>R M XII RPL</vt:lpstr>
      <vt:lpstr>R XII RPL</vt:lpstr>
      <vt:lpstr>R2 XII RPL</vt:lpstr>
      <vt:lpstr>Sheet1</vt:lpstr>
      <vt:lpstr>'R M X AKL'!Print_Area</vt:lpstr>
      <vt:lpstr>'R M X RPL'!Print_Area</vt:lpstr>
      <vt:lpstr>'R M XI AKL'!Print_Area</vt:lpstr>
      <vt:lpstr>'R M XI RPL'!Print_Area</vt:lpstr>
      <vt:lpstr>'R M XII AKL'!Print_Area</vt:lpstr>
      <vt:lpstr>'R M XII RPL'!Print_Area</vt:lpstr>
      <vt:lpstr>'R X AKL'!Print_Area</vt:lpstr>
      <vt:lpstr>'R X RPL'!Print_Area</vt:lpstr>
      <vt:lpstr>'R XI AKL'!Print_Area</vt:lpstr>
      <vt:lpstr>'R XI RPL'!Print_Area</vt:lpstr>
      <vt:lpstr>'R XII AKL'!Print_Area</vt:lpstr>
      <vt:lpstr>'R XII RPL'!Print_Area</vt:lpstr>
      <vt:lpstr>'R2 X AKL'!Print_Area</vt:lpstr>
      <vt:lpstr>'R2 X RPL'!Print_Area</vt:lpstr>
      <vt:lpstr>'R2 XI AKL'!Print_Area</vt:lpstr>
      <vt:lpstr>'R2 XI RPL'!Print_Area</vt:lpstr>
      <vt:lpstr>'R2 XII AKL'!Print_Area</vt:lpstr>
      <vt:lpstr>'R2 XII RPL'!Print_Area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UNKNOWN BOWO</dc:creator>
  <cp:lastModifiedBy>Raden  A</cp:lastModifiedBy>
  <cp:lastPrinted>2023-04-03T14:24:29Z</cp:lastPrinted>
  <dcterms:created xsi:type="dcterms:W3CDTF">2022-03-17T04:59:30Z</dcterms:created>
  <dcterms:modified xsi:type="dcterms:W3CDTF">2023-07-07T00:29:53Z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fa4170-0d19-0005-0004-bc88714345d2_Enabled">
    <vt:lpwstr>true</vt:lpwstr>
  </property>
  <property fmtid="{D5CDD505-2E9C-101B-9397-08002B2CF9AE}" pid="3" name="MSIP_Label_defa4170-0d19-0005-0004-bc88714345d2_SetDate">
    <vt:lpwstr>2022-12-09T01:02:11Z</vt:lpwstr>
  </property>
  <property fmtid="{D5CDD505-2E9C-101B-9397-08002B2CF9AE}" pid="4" name="MSIP_Label_defa4170-0d19-0005-0004-bc88714345d2_Method">
    <vt:lpwstr>Standard</vt:lpwstr>
  </property>
  <property fmtid="{D5CDD505-2E9C-101B-9397-08002B2CF9AE}" pid="5" name="MSIP_Label_defa4170-0d19-0005-0004-bc88714345d2_Name">
    <vt:lpwstr>defa4170-0d19-0005-0004-bc88714345d2</vt:lpwstr>
  </property>
  <property fmtid="{D5CDD505-2E9C-101B-9397-08002B2CF9AE}" pid="6" name="MSIP_Label_defa4170-0d19-0005-0004-bc88714345d2_SiteId">
    <vt:lpwstr>585997d3-68b1-46e9-8de3-c6ebe226a14d</vt:lpwstr>
  </property>
  <property fmtid="{D5CDD505-2E9C-101B-9397-08002B2CF9AE}" pid="7" name="MSIP_Label_defa4170-0d19-0005-0004-bc88714345d2_ActionId">
    <vt:lpwstr>e07bcd1f-e436-4f78-8b91-4de7303f092a</vt:lpwstr>
  </property>
  <property fmtid="{D5CDD505-2E9C-101B-9397-08002B2CF9AE}" pid="8" name="MSIP_Label_defa4170-0d19-0005-0004-bc88714345d2_ContentBits">
    <vt:lpwstr>0</vt:lpwstr>
  </property>
</Properties>
</file>